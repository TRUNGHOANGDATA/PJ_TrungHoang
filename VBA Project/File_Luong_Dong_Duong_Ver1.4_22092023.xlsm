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f0db64251d447ad"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07" codeName="{E757BCB4-07E6-AE0B-56E0-F0EEF7A6E26C}"/>
  <workbookPr codeName="ThisWorkbook" defaultThemeVersion="202300"/>
  <mc:AlternateContent xmlns:mc="http://schemas.openxmlformats.org/markup-compatibility/2006">
    <mc:Choice Requires="x15">
      <x15ac:absPath xmlns:x15ac="http://schemas.microsoft.com/office/spreadsheetml/2010/11/ac" url="D:\WORK\VBA Project\FILE_LUONG_DONG_DUONG\UPDATE 22092023\"/>
    </mc:Choice>
  </mc:AlternateContent>
  <xr:revisionPtr revIDLastSave="0" documentId="13_ncr:1_{9A22F864-F820-42B1-814F-C82B7ED9D4FE}" xr6:coauthVersionLast="47" xr6:coauthVersionMax="47" xr10:uidLastSave="{00000000-0000-0000-0000-000000000000}"/>
  <bookViews>
    <workbookView xWindow="-108" yWindow="-108" windowWidth="30936" windowHeight="16896" firstSheet="18" activeTab="26" xr2:uid="{087A3C59-E57A-446B-A9F6-2DD5191DC7B9}"/>
  </bookViews>
  <sheets>
    <sheet name="Hướng dẫn sử dụng" sheetId="587" r:id="rId1"/>
    <sheet name="COMPANY_SETUP" sheetId="1" r:id="rId2"/>
    <sheet name="DATE_SETUP" sheetId="3" r:id="rId3"/>
    <sheet name="MUC_TRICH_BHXH_HANG_THANG" sheetId="364" r:id="rId4"/>
    <sheet name="EMPLOYEE_DATA" sheetId="2" r:id="rId5"/>
    <sheet name="MUC_GIAM_TRU_NPT" sheetId="971" state="hidden" r:id="rId6"/>
    <sheet name="FORM_NHAP_LIEU_HDLD" sheetId="1230" r:id="rId7"/>
    <sheet name="08CK-TNCN" sheetId="1255" r:id="rId8"/>
    <sheet name="CAM_KET_02" sheetId="1257" r:id="rId9"/>
    <sheet name="FORM_HDLD" sheetId="1229" r:id="rId10"/>
    <sheet name="QT_TNCN" sheetId="956" r:id="rId11"/>
    <sheet name="05-1-BK-QTT_TNCN" sheetId="972" r:id="rId12"/>
    <sheet name="05-2-BK-QTT-TNCN" sheetId="1228" r:id="rId13"/>
    <sheet name="QT_TNCN_BACKUP" sheetId="969" state="hidden" r:id="rId14"/>
    <sheet name="05_3BK_TNCN" sheetId="973" r:id="rId15"/>
    <sheet name="BANG_CHAM_CONG_DATA" sheetId="848" r:id="rId16"/>
    <sheet name="BAO_HIEM_XA_HOI_DATA" sheetId="861" r:id="rId17"/>
    <sheet name="BANG_LUONG_DATA" sheetId="898" r:id="rId18"/>
    <sheet name="DATA_RANGE" sheetId="512" r:id="rId19"/>
    <sheet name="TEST" sheetId="65" state="hidden" r:id="rId20"/>
    <sheet name="NGAY_NGHI_LE" sheetId="160" state="hidden" r:id="rId21"/>
    <sheet name="BANG_CHAM_CONG_TEMPLATE" sheetId="4" state="hidden" r:id="rId22"/>
    <sheet name="BANG_TINH_BHXH_TEMPLATE" sheetId="363" state="hidden" r:id="rId23"/>
    <sheet name="BANG_LUONG_TEMPLATE" sheetId="588" state="hidden" r:id="rId24"/>
    <sheet name="THONG_KE_BHXH" sheetId="1133" r:id="rId25"/>
    <sheet name="THONG_KE_LUONG" sheetId="1134" r:id="rId26"/>
    <sheet name="BCC_T1" sheetId="1207" r:id="rId27"/>
    <sheet name="BCC_T2" sheetId="1208" r:id="rId28"/>
    <sheet name="BCC_T3" sheetId="1209" r:id="rId29"/>
    <sheet name="BCC_T4" sheetId="1210" r:id="rId30"/>
    <sheet name="BCC_T5" sheetId="1211" r:id="rId31"/>
    <sheet name="BCC_T6" sheetId="1212" r:id="rId32"/>
    <sheet name="BCC_T7" sheetId="1200" r:id="rId33"/>
    <sheet name="BCC_T8" sheetId="1190" r:id="rId34"/>
    <sheet name="BCC_T9" sheetId="1191" r:id="rId35"/>
    <sheet name="BCC_T10" sheetId="1192" r:id="rId36"/>
    <sheet name="BCC_T11" sheetId="1193" r:id="rId37"/>
    <sheet name="BCC_T12" sheetId="1194" r:id="rId38"/>
    <sheet name="BTTL_T1" sheetId="1243" r:id="rId39"/>
    <sheet name="BTTL_T2" sheetId="1244" r:id="rId40"/>
    <sheet name="BTTL_T3" sheetId="1245" r:id="rId41"/>
    <sheet name="BTTL_T4" sheetId="1246" r:id="rId42"/>
    <sheet name="BTTL_T5" sheetId="1247" r:id="rId43"/>
    <sheet name="BTTL_T6" sheetId="1248" r:id="rId44"/>
    <sheet name="BTTL_T7" sheetId="1249" r:id="rId45"/>
    <sheet name="BTTL_T8" sheetId="1250" r:id="rId46"/>
    <sheet name="BTTL_T9" sheetId="1251" r:id="rId47"/>
    <sheet name="BTTL_T10" sheetId="1252" r:id="rId48"/>
    <sheet name="BTTL_T11" sheetId="1253" r:id="rId49"/>
    <sheet name="BTTL_T12" sheetId="1254" r:id="rId50"/>
    <sheet name="BHXH_T1" sheetId="1319" r:id="rId51"/>
    <sheet name="BHXH_T2" sheetId="1320" r:id="rId52"/>
    <sheet name="BHXH_T3" sheetId="1321" r:id="rId53"/>
    <sheet name="BHXH_T4" sheetId="1322" r:id="rId54"/>
    <sheet name="BHXH_T5" sheetId="1323" r:id="rId55"/>
    <sheet name="BHXH_T6" sheetId="1324" r:id="rId56"/>
    <sheet name="BHXH_T7" sheetId="1325" r:id="rId57"/>
    <sheet name="BHXH_T8" sheetId="1326" r:id="rId58"/>
    <sheet name="BHXH_T9" sheetId="1327" r:id="rId59"/>
    <sheet name="BHXH_T10" sheetId="1328" r:id="rId60"/>
    <sheet name="BHXH_T11" sheetId="1329" r:id="rId61"/>
    <sheet name="BHXH_T12" sheetId="1330" r:id="rId62"/>
  </sheets>
  <functionGroups builtInGroupCount="19"/>
  <definedNames>
    <definedName name="CHE_DO_NGHI">COMPANY_SETUP!$B$8</definedName>
    <definedName name="Chuc_Vu_Dai_Dien_Phap_Luat">COMPANY_SETUP!$B$11</definedName>
    <definedName name="Company_Address">COMPANY_SETUP!$B$4</definedName>
    <definedName name="Company_Name">COMPANY_SETUP!$B$3</definedName>
    <definedName name="Dai_Dien_Theo_Phap_Luat">COMPANY_SETUP!$B$10</definedName>
    <definedName name="Dien_Thoai">COMPANY_SETUP!$B$12</definedName>
    <definedName name="Email_Company">COMPANY_SETUP!$B$13</definedName>
    <definedName name="Nam_Bang_Luong">COMPANY_SETUP!$B$9</definedName>
    <definedName name="Phone_Company">COMPANY_SETUP!$B$12</definedName>
    <definedName name="_xlnm.Print_Area" localSheetId="7">'08CK-TNCN'!$A:$S</definedName>
    <definedName name="_xlnm.Print_Area" localSheetId="8">CAM_KET_02!$A:$T</definedName>
    <definedName name="_xlnm.Print_Area" localSheetId="9">FORM_HDLD!$A:$R</definedName>
    <definedName name="_xlnm.Print_Titles" localSheetId="21">BANG_CHAM_CONG_TEMPLATE!$6:$7</definedName>
    <definedName name="_xlnm.Print_Titles" localSheetId="23">BANG_LUONG_TEMPLATE!$7:$8</definedName>
    <definedName name="_xlnm.Print_Titles" localSheetId="26">BCC_T1!$6:$7</definedName>
    <definedName name="_xlnm.Print_Titles" localSheetId="35">BCC_T10!$6:$7</definedName>
    <definedName name="_xlnm.Print_Titles" localSheetId="36">BCC_T11!$6:$7</definedName>
    <definedName name="_xlnm.Print_Titles" localSheetId="37">BCC_T12!$6:$7</definedName>
    <definedName name="_xlnm.Print_Titles" localSheetId="27">BCC_T2!$6:$7</definedName>
    <definedName name="_xlnm.Print_Titles" localSheetId="28">BCC_T3!$6:$7</definedName>
    <definedName name="_xlnm.Print_Titles" localSheetId="29">BCC_T4!$6:$7</definedName>
    <definedName name="_xlnm.Print_Titles" localSheetId="30">BCC_T5!$6:$7</definedName>
    <definedName name="_xlnm.Print_Titles" localSheetId="31">BCC_T6!$6:$7</definedName>
    <definedName name="_xlnm.Print_Titles" localSheetId="32">BCC_T7!$6:$7</definedName>
    <definedName name="_xlnm.Print_Titles" localSheetId="33">BCC_T8!$6:$7</definedName>
    <definedName name="_xlnm.Print_Titles" localSheetId="34">BCC_T9!$6:$7</definedName>
    <definedName name="_xlnm.Print_Titles" localSheetId="50">BHXH_T1!$6:$7</definedName>
    <definedName name="_xlnm.Print_Titles" localSheetId="59">BHXH_T10!$6:$7</definedName>
    <definedName name="_xlnm.Print_Titles" localSheetId="60">BHXH_T11!$6:$7</definedName>
    <definedName name="_xlnm.Print_Titles" localSheetId="61">BHXH_T12!$6:$7</definedName>
    <definedName name="_xlnm.Print_Titles" localSheetId="51">BHXH_T2!$6:$7</definedName>
    <definedName name="_xlnm.Print_Titles" localSheetId="52">BHXH_T3!$6:$7</definedName>
    <definedName name="_xlnm.Print_Titles" localSheetId="53">BHXH_T4!$6:$7</definedName>
    <definedName name="_xlnm.Print_Titles" localSheetId="54">BHXH_T5!$6:$7</definedName>
    <definedName name="_xlnm.Print_Titles" localSheetId="55">BHXH_T6!$6:$7</definedName>
    <definedName name="_xlnm.Print_Titles" localSheetId="56">BHXH_T7!$6:$7</definedName>
    <definedName name="_xlnm.Print_Titles" localSheetId="57">BHXH_T8!$6:$7</definedName>
    <definedName name="_xlnm.Print_Titles" localSheetId="58">BHXH_T9!$6:$7</definedName>
    <definedName name="_xlnm.Print_Titles" localSheetId="38">BTTL_T1!$6:$7</definedName>
    <definedName name="_xlnm.Print_Titles" localSheetId="47">BTTL_T10!$6:$7</definedName>
    <definedName name="_xlnm.Print_Titles" localSheetId="48">BTTL_T11!$6:$7</definedName>
    <definedName name="_xlnm.Print_Titles" localSheetId="49">BTTL_T12!$6:$7</definedName>
    <definedName name="_xlnm.Print_Titles" localSheetId="39">BTTL_T2!$6:$7</definedName>
    <definedName name="_xlnm.Print_Titles" localSheetId="40">BTTL_T3!$6:$7</definedName>
    <definedName name="_xlnm.Print_Titles" localSheetId="41">BTTL_T4!$6:$7</definedName>
    <definedName name="_xlnm.Print_Titles" localSheetId="42">BTTL_T5!$6:$7</definedName>
    <definedName name="_xlnm.Print_Titles" localSheetId="43">BTTL_T6!$6:$7</definedName>
    <definedName name="_xlnm.Print_Titles" localSheetId="44">BTTL_T7!$6:$7</definedName>
    <definedName name="_xlnm.Print_Titles" localSheetId="45">BTTL_T8!$6:$7</definedName>
    <definedName name="_xlnm.Print_Titles" localSheetId="46">BTTL_T9!$6:$7</definedName>
    <definedName name="_xlnm.Print_Titles" localSheetId="20">NGAY_NGHI_LE!$6:$7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330" l="1"/>
  <c r="A1" i="1330"/>
  <c r="A2" i="1329"/>
  <c r="A1" i="1329"/>
  <c r="A2" i="1328"/>
  <c r="A1" i="1328"/>
  <c r="A2" i="1327"/>
  <c r="A1" i="1327"/>
  <c r="A2" i="1326"/>
  <c r="A1" i="1326"/>
  <c r="A2" i="1325"/>
  <c r="A1" i="1325"/>
  <c r="A2" i="1324"/>
  <c r="A1" i="1324"/>
  <c r="A2" i="1323"/>
  <c r="A1" i="1323"/>
  <c r="A2" i="1322"/>
  <c r="A1" i="1322"/>
  <c r="A2" i="1321"/>
  <c r="A1" i="1321"/>
  <c r="A2" i="1320"/>
  <c r="A1" i="1320"/>
  <c r="A2" i="1319"/>
  <c r="A1" i="1319"/>
  <c r="I30" i="1257"/>
  <c r="J19" i="1257"/>
  <c r="B21" i="1257"/>
  <c r="E17" i="1257"/>
  <c r="R15" i="1257"/>
  <c r="L15" i="1257"/>
  <c r="B15" i="1257"/>
  <c r="X2" i="1257"/>
  <c r="N13" i="1257" s="1"/>
  <c r="E11" i="1257"/>
  <c r="J37" i="1257" s="1"/>
  <c r="A9" i="1257"/>
  <c r="E15" i="1255"/>
  <c r="E11" i="1255"/>
  <c r="L34" i="1255" s="1"/>
  <c r="X2" i="1255"/>
  <c r="J13" i="1255" s="1"/>
  <c r="B23" i="1255"/>
  <c r="A9" i="1255"/>
  <c r="B17" i="1255"/>
  <c r="I27" i="1255"/>
  <c r="F13" i="1257" l="1"/>
  <c r="G13" i="1257"/>
  <c r="H13" i="1257"/>
  <c r="I13" i="1257"/>
  <c r="J13" i="1257"/>
  <c r="K13" i="1257"/>
  <c r="L13" i="1257"/>
  <c r="M13" i="1257"/>
  <c r="E13" i="1257"/>
  <c r="K13" i="1255"/>
  <c r="L13" i="1255"/>
  <c r="M13" i="1255"/>
  <c r="N13" i="1255"/>
  <c r="E13" i="1255"/>
  <c r="F13" i="1255"/>
  <c r="G13" i="1255"/>
  <c r="H13" i="1255"/>
  <c r="I13" i="1255"/>
  <c r="A3" i="1230" l="1"/>
  <c r="A4" i="1230"/>
  <c r="A5" i="1230"/>
  <c r="A6" i="1230"/>
  <c r="A7" i="1230"/>
  <c r="A8" i="1230"/>
  <c r="A9" i="1230"/>
  <c r="A10" i="1230"/>
  <c r="A11" i="1230"/>
  <c r="A12" i="1230"/>
  <c r="A13" i="1230"/>
  <c r="A14" i="1230"/>
  <c r="A15" i="1230"/>
  <c r="A16" i="1230"/>
  <c r="A17" i="1230"/>
  <c r="A18" i="1230"/>
  <c r="A19" i="1230"/>
  <c r="A20" i="1230"/>
  <c r="A21" i="1230"/>
  <c r="A22" i="1230"/>
  <c r="A23" i="1230"/>
  <c r="A24" i="1230"/>
  <c r="A25" i="1230"/>
  <c r="A26" i="1230"/>
  <c r="A27" i="1230"/>
  <c r="A28" i="1230"/>
  <c r="A29" i="1230"/>
  <c r="A30" i="1230"/>
  <c r="A31" i="1230"/>
  <c r="A32" i="1230"/>
  <c r="A33" i="1230"/>
  <c r="A34" i="1230"/>
  <c r="A35" i="1230"/>
  <c r="A36" i="1230"/>
  <c r="A37" i="1230"/>
  <c r="B4" i="1229"/>
  <c r="O18" i="1229" l="1"/>
  <c r="A40" i="1229" l="1"/>
  <c r="D16" i="1229"/>
  <c r="A78" i="1229"/>
  <c r="A23" i="1229"/>
  <c r="A39" i="1229"/>
  <c r="U1" i="1229"/>
  <c r="A6" i="1229" s="1"/>
  <c r="D15" i="1229"/>
  <c r="D17" i="1229"/>
  <c r="D18" i="1229"/>
  <c r="I18" i="1229"/>
  <c r="A25" i="1229"/>
  <c r="A36" i="1229"/>
  <c r="A38" i="1229"/>
  <c r="I6" i="972"/>
  <c r="I7" i="972"/>
  <c r="I8" i="972"/>
  <c r="I9" i="972"/>
  <c r="I10" i="972"/>
  <c r="I11" i="972"/>
  <c r="I12" i="972"/>
  <c r="I13" i="972"/>
  <c r="I14" i="972"/>
  <c r="I15" i="972"/>
  <c r="I16" i="972"/>
  <c r="I17" i="972"/>
  <c r="I18" i="972"/>
  <c r="I16" i="1254"/>
  <c r="I17" i="1254"/>
  <c r="I21" i="1254"/>
  <c r="U9" i="1254"/>
  <c r="U10" i="1254"/>
  <c r="U18" i="1254"/>
  <c r="U19" i="1254"/>
  <c r="U20" i="1254"/>
  <c r="R9" i="1254"/>
  <c r="R10" i="1254"/>
  <c r="R11" i="1254"/>
  <c r="U11" i="1254" s="1"/>
  <c r="R12" i="1254"/>
  <c r="U12" i="1254" s="1"/>
  <c r="R13" i="1254"/>
  <c r="U13" i="1254" s="1"/>
  <c r="R14" i="1254"/>
  <c r="U14" i="1254" s="1"/>
  <c r="R15" i="1254"/>
  <c r="U15" i="1254" s="1"/>
  <c r="R16" i="1254"/>
  <c r="U16" i="1254" s="1"/>
  <c r="R17" i="1254"/>
  <c r="U17" i="1254" s="1"/>
  <c r="R18" i="1254"/>
  <c r="R19" i="1254"/>
  <c r="R20" i="1254"/>
  <c r="R21" i="1254"/>
  <c r="U21" i="1254" s="1"/>
  <c r="R24" i="1254"/>
  <c r="T22" i="1254"/>
  <c r="S22" i="1254"/>
  <c r="O22" i="1254"/>
  <c r="N22" i="1254"/>
  <c r="M22" i="1254"/>
  <c r="L22" i="1254"/>
  <c r="K22" i="1254"/>
  <c r="J22" i="1254"/>
  <c r="H22" i="1254"/>
  <c r="G22" i="1254"/>
  <c r="V6" i="1254"/>
  <c r="I9" i="1254" s="1"/>
  <c r="B2" i="1254"/>
  <c r="B1" i="1254"/>
  <c r="I14" i="1253"/>
  <c r="I15" i="1253"/>
  <c r="I16" i="1253"/>
  <c r="I17" i="1253"/>
  <c r="I21" i="1253"/>
  <c r="U9" i="1253"/>
  <c r="U10" i="1253"/>
  <c r="U11" i="1253"/>
  <c r="U17" i="1253"/>
  <c r="U18" i="1253"/>
  <c r="U19" i="1253"/>
  <c r="R9" i="1253"/>
  <c r="R10" i="1253"/>
  <c r="R11" i="1253"/>
  <c r="R12" i="1253"/>
  <c r="U12" i="1253" s="1"/>
  <c r="R13" i="1253"/>
  <c r="U13" i="1253" s="1"/>
  <c r="R14" i="1253"/>
  <c r="U14" i="1253" s="1"/>
  <c r="R15" i="1253"/>
  <c r="U15" i="1253" s="1"/>
  <c r="R16" i="1253"/>
  <c r="U16" i="1253" s="1"/>
  <c r="R17" i="1253"/>
  <c r="R18" i="1253"/>
  <c r="R19" i="1253"/>
  <c r="R20" i="1253"/>
  <c r="U20" i="1253" s="1"/>
  <c r="R21" i="1253"/>
  <c r="U21" i="1253" s="1"/>
  <c r="R24" i="1253"/>
  <c r="T22" i="1253"/>
  <c r="S22" i="1253"/>
  <c r="O22" i="1253"/>
  <c r="N22" i="1253"/>
  <c r="M22" i="1253"/>
  <c r="L22" i="1253"/>
  <c r="K22" i="1253"/>
  <c r="J22" i="1253"/>
  <c r="H22" i="1253"/>
  <c r="G22" i="1253"/>
  <c r="V6" i="1253"/>
  <c r="I9" i="1253" s="1"/>
  <c r="B2" i="1253"/>
  <c r="B1" i="1253"/>
  <c r="I12" i="1252"/>
  <c r="I13" i="1252"/>
  <c r="I14" i="1252"/>
  <c r="I15" i="1252"/>
  <c r="I17" i="1252"/>
  <c r="I19" i="1252"/>
  <c r="I20" i="1252"/>
  <c r="I21" i="1252"/>
  <c r="I22" i="1252"/>
  <c r="I23" i="1252"/>
  <c r="U13" i="1252"/>
  <c r="U18" i="1252"/>
  <c r="U20" i="1252"/>
  <c r="U21" i="1252"/>
  <c r="U22" i="1252"/>
  <c r="R9" i="1252"/>
  <c r="U9" i="1252" s="1"/>
  <c r="R10" i="1252"/>
  <c r="U10" i="1252" s="1"/>
  <c r="R11" i="1252"/>
  <c r="U11" i="1252" s="1"/>
  <c r="R12" i="1252"/>
  <c r="U12" i="1252" s="1"/>
  <c r="R13" i="1252"/>
  <c r="R14" i="1252"/>
  <c r="U14" i="1252" s="1"/>
  <c r="R15" i="1252"/>
  <c r="U15" i="1252" s="1"/>
  <c r="R16" i="1252"/>
  <c r="U16" i="1252" s="1"/>
  <c r="R17" i="1252"/>
  <c r="U17" i="1252" s="1"/>
  <c r="R18" i="1252"/>
  <c r="R19" i="1252"/>
  <c r="U19" i="1252" s="1"/>
  <c r="R20" i="1252"/>
  <c r="R21" i="1252"/>
  <c r="R22" i="1252"/>
  <c r="R23" i="1252"/>
  <c r="U23" i="1252" s="1"/>
  <c r="R26" i="1252"/>
  <c r="T24" i="1252"/>
  <c r="S24" i="1252"/>
  <c r="O24" i="1252"/>
  <c r="N24" i="1252"/>
  <c r="M24" i="1252"/>
  <c r="L24" i="1252"/>
  <c r="K24" i="1252"/>
  <c r="J24" i="1252"/>
  <c r="H24" i="1252"/>
  <c r="G24" i="1252"/>
  <c r="V6" i="1252"/>
  <c r="I9" i="1252" s="1"/>
  <c r="B2" i="1252"/>
  <c r="B1" i="1252"/>
  <c r="I16" i="1251"/>
  <c r="I17" i="1251"/>
  <c r="I19" i="1251"/>
  <c r="I20" i="1251"/>
  <c r="I21" i="1251"/>
  <c r="I22" i="1251"/>
  <c r="I23" i="1251"/>
  <c r="U20" i="1251"/>
  <c r="U21" i="1251"/>
  <c r="R9" i="1251"/>
  <c r="U9" i="1251" s="1"/>
  <c r="R10" i="1251"/>
  <c r="R24" i="1251" s="1"/>
  <c r="R11" i="1251"/>
  <c r="U11" i="1251" s="1"/>
  <c r="R12" i="1251"/>
  <c r="U12" i="1251" s="1"/>
  <c r="R13" i="1251"/>
  <c r="U13" i="1251" s="1"/>
  <c r="R14" i="1251"/>
  <c r="U14" i="1251" s="1"/>
  <c r="R15" i="1251"/>
  <c r="U15" i="1251" s="1"/>
  <c r="R16" i="1251"/>
  <c r="U16" i="1251" s="1"/>
  <c r="R17" i="1251"/>
  <c r="U17" i="1251" s="1"/>
  <c r="R18" i="1251"/>
  <c r="U18" i="1251" s="1"/>
  <c r="R19" i="1251"/>
  <c r="U19" i="1251" s="1"/>
  <c r="R20" i="1251"/>
  <c r="R21" i="1251"/>
  <c r="R22" i="1251"/>
  <c r="U22" i="1251" s="1"/>
  <c r="R23" i="1251"/>
  <c r="U23" i="1251" s="1"/>
  <c r="R26" i="1251"/>
  <c r="T24" i="1251"/>
  <c r="S24" i="1251"/>
  <c r="O24" i="1251"/>
  <c r="N24" i="1251"/>
  <c r="M24" i="1251"/>
  <c r="L24" i="1251"/>
  <c r="K24" i="1251"/>
  <c r="J24" i="1251"/>
  <c r="H24" i="1251"/>
  <c r="G24" i="1251"/>
  <c r="V6" i="1251"/>
  <c r="I9" i="1251" s="1"/>
  <c r="B2" i="1251"/>
  <c r="B1" i="1251"/>
  <c r="I16" i="1250"/>
  <c r="I17" i="1250"/>
  <c r="I20" i="1250"/>
  <c r="I21" i="1250"/>
  <c r="I22" i="1250"/>
  <c r="I23" i="1250"/>
  <c r="U16" i="1250"/>
  <c r="U21" i="1250"/>
  <c r="R9" i="1250"/>
  <c r="U9" i="1250" s="1"/>
  <c r="R10" i="1250"/>
  <c r="U10" i="1250" s="1"/>
  <c r="R11" i="1250"/>
  <c r="U11" i="1250" s="1"/>
  <c r="R12" i="1250"/>
  <c r="U12" i="1250" s="1"/>
  <c r="R13" i="1250"/>
  <c r="U13" i="1250" s="1"/>
  <c r="R14" i="1250"/>
  <c r="U14" i="1250" s="1"/>
  <c r="R15" i="1250"/>
  <c r="U15" i="1250" s="1"/>
  <c r="R16" i="1250"/>
  <c r="R17" i="1250"/>
  <c r="U17" i="1250" s="1"/>
  <c r="R18" i="1250"/>
  <c r="U18" i="1250" s="1"/>
  <c r="R19" i="1250"/>
  <c r="U19" i="1250" s="1"/>
  <c r="R20" i="1250"/>
  <c r="U20" i="1250" s="1"/>
  <c r="R21" i="1250"/>
  <c r="R22" i="1250"/>
  <c r="U22" i="1250" s="1"/>
  <c r="R23" i="1250"/>
  <c r="U23" i="1250" s="1"/>
  <c r="R26" i="1250"/>
  <c r="T24" i="1250"/>
  <c r="S24" i="1250"/>
  <c r="O24" i="1250"/>
  <c r="N24" i="1250"/>
  <c r="M24" i="1250"/>
  <c r="L24" i="1250"/>
  <c r="K24" i="1250"/>
  <c r="J24" i="1250"/>
  <c r="H24" i="1250"/>
  <c r="G24" i="1250"/>
  <c r="V6" i="1250"/>
  <c r="I9" i="1250" s="1"/>
  <c r="B2" i="1250"/>
  <c r="B1" i="1250"/>
  <c r="I17" i="1249"/>
  <c r="I19" i="1249"/>
  <c r="I20" i="1249"/>
  <c r="I21" i="1249"/>
  <c r="I22" i="1249"/>
  <c r="I23" i="1249"/>
  <c r="U17" i="1249"/>
  <c r="U20" i="1249"/>
  <c r="R9" i="1249"/>
  <c r="R10" i="1249"/>
  <c r="U10" i="1249" s="1"/>
  <c r="R11" i="1249"/>
  <c r="U11" i="1249" s="1"/>
  <c r="R12" i="1249"/>
  <c r="U12" i="1249" s="1"/>
  <c r="R13" i="1249"/>
  <c r="U13" i="1249" s="1"/>
  <c r="R14" i="1249"/>
  <c r="U14" i="1249" s="1"/>
  <c r="R15" i="1249"/>
  <c r="U15" i="1249" s="1"/>
  <c r="R16" i="1249"/>
  <c r="U16" i="1249" s="1"/>
  <c r="R17" i="1249"/>
  <c r="R18" i="1249"/>
  <c r="U18" i="1249" s="1"/>
  <c r="R19" i="1249"/>
  <c r="U19" i="1249" s="1"/>
  <c r="R20" i="1249"/>
  <c r="R21" i="1249"/>
  <c r="U21" i="1249" s="1"/>
  <c r="R22" i="1249"/>
  <c r="U22" i="1249" s="1"/>
  <c r="R23" i="1249"/>
  <c r="U23" i="1249" s="1"/>
  <c r="R26" i="1249"/>
  <c r="T24" i="1249"/>
  <c r="S24" i="1249"/>
  <c r="O24" i="1249"/>
  <c r="N24" i="1249"/>
  <c r="M24" i="1249"/>
  <c r="L24" i="1249"/>
  <c r="K24" i="1249"/>
  <c r="J24" i="1249"/>
  <c r="H24" i="1249"/>
  <c r="G24" i="1249"/>
  <c r="V6" i="1249"/>
  <c r="I9" i="1249" s="1"/>
  <c r="B2" i="1249"/>
  <c r="B1" i="1249"/>
  <c r="I20" i="1248"/>
  <c r="I21" i="1248"/>
  <c r="I22" i="1248"/>
  <c r="I23" i="1248"/>
  <c r="U20" i="1248"/>
  <c r="R9" i="1248"/>
  <c r="R24" i="1248" s="1"/>
  <c r="R10" i="1248"/>
  <c r="U10" i="1248" s="1"/>
  <c r="R11" i="1248"/>
  <c r="U11" i="1248" s="1"/>
  <c r="R12" i="1248"/>
  <c r="U12" i="1248" s="1"/>
  <c r="R13" i="1248"/>
  <c r="U13" i="1248" s="1"/>
  <c r="R14" i="1248"/>
  <c r="U14" i="1248" s="1"/>
  <c r="R15" i="1248"/>
  <c r="U15" i="1248" s="1"/>
  <c r="R16" i="1248"/>
  <c r="U16" i="1248" s="1"/>
  <c r="R17" i="1248"/>
  <c r="U17" i="1248" s="1"/>
  <c r="R18" i="1248"/>
  <c r="U18" i="1248" s="1"/>
  <c r="R19" i="1248"/>
  <c r="U19" i="1248" s="1"/>
  <c r="R20" i="1248"/>
  <c r="R21" i="1248"/>
  <c r="U21" i="1248" s="1"/>
  <c r="R22" i="1248"/>
  <c r="U22" i="1248" s="1"/>
  <c r="R23" i="1248"/>
  <c r="U23" i="1248" s="1"/>
  <c r="R26" i="1248"/>
  <c r="T24" i="1248"/>
  <c r="S24" i="1248"/>
  <c r="O24" i="1248"/>
  <c r="N24" i="1248"/>
  <c r="M24" i="1248"/>
  <c r="L24" i="1248"/>
  <c r="K24" i="1248"/>
  <c r="J24" i="1248"/>
  <c r="H24" i="1248"/>
  <c r="G24" i="1248"/>
  <c r="V6" i="1248"/>
  <c r="I9" i="1248" s="1"/>
  <c r="B2" i="1248"/>
  <c r="B1" i="1248"/>
  <c r="U16" i="1247"/>
  <c r="R9" i="1247"/>
  <c r="U9" i="1247" s="1"/>
  <c r="R10" i="1247"/>
  <c r="R11" i="1247"/>
  <c r="U11" i="1247" s="1"/>
  <c r="R12" i="1247"/>
  <c r="U12" i="1247" s="1"/>
  <c r="R13" i="1247"/>
  <c r="U13" i="1247" s="1"/>
  <c r="R14" i="1247"/>
  <c r="U14" i="1247" s="1"/>
  <c r="R15" i="1247"/>
  <c r="U15" i="1247" s="1"/>
  <c r="R16" i="1247"/>
  <c r="R17" i="1247"/>
  <c r="U17" i="1247" s="1"/>
  <c r="R18" i="1247"/>
  <c r="U18" i="1247" s="1"/>
  <c r="R19" i="1247"/>
  <c r="U19" i="1247" s="1"/>
  <c r="R20" i="1247"/>
  <c r="U20" i="1247" s="1"/>
  <c r="R21" i="1247"/>
  <c r="U21" i="1247" s="1"/>
  <c r="R22" i="1247"/>
  <c r="U22" i="1247" s="1"/>
  <c r="R23" i="1247"/>
  <c r="U23" i="1247" s="1"/>
  <c r="R26" i="1247"/>
  <c r="T24" i="1247"/>
  <c r="S24" i="1247"/>
  <c r="O24" i="1247"/>
  <c r="N24" i="1247"/>
  <c r="M24" i="1247"/>
  <c r="L24" i="1247"/>
  <c r="K24" i="1247"/>
  <c r="J24" i="1247"/>
  <c r="H24" i="1247"/>
  <c r="G24" i="1247"/>
  <c r="V6" i="1247"/>
  <c r="I9" i="1247" s="1"/>
  <c r="B2" i="1247"/>
  <c r="B1" i="1247"/>
  <c r="I19" i="1246"/>
  <c r="I20" i="1246"/>
  <c r="I21" i="1246"/>
  <c r="I22" i="1246"/>
  <c r="I23" i="1246"/>
  <c r="U20" i="1246"/>
  <c r="R9" i="1246"/>
  <c r="U9" i="1246" s="1"/>
  <c r="R10" i="1246"/>
  <c r="U10" i="1246" s="1"/>
  <c r="R11" i="1246"/>
  <c r="U11" i="1246" s="1"/>
  <c r="R12" i="1246"/>
  <c r="U12" i="1246" s="1"/>
  <c r="R13" i="1246"/>
  <c r="U13" i="1246" s="1"/>
  <c r="R14" i="1246"/>
  <c r="U14" i="1246" s="1"/>
  <c r="R15" i="1246"/>
  <c r="U15" i="1246" s="1"/>
  <c r="R16" i="1246"/>
  <c r="U16" i="1246" s="1"/>
  <c r="R17" i="1246"/>
  <c r="U17" i="1246" s="1"/>
  <c r="R18" i="1246"/>
  <c r="U18" i="1246" s="1"/>
  <c r="R19" i="1246"/>
  <c r="U19" i="1246" s="1"/>
  <c r="R20" i="1246"/>
  <c r="R21" i="1246"/>
  <c r="U21" i="1246" s="1"/>
  <c r="R22" i="1246"/>
  <c r="U22" i="1246" s="1"/>
  <c r="R23" i="1246"/>
  <c r="U23" i="1246" s="1"/>
  <c r="R26" i="1246"/>
  <c r="T24" i="1246"/>
  <c r="S24" i="1246"/>
  <c r="O24" i="1246"/>
  <c r="N24" i="1246"/>
  <c r="M24" i="1246"/>
  <c r="L24" i="1246"/>
  <c r="K24" i="1246"/>
  <c r="J24" i="1246"/>
  <c r="H24" i="1246"/>
  <c r="G24" i="1246"/>
  <c r="V6" i="1246"/>
  <c r="I9" i="1246" s="1"/>
  <c r="B2" i="1246"/>
  <c r="B1" i="1246"/>
  <c r="I19" i="1245"/>
  <c r="I20" i="1245"/>
  <c r="I21" i="1245"/>
  <c r="I22" i="1245"/>
  <c r="I23" i="1245"/>
  <c r="U20" i="1245"/>
  <c r="R9" i="1245"/>
  <c r="U9" i="1245" s="1"/>
  <c r="R10" i="1245"/>
  <c r="U10" i="1245" s="1"/>
  <c r="R11" i="1245"/>
  <c r="U11" i="1245" s="1"/>
  <c r="R12" i="1245"/>
  <c r="U12" i="1245" s="1"/>
  <c r="R13" i="1245"/>
  <c r="U13" i="1245" s="1"/>
  <c r="R14" i="1245"/>
  <c r="U14" i="1245" s="1"/>
  <c r="R15" i="1245"/>
  <c r="U15" i="1245" s="1"/>
  <c r="R16" i="1245"/>
  <c r="U16" i="1245" s="1"/>
  <c r="R17" i="1245"/>
  <c r="U17" i="1245" s="1"/>
  <c r="R18" i="1245"/>
  <c r="U18" i="1245" s="1"/>
  <c r="R19" i="1245"/>
  <c r="U19" i="1245" s="1"/>
  <c r="R20" i="1245"/>
  <c r="R21" i="1245"/>
  <c r="U21" i="1245" s="1"/>
  <c r="R22" i="1245"/>
  <c r="U22" i="1245" s="1"/>
  <c r="R23" i="1245"/>
  <c r="U23" i="1245" s="1"/>
  <c r="R26" i="1245"/>
  <c r="T24" i="1245"/>
  <c r="S24" i="1245"/>
  <c r="O24" i="1245"/>
  <c r="N24" i="1245"/>
  <c r="M24" i="1245"/>
  <c r="L24" i="1245"/>
  <c r="K24" i="1245"/>
  <c r="J24" i="1245"/>
  <c r="H24" i="1245"/>
  <c r="G24" i="1245"/>
  <c r="V6" i="1245"/>
  <c r="I9" i="1245" s="1"/>
  <c r="B2" i="1245"/>
  <c r="B1" i="1245"/>
  <c r="U20" i="1244"/>
  <c r="R9" i="1244"/>
  <c r="U9" i="1244" s="1"/>
  <c r="R10" i="1244"/>
  <c r="R11" i="1244"/>
  <c r="U11" i="1244" s="1"/>
  <c r="R12" i="1244"/>
  <c r="U12" i="1244" s="1"/>
  <c r="R13" i="1244"/>
  <c r="U13" i="1244" s="1"/>
  <c r="R14" i="1244"/>
  <c r="U14" i="1244" s="1"/>
  <c r="R15" i="1244"/>
  <c r="U15" i="1244" s="1"/>
  <c r="R16" i="1244"/>
  <c r="U16" i="1244" s="1"/>
  <c r="R17" i="1244"/>
  <c r="U17" i="1244" s="1"/>
  <c r="R18" i="1244"/>
  <c r="U18" i="1244" s="1"/>
  <c r="R19" i="1244"/>
  <c r="U19" i="1244" s="1"/>
  <c r="R20" i="1244"/>
  <c r="R21" i="1244"/>
  <c r="U21" i="1244" s="1"/>
  <c r="R22" i="1244"/>
  <c r="U22" i="1244" s="1"/>
  <c r="R23" i="1244"/>
  <c r="U23" i="1244" s="1"/>
  <c r="R26" i="1244"/>
  <c r="T24" i="1244"/>
  <c r="S24" i="1244"/>
  <c r="O24" i="1244"/>
  <c r="N24" i="1244"/>
  <c r="M24" i="1244"/>
  <c r="L24" i="1244"/>
  <c r="K24" i="1244"/>
  <c r="J24" i="1244"/>
  <c r="H24" i="1244"/>
  <c r="G24" i="1244"/>
  <c r="V6" i="1244"/>
  <c r="I9" i="1244" s="1"/>
  <c r="B2" i="1244"/>
  <c r="B1" i="1244"/>
  <c r="U20" i="1243"/>
  <c r="U21" i="1243"/>
  <c r="U22" i="1243"/>
  <c r="U23" i="1243"/>
  <c r="R9" i="1243"/>
  <c r="R24" i="1243" s="1"/>
  <c r="R10" i="1243"/>
  <c r="U10" i="1243" s="1"/>
  <c r="R11" i="1243"/>
  <c r="U11" i="1243" s="1"/>
  <c r="R12" i="1243"/>
  <c r="U12" i="1243" s="1"/>
  <c r="R13" i="1243"/>
  <c r="U13" i="1243" s="1"/>
  <c r="R14" i="1243"/>
  <c r="U14" i="1243" s="1"/>
  <c r="R15" i="1243"/>
  <c r="U15" i="1243" s="1"/>
  <c r="R16" i="1243"/>
  <c r="U16" i="1243" s="1"/>
  <c r="R17" i="1243"/>
  <c r="U17" i="1243" s="1"/>
  <c r="R18" i="1243"/>
  <c r="U18" i="1243" s="1"/>
  <c r="R19" i="1243"/>
  <c r="U19" i="1243" s="1"/>
  <c r="R20" i="1243"/>
  <c r="R21" i="1243"/>
  <c r="R22" i="1243"/>
  <c r="R23" i="1243"/>
  <c r="R26" i="1243"/>
  <c r="T24" i="1243"/>
  <c r="S24" i="1243"/>
  <c r="O24" i="1243"/>
  <c r="N24" i="1243"/>
  <c r="M24" i="1243"/>
  <c r="L24" i="1243"/>
  <c r="K24" i="1243"/>
  <c r="J24" i="1243"/>
  <c r="H24" i="1243"/>
  <c r="G24" i="1243"/>
  <c r="V6" i="1243"/>
  <c r="I9" i="1243" s="1"/>
  <c r="B2" i="1243"/>
  <c r="B1" i="1243"/>
  <c r="L12" i="1229"/>
  <c r="D12" i="1229"/>
  <c r="D11" i="1229"/>
  <c r="J10" i="1229"/>
  <c r="D10" i="1229"/>
  <c r="A9" i="1229"/>
  <c r="A1" i="1229"/>
  <c r="U22" i="1254" l="1"/>
  <c r="I20" i="1254"/>
  <c r="I19" i="1254"/>
  <c r="I18" i="1254"/>
  <c r="I14" i="1254"/>
  <c r="R22" i="1254"/>
  <c r="I13" i="1254"/>
  <c r="I12" i="1254"/>
  <c r="I11" i="1254"/>
  <c r="I10" i="1254"/>
  <c r="I15" i="1254"/>
  <c r="U22" i="1253"/>
  <c r="R22" i="1253"/>
  <c r="I20" i="1253"/>
  <c r="I19" i="1253"/>
  <c r="I18" i="1253"/>
  <c r="I13" i="1253"/>
  <c r="I12" i="1253"/>
  <c r="I11" i="1253"/>
  <c r="I10" i="1253"/>
  <c r="I22" i="1253" s="1"/>
  <c r="U24" i="1252"/>
  <c r="I18" i="1252"/>
  <c r="I16" i="1252"/>
  <c r="I11" i="1252"/>
  <c r="R24" i="1252"/>
  <c r="I10" i="1252"/>
  <c r="I24" i="1252" s="1"/>
  <c r="I18" i="1251"/>
  <c r="I15" i="1251"/>
  <c r="I14" i="1251"/>
  <c r="I13" i="1251"/>
  <c r="I12" i="1251"/>
  <c r="I11" i="1251"/>
  <c r="I10" i="1251"/>
  <c r="I24" i="1251"/>
  <c r="U10" i="1251"/>
  <c r="U24" i="1251" s="1"/>
  <c r="U24" i="1250"/>
  <c r="I19" i="1250"/>
  <c r="I18" i="1250"/>
  <c r="I15" i="1250"/>
  <c r="I14" i="1250"/>
  <c r="I13" i="1250"/>
  <c r="I12" i="1250"/>
  <c r="I11" i="1250"/>
  <c r="I10" i="1250"/>
  <c r="I24" i="1250" s="1"/>
  <c r="R24" i="1250"/>
  <c r="I18" i="1249"/>
  <c r="R24" i="1249"/>
  <c r="I16" i="1249"/>
  <c r="I15" i="1249"/>
  <c r="I14" i="1249"/>
  <c r="I13" i="1249"/>
  <c r="I12" i="1249"/>
  <c r="I11" i="1249"/>
  <c r="I10" i="1249"/>
  <c r="I24" i="1249" s="1"/>
  <c r="U9" i="1249"/>
  <c r="U24" i="1249" s="1"/>
  <c r="I18" i="1248"/>
  <c r="I15" i="1248"/>
  <c r="I14" i="1248"/>
  <c r="I13" i="1248"/>
  <c r="I12" i="1248"/>
  <c r="I11" i="1248"/>
  <c r="U9" i="1248"/>
  <c r="U24" i="1248" s="1"/>
  <c r="I19" i="1248"/>
  <c r="I17" i="1248"/>
  <c r="I10" i="1248"/>
  <c r="I16" i="1248"/>
  <c r="I16" i="1247"/>
  <c r="I15" i="1247"/>
  <c r="I14" i="1247"/>
  <c r="I22" i="1247"/>
  <c r="I21" i="1247"/>
  <c r="I13" i="1247"/>
  <c r="I12" i="1247"/>
  <c r="I11" i="1247"/>
  <c r="I23" i="1247"/>
  <c r="I18" i="1247"/>
  <c r="I17" i="1247"/>
  <c r="I10" i="1247"/>
  <c r="R24" i="1247"/>
  <c r="I20" i="1247"/>
  <c r="I19" i="1247"/>
  <c r="U10" i="1247"/>
  <c r="U24" i="1247" s="1"/>
  <c r="U24" i="1246"/>
  <c r="I18" i="1246"/>
  <c r="I15" i="1246"/>
  <c r="I14" i="1246"/>
  <c r="I13" i="1246"/>
  <c r="I12" i="1246"/>
  <c r="I11" i="1246"/>
  <c r="I10" i="1246"/>
  <c r="I24" i="1246" s="1"/>
  <c r="I17" i="1246"/>
  <c r="I16" i="1246"/>
  <c r="R24" i="1246"/>
  <c r="U24" i="1245"/>
  <c r="I18" i="1245"/>
  <c r="I14" i="1245"/>
  <c r="I17" i="1245"/>
  <c r="I13" i="1245"/>
  <c r="I12" i="1245"/>
  <c r="I11" i="1245"/>
  <c r="I16" i="1245"/>
  <c r="I10" i="1245"/>
  <c r="I15" i="1245"/>
  <c r="R24" i="1245"/>
  <c r="R24" i="1244"/>
  <c r="I23" i="1244"/>
  <c r="I19" i="1244"/>
  <c r="I18" i="1244"/>
  <c r="I14" i="1244"/>
  <c r="I13" i="1244"/>
  <c r="I12" i="1244"/>
  <c r="I20" i="1244"/>
  <c r="I17" i="1244"/>
  <c r="I11" i="1244"/>
  <c r="I21" i="1244"/>
  <c r="I15" i="1244"/>
  <c r="I10" i="1244"/>
  <c r="I22" i="1244"/>
  <c r="I16" i="1244"/>
  <c r="U10" i="1244"/>
  <c r="U24" i="1244" s="1"/>
  <c r="U24" i="1243"/>
  <c r="I22" i="1243"/>
  <c r="I21" i="1243"/>
  <c r="I20" i="1243"/>
  <c r="I19" i="1243"/>
  <c r="I18" i="1243"/>
  <c r="I16" i="1243"/>
  <c r="I17" i="1243"/>
  <c r="I15" i="1243"/>
  <c r="I14" i="1243"/>
  <c r="I13" i="1243"/>
  <c r="I12" i="1243"/>
  <c r="U9" i="1243"/>
  <c r="I23" i="1243"/>
  <c r="I11" i="1243"/>
  <c r="I10" i="1243"/>
  <c r="I22" i="1254" l="1"/>
  <c r="I24" i="1248"/>
  <c r="I24" i="1247"/>
  <c r="I24" i="1245"/>
  <c r="I24" i="1244"/>
  <c r="I24" i="1243"/>
  <c r="AL8" i="1212" l="1"/>
  <c r="AL9" i="1212"/>
  <c r="AL10" i="1212"/>
  <c r="AL11" i="1212"/>
  <c r="AL12" i="1212"/>
  <c r="AL13" i="1212"/>
  <c r="AL14" i="1212"/>
  <c r="AL15" i="1212"/>
  <c r="AL16" i="1212"/>
  <c r="AL17" i="1212"/>
  <c r="AL18" i="1212"/>
  <c r="AL19" i="1212"/>
  <c r="AL20" i="1212"/>
  <c r="AL21" i="1212"/>
  <c r="AL22" i="1212"/>
  <c r="P5" i="1212"/>
  <c r="W25" i="1212" s="1"/>
  <c r="B2" i="1212"/>
  <c r="B1" i="1212"/>
  <c r="AL8" i="1211"/>
  <c r="AL9" i="1211"/>
  <c r="AL10" i="1211"/>
  <c r="AL11" i="1211"/>
  <c r="AL12" i="1211"/>
  <c r="AL13" i="1211"/>
  <c r="AL14" i="1211"/>
  <c r="AL15" i="1211"/>
  <c r="AL16" i="1211"/>
  <c r="AL17" i="1211"/>
  <c r="AL18" i="1211"/>
  <c r="AL19" i="1211"/>
  <c r="AL20" i="1211"/>
  <c r="AL21" i="1211"/>
  <c r="AL22" i="1211"/>
  <c r="P5" i="1211"/>
  <c r="W25" i="1211" s="1"/>
  <c r="B2" i="1211"/>
  <c r="B1" i="1211"/>
  <c r="AL8" i="1210"/>
  <c r="AL9" i="1210"/>
  <c r="AL10" i="1210"/>
  <c r="AL11" i="1210"/>
  <c r="AL12" i="1210"/>
  <c r="AL13" i="1210"/>
  <c r="AL14" i="1210"/>
  <c r="AL15" i="1210"/>
  <c r="AL16" i="1210"/>
  <c r="AL17" i="1210"/>
  <c r="AL18" i="1210"/>
  <c r="AL19" i="1210"/>
  <c r="AL20" i="1210"/>
  <c r="AL21" i="1210"/>
  <c r="AL22" i="1210"/>
  <c r="P5" i="1210"/>
  <c r="W25" i="1210" s="1"/>
  <c r="B2" i="1210"/>
  <c r="B1" i="1210"/>
  <c r="AL8" i="1209"/>
  <c r="AL9" i="1209"/>
  <c r="AL10" i="1209"/>
  <c r="AL11" i="1209"/>
  <c r="AL12" i="1209"/>
  <c r="AL13" i="1209"/>
  <c r="AL14" i="1209"/>
  <c r="AL15" i="1209"/>
  <c r="AL16" i="1209"/>
  <c r="AL17" i="1209"/>
  <c r="AL18" i="1209"/>
  <c r="AL19" i="1209"/>
  <c r="AL20" i="1209"/>
  <c r="AL21" i="1209"/>
  <c r="AL22" i="1209"/>
  <c r="P5" i="1209"/>
  <c r="W25" i="1209" s="1"/>
  <c r="B2" i="1209"/>
  <c r="B1" i="1209"/>
  <c r="AL8" i="1208"/>
  <c r="AL9" i="1208"/>
  <c r="AL10" i="1208"/>
  <c r="AL11" i="1208"/>
  <c r="AL12" i="1208"/>
  <c r="AL13" i="1208"/>
  <c r="AL14" i="1208"/>
  <c r="AL15" i="1208"/>
  <c r="AL16" i="1208"/>
  <c r="AL17" i="1208"/>
  <c r="AL18" i="1208"/>
  <c r="AL19" i="1208"/>
  <c r="AL20" i="1208"/>
  <c r="AL21" i="1208"/>
  <c r="AL22" i="1208"/>
  <c r="P5" i="1208"/>
  <c r="W25" i="1208" s="1"/>
  <c r="B2" i="1208"/>
  <c r="B1" i="1208"/>
  <c r="AL8" i="1207"/>
  <c r="AL9" i="1207"/>
  <c r="AL10" i="1207"/>
  <c r="AL11" i="1207"/>
  <c r="AL12" i="1207"/>
  <c r="AL13" i="1207"/>
  <c r="AL14" i="1207"/>
  <c r="AL15" i="1207"/>
  <c r="AL16" i="1207"/>
  <c r="AL17" i="1207"/>
  <c r="AL18" i="1207"/>
  <c r="AL19" i="1207"/>
  <c r="AL20" i="1207"/>
  <c r="AL21" i="1207"/>
  <c r="AL22" i="1207"/>
  <c r="P5" i="1207"/>
  <c r="G6" i="1207" s="1"/>
  <c r="B2" i="1207"/>
  <c r="B1" i="1207"/>
  <c r="AL8" i="1200"/>
  <c r="AL9" i="1200"/>
  <c r="AL10" i="1200"/>
  <c r="AL11" i="1200"/>
  <c r="AL12" i="1200"/>
  <c r="AL13" i="1200"/>
  <c r="AL14" i="1200"/>
  <c r="AL15" i="1200"/>
  <c r="AL16" i="1200"/>
  <c r="AL17" i="1200"/>
  <c r="AL18" i="1200"/>
  <c r="AL19" i="1200"/>
  <c r="AL20" i="1200"/>
  <c r="AL21" i="1200"/>
  <c r="AL22" i="1200"/>
  <c r="P5" i="1200"/>
  <c r="W25" i="1200" s="1"/>
  <c r="B2" i="1200"/>
  <c r="B1" i="1200"/>
  <c r="AL8" i="1194"/>
  <c r="AL9" i="1194"/>
  <c r="AL10" i="1194"/>
  <c r="AL11" i="1194"/>
  <c r="AL12" i="1194"/>
  <c r="AL13" i="1194"/>
  <c r="AL14" i="1194"/>
  <c r="AL15" i="1194"/>
  <c r="AL16" i="1194"/>
  <c r="AL17" i="1194"/>
  <c r="AL18" i="1194"/>
  <c r="AL19" i="1194"/>
  <c r="AL20" i="1194"/>
  <c r="P5" i="1194"/>
  <c r="W23" i="1194" s="1"/>
  <c r="B2" i="1194"/>
  <c r="B1" i="1194"/>
  <c r="AL8" i="1193"/>
  <c r="AL9" i="1193"/>
  <c r="AL10" i="1193"/>
  <c r="AL11" i="1193"/>
  <c r="AL12" i="1193"/>
  <c r="AL13" i="1193"/>
  <c r="AL14" i="1193"/>
  <c r="AL15" i="1193"/>
  <c r="AL16" i="1193"/>
  <c r="AL17" i="1193"/>
  <c r="AL18" i="1193"/>
  <c r="AL19" i="1193"/>
  <c r="AL20" i="1193"/>
  <c r="P5" i="1193"/>
  <c r="W23" i="1193" s="1"/>
  <c r="B2" i="1193"/>
  <c r="B1" i="1193"/>
  <c r="AL8" i="1192"/>
  <c r="AL9" i="1192"/>
  <c r="AL10" i="1192"/>
  <c r="AL11" i="1192"/>
  <c r="AL12" i="1192"/>
  <c r="AL13" i="1192"/>
  <c r="AL14" i="1192"/>
  <c r="AL15" i="1192"/>
  <c r="AL16" i="1192"/>
  <c r="AL17" i="1192"/>
  <c r="AL18" i="1192"/>
  <c r="AL19" i="1192"/>
  <c r="AL20" i="1192"/>
  <c r="AL21" i="1192"/>
  <c r="AL22" i="1192"/>
  <c r="P5" i="1192"/>
  <c r="W25" i="1192" s="1"/>
  <c r="B2" i="1192"/>
  <c r="B1" i="1192"/>
  <c r="AL8" i="1191"/>
  <c r="AL9" i="1191"/>
  <c r="AL10" i="1191"/>
  <c r="AL11" i="1191"/>
  <c r="AL12" i="1191"/>
  <c r="AL13" i="1191"/>
  <c r="AL14" i="1191"/>
  <c r="AL15" i="1191"/>
  <c r="AL16" i="1191"/>
  <c r="AL17" i="1191"/>
  <c r="AL18" i="1191"/>
  <c r="AL19" i="1191"/>
  <c r="AL20" i="1191"/>
  <c r="AL21" i="1191"/>
  <c r="AL22" i="1191"/>
  <c r="P5" i="1191"/>
  <c r="W25" i="1191" s="1"/>
  <c r="B2" i="1191"/>
  <c r="B1" i="1191"/>
  <c r="AL8" i="1190"/>
  <c r="AL9" i="1190"/>
  <c r="AL10" i="1190"/>
  <c r="AL11" i="1190"/>
  <c r="AL12" i="1190"/>
  <c r="AL13" i="1190"/>
  <c r="AL14" i="1190"/>
  <c r="AL15" i="1190"/>
  <c r="AL16" i="1190"/>
  <c r="AL17" i="1190"/>
  <c r="AL18" i="1190"/>
  <c r="AL19" i="1190"/>
  <c r="AL20" i="1190"/>
  <c r="AL21" i="1190"/>
  <c r="AL22" i="1190"/>
  <c r="P5" i="1190"/>
  <c r="W25" i="1190" s="1"/>
  <c r="B2" i="1190"/>
  <c r="B1" i="1190"/>
  <c r="A5" i="969"/>
  <c r="A2" i="969"/>
  <c r="A1" i="969"/>
  <c r="A5" i="956"/>
  <c r="A2" i="956"/>
  <c r="A1" i="956"/>
  <c r="G6" i="1212" l="1"/>
  <c r="G6" i="1211"/>
  <c r="G6" i="1210"/>
  <c r="G6" i="1209"/>
  <c r="G6" i="1208"/>
  <c r="W25" i="1207"/>
  <c r="H6" i="1207"/>
  <c r="G7" i="1207"/>
  <c r="G6" i="1200"/>
  <c r="G6" i="1194"/>
  <c r="G6" i="1193"/>
  <c r="G6" i="1192"/>
  <c r="G6" i="1191"/>
  <c r="G6" i="1190"/>
  <c r="G7" i="1212" l="1"/>
  <c r="H6" i="1212"/>
  <c r="G7" i="1211"/>
  <c r="H6" i="1211"/>
  <c r="H6" i="1210"/>
  <c r="G7" i="1210"/>
  <c r="H6" i="1209"/>
  <c r="G7" i="1209"/>
  <c r="G7" i="1208"/>
  <c r="H6" i="1208"/>
  <c r="I6" i="1207"/>
  <c r="H7" i="1207"/>
  <c r="G7" i="1200"/>
  <c r="H6" i="1200"/>
  <c r="H6" i="1194"/>
  <c r="G7" i="1194"/>
  <c r="H6" i="1193"/>
  <c r="G7" i="1193"/>
  <c r="H6" i="1192"/>
  <c r="G7" i="1192"/>
  <c r="H6" i="1191"/>
  <c r="G7" i="1191"/>
  <c r="H6" i="1190"/>
  <c r="G7" i="1190"/>
  <c r="H7" i="1212" l="1"/>
  <c r="I6" i="1212"/>
  <c r="H7" i="1211"/>
  <c r="I6" i="1211"/>
  <c r="I6" i="1210"/>
  <c r="H7" i="1210"/>
  <c r="I6" i="1209"/>
  <c r="H7" i="1209"/>
  <c r="I6" i="1208"/>
  <c r="H7" i="1208"/>
  <c r="I7" i="1207"/>
  <c r="J6" i="1207"/>
  <c r="H7" i="1200"/>
  <c r="I6" i="1200"/>
  <c r="I6" i="1194"/>
  <c r="H7" i="1194"/>
  <c r="I6" i="1193"/>
  <c r="H7" i="1193"/>
  <c r="H7" i="1192"/>
  <c r="I6" i="1192"/>
  <c r="H7" i="1191"/>
  <c r="I6" i="1191"/>
  <c r="H7" i="1190"/>
  <c r="I6" i="1190"/>
  <c r="J6" i="1212" l="1"/>
  <c r="I7" i="1212"/>
  <c r="I7" i="1211"/>
  <c r="J6" i="1211"/>
  <c r="I7" i="1210"/>
  <c r="J6" i="1210"/>
  <c r="I7" i="1209"/>
  <c r="J6" i="1209"/>
  <c r="J6" i="1208"/>
  <c r="I7" i="1208"/>
  <c r="K6" i="1207"/>
  <c r="J7" i="1207"/>
  <c r="J6" i="1200"/>
  <c r="I7" i="1200"/>
  <c r="J6" i="1194"/>
  <c r="I7" i="1194"/>
  <c r="J6" i="1193"/>
  <c r="I7" i="1193"/>
  <c r="J6" i="1192"/>
  <c r="I7" i="1192"/>
  <c r="I7" i="1191"/>
  <c r="J6" i="1191"/>
  <c r="J6" i="1190"/>
  <c r="I7" i="1190"/>
  <c r="K6" i="1212" l="1"/>
  <c r="J7" i="1212"/>
  <c r="K6" i="1211"/>
  <c r="J7" i="1211"/>
  <c r="K6" i="1210"/>
  <c r="J7" i="1210"/>
  <c r="K6" i="1209"/>
  <c r="J7" i="1209"/>
  <c r="K6" i="1208"/>
  <c r="J7" i="1208"/>
  <c r="L6" i="1207"/>
  <c r="K7" i="1207"/>
  <c r="K6" i="1200"/>
  <c r="J7" i="1200"/>
  <c r="K6" i="1194"/>
  <c r="J7" i="1194"/>
  <c r="K6" i="1193"/>
  <c r="J7" i="1193"/>
  <c r="K6" i="1192"/>
  <c r="J7" i="1192"/>
  <c r="J7" i="1191"/>
  <c r="K6" i="1191"/>
  <c r="J7" i="1190"/>
  <c r="K6" i="1190"/>
  <c r="L6" i="1212" l="1"/>
  <c r="K7" i="1212"/>
  <c r="L6" i="1211"/>
  <c r="K7" i="1211"/>
  <c r="L6" i="1210"/>
  <c r="K7" i="1210"/>
  <c r="L6" i="1209"/>
  <c r="K7" i="1209"/>
  <c r="K7" i="1208"/>
  <c r="L6" i="1208"/>
  <c r="L7" i="1207"/>
  <c r="M6" i="1207"/>
  <c r="L6" i="1200"/>
  <c r="K7" i="1200"/>
  <c r="L6" i="1194"/>
  <c r="K7" i="1194"/>
  <c r="K7" i="1193"/>
  <c r="L6" i="1193"/>
  <c r="L6" i="1192"/>
  <c r="K7" i="1192"/>
  <c r="K7" i="1191"/>
  <c r="L6" i="1191"/>
  <c r="L6" i="1190"/>
  <c r="K7" i="1190"/>
  <c r="M6" i="1212" l="1"/>
  <c r="L7" i="1212"/>
  <c r="M6" i="1211"/>
  <c r="L7" i="1211"/>
  <c r="L7" i="1210"/>
  <c r="M6" i="1210"/>
  <c r="M6" i="1209"/>
  <c r="L7" i="1209"/>
  <c r="M6" i="1208"/>
  <c r="L7" i="1208"/>
  <c r="N6" i="1207"/>
  <c r="M7" i="1207"/>
  <c r="M6" i="1200"/>
  <c r="L7" i="1200"/>
  <c r="M6" i="1194"/>
  <c r="L7" i="1194"/>
  <c r="M6" i="1193"/>
  <c r="L7" i="1193"/>
  <c r="M6" i="1192"/>
  <c r="L7" i="1192"/>
  <c r="L7" i="1191"/>
  <c r="M6" i="1191"/>
  <c r="L7" i="1190"/>
  <c r="M6" i="1190"/>
  <c r="N6" i="1212" l="1"/>
  <c r="M7" i="1212"/>
  <c r="N6" i="1211"/>
  <c r="M7" i="1211"/>
  <c r="N6" i="1210"/>
  <c r="M7" i="1210"/>
  <c r="N6" i="1209"/>
  <c r="M7" i="1209"/>
  <c r="M7" i="1208"/>
  <c r="N6" i="1208"/>
  <c r="O6" i="1207"/>
  <c r="N7" i="1207"/>
  <c r="N6" i="1200"/>
  <c r="M7" i="1200"/>
  <c r="N6" i="1194"/>
  <c r="M7" i="1194"/>
  <c r="M7" i="1193"/>
  <c r="N6" i="1193"/>
  <c r="N6" i="1192"/>
  <c r="M7" i="1192"/>
  <c r="N6" i="1191"/>
  <c r="M7" i="1191"/>
  <c r="N6" i="1190"/>
  <c r="M7" i="1190"/>
  <c r="N7" i="1212" l="1"/>
  <c r="O6" i="1212"/>
  <c r="O6" i="1211"/>
  <c r="N7" i="1211"/>
  <c r="N7" i="1210"/>
  <c r="O6" i="1210"/>
  <c r="N7" i="1209"/>
  <c r="O6" i="1209"/>
  <c r="O6" i="1208"/>
  <c r="N7" i="1208"/>
  <c r="P6" i="1207"/>
  <c r="O7" i="1207"/>
  <c r="O6" i="1200"/>
  <c r="N7" i="1200"/>
  <c r="O6" i="1194"/>
  <c r="N7" i="1194"/>
  <c r="O6" i="1193"/>
  <c r="N7" i="1193"/>
  <c r="O6" i="1192"/>
  <c r="N7" i="1192"/>
  <c r="O6" i="1191"/>
  <c r="N7" i="1191"/>
  <c r="N7" i="1190"/>
  <c r="O6" i="1190"/>
  <c r="P6" i="1212" l="1"/>
  <c r="O7" i="1212"/>
  <c r="O7" i="1211"/>
  <c r="P6" i="1211"/>
  <c r="P6" i="1210"/>
  <c r="O7" i="1210"/>
  <c r="O7" i="1209"/>
  <c r="P6" i="1209"/>
  <c r="O7" i="1208"/>
  <c r="P6" i="1208"/>
  <c r="Q6" i="1207"/>
  <c r="P7" i="1207"/>
  <c r="P6" i="1200"/>
  <c r="O7" i="1200"/>
  <c r="P6" i="1194"/>
  <c r="O7" i="1194"/>
  <c r="P6" i="1193"/>
  <c r="O7" i="1193"/>
  <c r="P6" i="1192"/>
  <c r="O7" i="1192"/>
  <c r="P6" i="1191"/>
  <c r="O7" i="1191"/>
  <c r="P6" i="1190"/>
  <c r="O7" i="1190"/>
  <c r="P7" i="1212" l="1"/>
  <c r="Q6" i="1212"/>
  <c r="Q6" i="1211"/>
  <c r="P7" i="1211"/>
  <c r="Q6" i="1210"/>
  <c r="P7" i="1210"/>
  <c r="P7" i="1209"/>
  <c r="Q6" i="1209"/>
  <c r="P7" i="1208"/>
  <c r="Q6" i="1208"/>
  <c r="R6" i="1207"/>
  <c r="Q7" i="1207"/>
  <c r="P7" i="1200"/>
  <c r="Q6" i="1200"/>
  <c r="Q6" i="1194"/>
  <c r="P7" i="1194"/>
  <c r="Q6" i="1193"/>
  <c r="P7" i="1193"/>
  <c r="P7" i="1192"/>
  <c r="Q6" i="1192"/>
  <c r="Q6" i="1191"/>
  <c r="P7" i="1191"/>
  <c r="Q6" i="1190"/>
  <c r="P7" i="1190"/>
  <c r="R6" i="1212" l="1"/>
  <c r="Q7" i="1212"/>
  <c r="R6" i="1211"/>
  <c r="Q7" i="1211"/>
  <c r="R6" i="1210"/>
  <c r="Q7" i="1210"/>
  <c r="R6" i="1209"/>
  <c r="Q7" i="1209"/>
  <c r="R6" i="1208"/>
  <c r="Q7" i="1208"/>
  <c r="S6" i="1207"/>
  <c r="R7" i="1207"/>
  <c r="R6" i="1200"/>
  <c r="Q7" i="1200"/>
  <c r="Q7" i="1194"/>
  <c r="R6" i="1194"/>
  <c r="R6" i="1193"/>
  <c r="Q7" i="1193"/>
  <c r="R6" i="1192"/>
  <c r="Q7" i="1192"/>
  <c r="R6" i="1191"/>
  <c r="Q7" i="1191"/>
  <c r="R6" i="1190"/>
  <c r="Q7" i="1190"/>
  <c r="S6" i="1212" l="1"/>
  <c r="R7" i="1212"/>
  <c r="S6" i="1211"/>
  <c r="R7" i="1211"/>
  <c r="S6" i="1210"/>
  <c r="R7" i="1210"/>
  <c r="S6" i="1209"/>
  <c r="R7" i="1209"/>
  <c r="S6" i="1208"/>
  <c r="R7" i="1208"/>
  <c r="T6" i="1207"/>
  <c r="S7" i="1207"/>
  <c r="S6" i="1200"/>
  <c r="R7" i="1200"/>
  <c r="S6" i="1194"/>
  <c r="R7" i="1194"/>
  <c r="S6" i="1193"/>
  <c r="R7" i="1193"/>
  <c r="S6" i="1192"/>
  <c r="R7" i="1192"/>
  <c r="S6" i="1191"/>
  <c r="R7" i="1191"/>
  <c r="S6" i="1190"/>
  <c r="R7" i="1190"/>
  <c r="T6" i="1212" l="1"/>
  <c r="S7" i="1212"/>
  <c r="T6" i="1211"/>
  <c r="S7" i="1211"/>
  <c r="T6" i="1210"/>
  <c r="S7" i="1210"/>
  <c r="T6" i="1209"/>
  <c r="S7" i="1209"/>
  <c r="T6" i="1208"/>
  <c r="S7" i="1208"/>
  <c r="U6" i="1207"/>
  <c r="T7" i="1207"/>
  <c r="T6" i="1200"/>
  <c r="S7" i="1200"/>
  <c r="T6" i="1194"/>
  <c r="S7" i="1194"/>
  <c r="T6" i="1193"/>
  <c r="S7" i="1193"/>
  <c r="T6" i="1192"/>
  <c r="S7" i="1192"/>
  <c r="T6" i="1191"/>
  <c r="S7" i="1191"/>
  <c r="T6" i="1190"/>
  <c r="S7" i="1190"/>
  <c r="U6" i="1212" l="1"/>
  <c r="T7" i="1212"/>
  <c r="U6" i="1211"/>
  <c r="T7" i="1211"/>
  <c r="U6" i="1210"/>
  <c r="T7" i="1210"/>
  <c r="U6" i="1209"/>
  <c r="T7" i="1209"/>
  <c r="U6" i="1208"/>
  <c r="T7" i="1208"/>
  <c r="U7" i="1207"/>
  <c r="V6" i="1207"/>
  <c r="U6" i="1200"/>
  <c r="T7" i="1200"/>
  <c r="U6" i="1194"/>
  <c r="T7" i="1194"/>
  <c r="U6" i="1193"/>
  <c r="T7" i="1193"/>
  <c r="U6" i="1192"/>
  <c r="T7" i="1192"/>
  <c r="U6" i="1191"/>
  <c r="T7" i="1191"/>
  <c r="U6" i="1190"/>
  <c r="T7" i="1190"/>
  <c r="U7" i="1212" l="1"/>
  <c r="V6" i="1212"/>
  <c r="U7" i="1211"/>
  <c r="V6" i="1211"/>
  <c r="U7" i="1210"/>
  <c r="V6" i="1210"/>
  <c r="U7" i="1209"/>
  <c r="V6" i="1209"/>
  <c r="V6" i="1208"/>
  <c r="U7" i="1208"/>
  <c r="W6" i="1207"/>
  <c r="V7" i="1207"/>
  <c r="V6" i="1200"/>
  <c r="U7" i="1200"/>
  <c r="U7" i="1194"/>
  <c r="V6" i="1194"/>
  <c r="U7" i="1193"/>
  <c r="V6" i="1193"/>
  <c r="U7" i="1192"/>
  <c r="V6" i="1192"/>
  <c r="U7" i="1191"/>
  <c r="V6" i="1191"/>
  <c r="U7" i="1190"/>
  <c r="V6" i="1190"/>
  <c r="V7" i="1212" l="1"/>
  <c r="W6" i="1212"/>
  <c r="V7" i="1211"/>
  <c r="W6" i="1211"/>
  <c r="V7" i="1210"/>
  <c r="W6" i="1210"/>
  <c r="V7" i="1209"/>
  <c r="W6" i="1209"/>
  <c r="V7" i="1208"/>
  <c r="W6" i="1208"/>
  <c r="X6" i="1207"/>
  <c r="W7" i="1207"/>
  <c r="V7" i="1200"/>
  <c r="W6" i="1200"/>
  <c r="V7" i="1194"/>
  <c r="W6" i="1194"/>
  <c r="V7" i="1193"/>
  <c r="W6" i="1193"/>
  <c r="V7" i="1192"/>
  <c r="W6" i="1192"/>
  <c r="V7" i="1191"/>
  <c r="W6" i="1191"/>
  <c r="V7" i="1190"/>
  <c r="W6" i="1190"/>
  <c r="W7" i="1212" l="1"/>
  <c r="X6" i="1212"/>
  <c r="W7" i="1211"/>
  <c r="X6" i="1211"/>
  <c r="X6" i="1210"/>
  <c r="W7" i="1210"/>
  <c r="X6" i="1209"/>
  <c r="W7" i="1209"/>
  <c r="X6" i="1208"/>
  <c r="W7" i="1208"/>
  <c r="Y6" i="1207"/>
  <c r="X7" i="1207"/>
  <c r="W7" i="1200"/>
  <c r="X6" i="1200"/>
  <c r="X6" i="1194"/>
  <c r="W7" i="1194"/>
  <c r="W7" i="1193"/>
  <c r="X6" i="1193"/>
  <c r="W7" i="1192"/>
  <c r="X6" i="1192"/>
  <c r="W7" i="1191"/>
  <c r="X6" i="1191"/>
  <c r="W7" i="1190"/>
  <c r="X6" i="1190"/>
  <c r="Y6" i="1212" l="1"/>
  <c r="X7" i="1212"/>
  <c r="Y6" i="1211"/>
  <c r="X7" i="1211"/>
  <c r="Y6" i="1210"/>
  <c r="X7" i="1210"/>
  <c r="X7" i="1209"/>
  <c r="Y6" i="1209"/>
  <c r="X7" i="1208"/>
  <c r="Y6" i="1208"/>
  <c r="Z6" i="1207"/>
  <c r="Y7" i="1207"/>
  <c r="Y6" i="1200"/>
  <c r="X7" i="1200"/>
  <c r="Y6" i="1194"/>
  <c r="X7" i="1194"/>
  <c r="X7" i="1193"/>
  <c r="Y6" i="1193"/>
  <c r="X7" i="1192"/>
  <c r="Y6" i="1192"/>
  <c r="X7" i="1191"/>
  <c r="Y6" i="1191"/>
  <c r="Y6" i="1190"/>
  <c r="X7" i="1190"/>
  <c r="Z6" i="1212" l="1"/>
  <c r="Y7" i="1212"/>
  <c r="Y7" i="1211"/>
  <c r="Z6" i="1211"/>
  <c r="Z6" i="1210"/>
  <c r="Y7" i="1210"/>
  <c r="Z6" i="1209"/>
  <c r="Y7" i="1209"/>
  <c r="Z6" i="1208"/>
  <c r="Y7" i="1208"/>
  <c r="AA6" i="1207"/>
  <c r="Z7" i="1207"/>
  <c r="Z6" i="1200"/>
  <c r="Y7" i="1200"/>
  <c r="Z6" i="1194"/>
  <c r="Y7" i="1194"/>
  <c r="Y7" i="1193"/>
  <c r="Z6" i="1193"/>
  <c r="Z6" i="1192"/>
  <c r="Y7" i="1192"/>
  <c r="Y7" i="1191"/>
  <c r="Z6" i="1191"/>
  <c r="Y7" i="1190"/>
  <c r="Z6" i="1190"/>
  <c r="AA6" i="1212" l="1"/>
  <c r="Z7" i="1212"/>
  <c r="AA6" i="1211"/>
  <c r="Z7" i="1211"/>
  <c r="AA6" i="1210"/>
  <c r="Z7" i="1210"/>
  <c r="AA6" i="1209"/>
  <c r="Z7" i="1209"/>
  <c r="Z7" i="1208"/>
  <c r="AA6" i="1208"/>
  <c r="AB6" i="1207"/>
  <c r="AA7" i="1207"/>
  <c r="AA6" i="1200"/>
  <c r="Z7" i="1200"/>
  <c r="AA6" i="1194"/>
  <c r="Z7" i="1194"/>
  <c r="Z7" i="1193"/>
  <c r="AA6" i="1193"/>
  <c r="AA6" i="1192"/>
  <c r="Z7" i="1192"/>
  <c r="AA6" i="1191"/>
  <c r="Z7" i="1191"/>
  <c r="AA6" i="1190"/>
  <c r="Z7" i="1190"/>
  <c r="AB6" i="1212" l="1"/>
  <c r="AA7" i="1212"/>
  <c r="AB6" i="1211"/>
  <c r="AA7" i="1211"/>
  <c r="AA7" i="1210"/>
  <c r="AB6" i="1210"/>
  <c r="AB6" i="1209"/>
  <c r="AA7" i="1209"/>
  <c r="AB6" i="1208"/>
  <c r="AA7" i="1208"/>
  <c r="AC6" i="1207"/>
  <c r="AB7" i="1207"/>
  <c r="AB6" i="1200"/>
  <c r="AA7" i="1200"/>
  <c r="AB6" i="1194"/>
  <c r="AA7" i="1194"/>
  <c r="AB6" i="1193"/>
  <c r="AA7" i="1193"/>
  <c r="AB6" i="1192"/>
  <c r="AA7" i="1192"/>
  <c r="AB6" i="1191"/>
  <c r="AA7" i="1191"/>
  <c r="AA7" i="1190"/>
  <c r="AB6" i="1190"/>
  <c r="AC6" i="1212" l="1"/>
  <c r="AB7" i="1212"/>
  <c r="AC6" i="1211"/>
  <c r="AB7" i="1211"/>
  <c r="AC6" i="1210"/>
  <c r="AB7" i="1210"/>
  <c r="AC6" i="1209"/>
  <c r="AB7" i="1209"/>
  <c r="AB7" i="1208"/>
  <c r="AC6" i="1208"/>
  <c r="AC7" i="1207"/>
  <c r="AD6" i="1207"/>
  <c r="AC6" i="1200"/>
  <c r="AB7" i="1200"/>
  <c r="AC6" i="1194"/>
  <c r="AB7" i="1194"/>
  <c r="AB7" i="1193"/>
  <c r="AC6" i="1193"/>
  <c r="AC6" i="1192"/>
  <c r="AB7" i="1192"/>
  <c r="AC6" i="1191"/>
  <c r="AB7" i="1191"/>
  <c r="AC6" i="1190"/>
  <c r="AB7" i="1190"/>
  <c r="AD6" i="1212" l="1"/>
  <c r="AC7" i="1212"/>
  <c r="AD6" i="1211"/>
  <c r="AC7" i="1211"/>
  <c r="AD6" i="1210"/>
  <c r="AC7" i="1210"/>
  <c r="AD6" i="1209"/>
  <c r="AC7" i="1209"/>
  <c r="AD6" i="1208"/>
  <c r="AC7" i="1208"/>
  <c r="AE6" i="1207"/>
  <c r="AD7" i="1207"/>
  <c r="AD6" i="1200"/>
  <c r="AC7" i="1200"/>
  <c r="AD6" i="1194"/>
  <c r="AC7" i="1194"/>
  <c r="AD6" i="1193"/>
  <c r="AC7" i="1193"/>
  <c r="AD6" i="1192"/>
  <c r="AC7" i="1192"/>
  <c r="AD6" i="1191"/>
  <c r="AC7" i="1191"/>
  <c r="AC7" i="1190"/>
  <c r="AD6" i="1190"/>
  <c r="AE6" i="1212" l="1"/>
  <c r="AD7" i="1212"/>
  <c r="AE6" i="1211"/>
  <c r="AD7" i="1211"/>
  <c r="AE6" i="1210"/>
  <c r="AD7" i="1210"/>
  <c r="AD7" i="1209"/>
  <c r="AE6" i="1209"/>
  <c r="AD7" i="1208"/>
  <c r="AE6" i="1208"/>
  <c r="AF6" i="1207"/>
  <c r="AE7" i="1207"/>
  <c r="AE6" i="1200"/>
  <c r="AD7" i="1200"/>
  <c r="AE6" i="1194"/>
  <c r="AD7" i="1194"/>
  <c r="AE6" i="1193"/>
  <c r="AD7" i="1193"/>
  <c r="AE6" i="1192"/>
  <c r="AD7" i="1192"/>
  <c r="AE6" i="1191"/>
  <c r="AD7" i="1191"/>
  <c r="AE6" i="1190"/>
  <c r="AD7" i="1190"/>
  <c r="AF6" i="1212" l="1"/>
  <c r="AE7" i="1212"/>
  <c r="AE7" i="1211"/>
  <c r="AF6" i="1211"/>
  <c r="AF6" i="1210"/>
  <c r="AE7" i="1210"/>
  <c r="AE7" i="1209"/>
  <c r="AF6" i="1209"/>
  <c r="AF6" i="1208"/>
  <c r="AE7" i="1208"/>
  <c r="AF7" i="1207"/>
  <c r="AG6" i="1207"/>
  <c r="AE7" i="1200"/>
  <c r="AF6" i="1200"/>
  <c r="AF6" i="1194"/>
  <c r="AE7" i="1194"/>
  <c r="AE7" i="1193"/>
  <c r="AF6" i="1193"/>
  <c r="AF6" i="1192"/>
  <c r="AE7" i="1192"/>
  <c r="AF6" i="1191"/>
  <c r="AE7" i="1191"/>
  <c r="AE7" i="1190"/>
  <c r="AF6" i="1190"/>
  <c r="AG6" i="1212" l="1"/>
  <c r="AF7" i="1212"/>
  <c r="AG6" i="1211"/>
  <c r="AF7" i="1211"/>
  <c r="AF7" i="1210"/>
  <c r="AG6" i="1210"/>
  <c r="AG6" i="1209"/>
  <c r="AF7" i="1209"/>
  <c r="AG6" i="1208"/>
  <c r="AF7" i="1208"/>
  <c r="AH6" i="1207"/>
  <c r="AG7" i="1207"/>
  <c r="AF7" i="1200"/>
  <c r="AG6" i="1200"/>
  <c r="AG6" i="1194"/>
  <c r="AF7" i="1194"/>
  <c r="AG6" i="1193"/>
  <c r="AF7" i="1193"/>
  <c r="AF7" i="1192"/>
  <c r="AG6" i="1192"/>
  <c r="AG6" i="1191"/>
  <c r="AF7" i="1191"/>
  <c r="AG6" i="1190"/>
  <c r="AF7" i="1190"/>
  <c r="AH6" i="1212" l="1"/>
  <c r="AG7" i="1212"/>
  <c r="AH6" i="1211"/>
  <c r="AG7" i="1211"/>
  <c r="AH6" i="1210"/>
  <c r="AG7" i="1210"/>
  <c r="AH6" i="1209"/>
  <c r="AG7" i="1209"/>
  <c r="AH6" i="1208"/>
  <c r="AG7" i="1208"/>
  <c r="AI6" i="1207"/>
  <c r="AH7" i="1207"/>
  <c r="AH6" i="1200"/>
  <c r="AG7" i="1200"/>
  <c r="AG7" i="1194"/>
  <c r="AH6" i="1194"/>
  <c r="AH6" i="1193"/>
  <c r="AG7" i="1193"/>
  <c r="AH6" i="1192"/>
  <c r="AG7" i="1192"/>
  <c r="AH6" i="1191"/>
  <c r="AG7" i="1191"/>
  <c r="AH6" i="1190"/>
  <c r="AG7" i="1190"/>
  <c r="AI6" i="1212" l="1"/>
  <c r="AH7" i="1212"/>
  <c r="AI6" i="1211"/>
  <c r="AH7" i="1211"/>
  <c r="AI6" i="1210"/>
  <c r="AH7" i="1210"/>
  <c r="AI6" i="1209"/>
  <c r="AH7" i="1209"/>
  <c r="AI6" i="1208"/>
  <c r="AH7" i="1208"/>
  <c r="AJ6" i="1207"/>
  <c r="AI7" i="1207"/>
  <c r="AI6" i="1200"/>
  <c r="AH7" i="1200"/>
  <c r="AI6" i="1194"/>
  <c r="AH7" i="1194"/>
  <c r="AI6" i="1193"/>
  <c r="AH7" i="1193"/>
  <c r="AI6" i="1192"/>
  <c r="AH7" i="1192"/>
  <c r="AI6" i="1191"/>
  <c r="AH7" i="1191"/>
  <c r="AI6" i="1190"/>
  <c r="AH7" i="1190"/>
  <c r="AJ6" i="1212" l="1"/>
  <c r="AI7" i="1212"/>
  <c r="AJ6" i="1211"/>
  <c r="AI7" i="1211"/>
  <c r="AJ6" i="1210"/>
  <c r="AI7" i="1210"/>
  <c r="AJ6" i="1209"/>
  <c r="AI7" i="1209"/>
  <c r="AJ6" i="1208"/>
  <c r="AI7" i="1208"/>
  <c r="AJ7" i="1207"/>
  <c r="AK6" i="1207"/>
  <c r="AK7" i="1207" s="1"/>
  <c r="AJ6" i="1200"/>
  <c r="AI7" i="1200"/>
  <c r="AJ6" i="1194"/>
  <c r="AI7" i="1194"/>
  <c r="AJ6" i="1193"/>
  <c r="AI7" i="1193"/>
  <c r="AJ6" i="1192"/>
  <c r="AI7" i="1192"/>
  <c r="AJ6" i="1191"/>
  <c r="AI7" i="1191"/>
  <c r="AJ6" i="1190"/>
  <c r="AI7" i="1190"/>
  <c r="AK6" i="1212" l="1"/>
  <c r="AK7" i="1212" s="1"/>
  <c r="AJ7" i="1212"/>
  <c r="AK6" i="1211"/>
  <c r="AK7" i="1211" s="1"/>
  <c r="AJ7" i="1211"/>
  <c r="AK6" i="1210"/>
  <c r="AK7" i="1210" s="1"/>
  <c r="AJ7" i="1210"/>
  <c r="AK6" i="1209"/>
  <c r="AK7" i="1209" s="1"/>
  <c r="AJ7" i="1209"/>
  <c r="AK6" i="1208"/>
  <c r="AK7" i="1208" s="1"/>
  <c r="AJ7" i="1208"/>
  <c r="AK6" i="1200"/>
  <c r="AK7" i="1200" s="1"/>
  <c r="AJ7" i="1200"/>
  <c r="AK6" i="1194"/>
  <c r="AK7" i="1194" s="1"/>
  <c r="AJ7" i="1194"/>
  <c r="AK6" i="1193"/>
  <c r="AK7" i="1193" s="1"/>
  <c r="AJ7" i="1193"/>
  <c r="AK6" i="1192"/>
  <c r="AK7" i="1192" s="1"/>
  <c r="AJ7" i="1192"/>
  <c r="AK6" i="1191"/>
  <c r="AK7" i="1191" s="1"/>
  <c r="AJ7" i="1191"/>
  <c r="AK6" i="1190"/>
  <c r="AK7" i="1190" s="1"/>
  <c r="AJ7" i="1190"/>
  <c r="V6" i="588" l="1"/>
  <c r="R274" i="588"/>
  <c r="U272" i="588"/>
  <c r="T272" i="588"/>
  <c r="S272" i="588"/>
  <c r="R272" i="588"/>
  <c r="O272" i="588"/>
  <c r="N272" i="588"/>
  <c r="M272" i="588"/>
  <c r="L272" i="588"/>
  <c r="K272" i="588"/>
  <c r="J272" i="588"/>
  <c r="I272" i="588"/>
  <c r="H272" i="588"/>
  <c r="G272" i="588"/>
  <c r="B2" i="588"/>
  <c r="B1" i="588"/>
  <c r="A2" i="363" l="1"/>
  <c r="A1" i="363"/>
  <c r="P5" i="4"/>
  <c r="W273" i="4" s="1"/>
  <c r="D1" i="1"/>
  <c r="B2" i="4"/>
  <c r="B1" i="4"/>
  <c r="A19" i="2"/>
  <c r="A18" i="2"/>
  <c r="A17" i="2"/>
  <c r="A16" i="2"/>
  <c r="A15" i="2"/>
  <c r="A14" i="2"/>
  <c r="A13" i="2"/>
  <c r="A12" i="2"/>
  <c r="A11" i="2"/>
  <c r="A10" i="2"/>
  <c r="A9" i="2"/>
  <c r="A8" i="2"/>
  <c r="A7" i="2"/>
  <c r="A6" i="2"/>
  <c r="A5" i="2"/>
  <c r="A2" i="2"/>
  <c r="A1" i="2"/>
  <c r="G6" i="4" l="1"/>
  <c r="H6" i="4" s="1"/>
  <c r="I6" i="4" s="1"/>
  <c r="G7" i="4" l="1"/>
  <c r="H7" i="4"/>
  <c r="J6" i="4"/>
  <c r="I7" i="4"/>
  <c r="K6" i="4" l="1"/>
  <c r="J7" i="4"/>
  <c r="L6" i="4" l="1"/>
  <c r="K7" i="4"/>
  <c r="M6" i="4" l="1"/>
  <c r="L7" i="4"/>
  <c r="N6" i="4" l="1"/>
  <c r="M7" i="4"/>
  <c r="N7" i="4" l="1"/>
  <c r="O6" i="4"/>
  <c r="P6" i="4" l="1"/>
  <c r="O7" i="4"/>
  <c r="P7" i="4" l="1"/>
  <c r="Q6" i="4"/>
  <c r="Q7" i="4" l="1"/>
  <c r="R6" i="4"/>
  <c r="R7" i="4" l="1"/>
  <c r="S6" i="4"/>
  <c r="S7" i="4" l="1"/>
  <c r="T6" i="4"/>
  <c r="T7" i="4" l="1"/>
  <c r="U6" i="4"/>
  <c r="V6" i="4" l="1"/>
  <c r="U7" i="4"/>
  <c r="W6" i="4" l="1"/>
  <c r="V7" i="4"/>
  <c r="X6" i="4" l="1"/>
  <c r="W7" i="4"/>
  <c r="Y6" i="4" l="1"/>
  <c r="X7" i="4"/>
  <c r="Z6" i="4" l="1"/>
  <c r="Y7" i="4"/>
  <c r="AA6" i="4" l="1"/>
  <c r="Z7" i="4"/>
  <c r="AB6" i="4" l="1"/>
  <c r="AA7" i="4"/>
  <c r="AC6" i="4" l="1"/>
  <c r="AB7" i="4"/>
  <c r="AD6" i="4" l="1"/>
  <c r="AC7" i="4"/>
  <c r="AE6" i="4" l="1"/>
  <c r="AD7" i="4"/>
  <c r="AF6" i="4" l="1"/>
  <c r="AE7" i="4"/>
  <c r="AG6" i="4" l="1"/>
  <c r="AF7" i="4"/>
  <c r="AH6" i="4" l="1"/>
  <c r="AG7" i="4"/>
  <c r="AI6" i="4" l="1"/>
  <c r="AH7" i="4"/>
  <c r="AJ6" i="4" l="1"/>
  <c r="AI7" i="4"/>
  <c r="AK6" i="4" l="1"/>
  <c r="AK7" i="4" s="1"/>
  <c r="AJ7" i="4"/>
</calcChain>
</file>

<file path=xl/sharedStrings.xml><?xml version="1.0" encoding="utf-8"?>
<sst xmlns="http://schemas.openxmlformats.org/spreadsheetml/2006/main" count="10864" uniqueCount="599">
  <si>
    <t>CÔNG TY TNHH CƠ KHÍ SỬA CHỮA HOÀNG KIÊN</t>
  </si>
  <si>
    <t>SN 16N3, ngõ 90 đường Nguyễn Tuân, P. Thanh Xuân, Q. Thanh Xuân, Hà Nội</t>
  </si>
  <si>
    <t>Tên công ty</t>
  </si>
  <si>
    <t>Địa chỉ</t>
  </si>
  <si>
    <t>Khai báo thông tin công ty và địa chỉ tại đây</t>
  </si>
  <si>
    <t>STT</t>
  </si>
  <si>
    <t>Họ và tên</t>
  </si>
  <si>
    <t>Chức vụ</t>
  </si>
  <si>
    <t>Bộ phận</t>
  </si>
  <si>
    <t>NV0001</t>
  </si>
  <si>
    <t>Trần Văn Hoàng</t>
  </si>
  <si>
    <t>Giám đốc</t>
  </si>
  <si>
    <t>PGĐ</t>
  </si>
  <si>
    <t>1682922533</t>
  </si>
  <si>
    <t>NV0002</t>
  </si>
  <si>
    <t>Trần Thị Hoan</t>
  </si>
  <si>
    <t>Kế toán</t>
  </si>
  <si>
    <t>PKT</t>
  </si>
  <si>
    <t>168315478</t>
  </si>
  <si>
    <t>NV0003</t>
  </si>
  <si>
    <t>Trần Trung Kiên</t>
  </si>
  <si>
    <t>Kinh doanh</t>
  </si>
  <si>
    <t>PKD</t>
  </si>
  <si>
    <t>168315159</t>
  </si>
  <si>
    <t>NV0004</t>
  </si>
  <si>
    <t>Trịnh Ngọc Anh</t>
  </si>
  <si>
    <t>Lái xe</t>
  </si>
  <si>
    <t>Xe</t>
  </si>
  <si>
    <t>168245022</t>
  </si>
  <si>
    <t>NV0005</t>
  </si>
  <si>
    <t>Nguyễn Thế Hoàng</t>
  </si>
  <si>
    <t>038091005887</t>
  </si>
  <si>
    <t>NV0006</t>
  </si>
  <si>
    <t>Trần Văn Toàn</t>
  </si>
  <si>
    <t>142545488</t>
  </si>
  <si>
    <t>NV0007</t>
  </si>
  <si>
    <t>Nguyễn Văn Khương</t>
  </si>
  <si>
    <t>168122985</t>
  </si>
  <si>
    <t>NV0008</t>
  </si>
  <si>
    <t>Vũ Mạnh Cương</t>
  </si>
  <si>
    <t>168245212</t>
  </si>
  <si>
    <t>NV0009</t>
  </si>
  <si>
    <t>Nguyễn Hoài Nam</t>
  </si>
  <si>
    <t>168608736</t>
  </si>
  <si>
    <t>NV0010</t>
  </si>
  <si>
    <t>Nguyễn Văn Khôi</t>
  </si>
  <si>
    <t>121546933</t>
  </si>
  <si>
    <t>NV0011</t>
  </si>
  <si>
    <t>Trần Việt Ninh</t>
  </si>
  <si>
    <t>NV0012</t>
  </si>
  <si>
    <t>Phạm Tuấn Vũ</t>
  </si>
  <si>
    <t>NV0013</t>
  </si>
  <si>
    <t>Lê Minh Đức</t>
  </si>
  <si>
    <t>NV0014</t>
  </si>
  <si>
    <t>Trịnh Văn Tuyến</t>
  </si>
  <si>
    <t>NV0015</t>
  </si>
  <si>
    <t xml:space="preserve">Đào Văn Tuấn </t>
  </si>
  <si>
    <t>LUONG_BHXH_T1</t>
  </si>
  <si>
    <t>LUONG_BHXH_T2</t>
  </si>
  <si>
    <t>LUONG_BHXH_T3</t>
  </si>
  <si>
    <t>LUONG_BHXH_T4</t>
  </si>
  <si>
    <t>LUONG_BHXH_T5</t>
  </si>
  <si>
    <t>LUONG_BHXH_T6</t>
  </si>
  <si>
    <t>LUONG_BHXH_T7</t>
  </si>
  <si>
    <t>LUONG_BHXH_T8</t>
  </si>
  <si>
    <t>LUONG_BHXH_T9</t>
  </si>
  <si>
    <t>LUONG_BHXH_T10</t>
  </si>
  <si>
    <t>LUONG_BHXH_T11</t>
  </si>
  <si>
    <t>LUONG_BHXH_T12</t>
  </si>
  <si>
    <t>Ma_Nhan_Vien</t>
  </si>
  <si>
    <t>Ho_Va_Ten</t>
  </si>
  <si>
    <t>Chuc_Vu</t>
  </si>
  <si>
    <t>Bo_Phan</t>
  </si>
  <si>
    <t>Ma_So_Thue_CN</t>
  </si>
  <si>
    <t>So_CCCD</t>
  </si>
  <si>
    <t>Nội dung</t>
  </si>
  <si>
    <t>Nghỉ Tết Dương</t>
  </si>
  <si>
    <t>Nghỉ Tết Nguyên Đán</t>
  </si>
  <si>
    <t>Nghỉ Giỗ Tổ</t>
  </si>
  <si>
    <t>Nghỉ 30/04</t>
  </si>
  <si>
    <t>Nghỉ 01/05</t>
  </si>
  <si>
    <t>Nghỉ bù 30/04 01/05</t>
  </si>
  <si>
    <t>Nghỉ Quốc Khánh</t>
  </si>
  <si>
    <t>Vui lòng chọn chế độ ngày nghỉ hàng tuần ở ô dưới đây</t>
  </si>
  <si>
    <t>Chọn 1 nếu công ty nghỉ thứ 7, chủ nhật hàng tuần</t>
  </si>
  <si>
    <t>Chọn 2 nếu công ty nghỉ chủ nhật hàng tuần</t>
  </si>
  <si>
    <t>Chọn chế độ nghỉ</t>
  </si>
  <si>
    <t>Mẫu số 01a-LĐTL</t>
  </si>
  <si>
    <t>(Ban hành theo thông tư số 133/2016/TT-BTC</t>
  </si>
  <si>
    <t>ngày 26/08/2016 của Bộ Tài Chính)</t>
  </si>
  <si>
    <t>BẢNG CHẤM CÔNG</t>
  </si>
  <si>
    <t>Mã NV</t>
  </si>
  <si>
    <t>Tháng</t>
  </si>
  <si>
    <t>Năm</t>
  </si>
  <si>
    <t>Người chấm công</t>
  </si>
  <si>
    <t>(Ký và ghi rõ họ tên)</t>
  </si>
  <si>
    <t>Phụ trách bộ phận</t>
  </si>
  <si>
    <t>(Ký, đóng dấu và ghi rõ họ tên)</t>
  </si>
  <si>
    <t>Ký hiệu chấm công:</t>
  </si>
  <si>
    <t>- Nghỉ phép: P</t>
  </si>
  <si>
    <t>- Nghỉ không lương: KL</t>
  </si>
  <si>
    <t>- Nghỉ bù: NB</t>
  </si>
  <si>
    <t>- Thai sản: TS</t>
  </si>
  <si>
    <t>- Nghỉ nửa buổi: X/2</t>
  </si>
  <si>
    <t>- Làm việc đủ ngày: X</t>
  </si>
  <si>
    <t>- Nghỉ nguyên lương: NL</t>
  </si>
  <si>
    <t>Năm bảng lương</t>
  </si>
  <si>
    <t>Tổng công hưởng lương</t>
  </si>
  <si>
    <t>Ngay_Le</t>
  </si>
  <si>
    <t>Lưu ý: Khi đã điền Lương chính tức là tháng đó có đi làm</t>
  </si>
  <si>
    <t>BẢNG TÍNH BẢO HIỂM XÃ HỘI</t>
  </si>
  <si>
    <t>Bộ Phận</t>
  </si>
  <si>
    <t>Họ và Tên</t>
  </si>
  <si>
    <t>Lương</t>
  </si>
  <si>
    <t>Tổng cộng</t>
  </si>
  <si>
    <t>BHXH_DN</t>
  </si>
  <si>
    <t>BHYT_DN</t>
  </si>
  <si>
    <t>BHTN_DN</t>
  </si>
  <si>
    <t>BHXH_CN</t>
  </si>
  <si>
    <t>BHYT_CN</t>
  </si>
  <si>
    <t>BHTN_CN</t>
  </si>
  <si>
    <t>Thang</t>
  </si>
  <si>
    <t>Nam</t>
  </si>
  <si>
    <t>X</t>
  </si>
  <si>
    <t>NL</t>
  </si>
  <si>
    <t>Người lập bảng</t>
  </si>
  <si>
    <t>Thứ Ba, Ngày 31 Tháng 01 Năm 2023</t>
  </si>
  <si>
    <t>Thứ Ba, Ngày 28 Tháng 02 Năm 2023</t>
  </si>
  <si>
    <t>Thứ Sáu, Ngày 31 Tháng 03 Năm 2023</t>
  </si>
  <si>
    <t>Thứ Sáu, Ngày 28 Tháng 04 Năm 2023</t>
  </si>
  <si>
    <t>Thứ Tư, Ngày 31 Tháng 05 Năm 2023</t>
  </si>
  <si>
    <t>Thứ Sáu, Ngày 30 Tháng 06 Năm 2023</t>
  </si>
  <si>
    <t>Thứ Hai, Ngày 31 Tháng 07 Năm 2023</t>
  </si>
  <si>
    <t>Thứ Năm, Ngày 31 Tháng 08 Năm 2023</t>
  </si>
  <si>
    <t>Thứ Sáu, Ngày 29 Tháng 09 Năm 2023</t>
  </si>
  <si>
    <t>Thứ Ba, Ngày 31 Tháng 10 Năm 2023</t>
  </si>
  <si>
    <t>Thứ Năm, Ngày 30 Tháng 11 Năm 2023</t>
  </si>
  <si>
    <t>Thứ Sáu, Ngày 29 Tháng 12 Năm 2023</t>
  </si>
  <si>
    <t>BCC_T1</t>
  </si>
  <si>
    <t>BCC_T2</t>
  </si>
  <si>
    <t>BCC_T3</t>
  </si>
  <si>
    <t>BCC_T4</t>
  </si>
  <si>
    <t>BCC_T5</t>
  </si>
  <si>
    <t>BCC_T6</t>
  </si>
  <si>
    <t>BCC_T7</t>
  </si>
  <si>
    <t>BCC_T8</t>
  </si>
  <si>
    <t>BCC_T9</t>
  </si>
  <si>
    <t>BCC_T10</t>
  </si>
  <si>
    <t>BCC_T11</t>
  </si>
  <si>
    <t>BCC_T12</t>
  </si>
  <si>
    <t>BHXH_T1</t>
  </si>
  <si>
    <t>BHXH_T2</t>
  </si>
  <si>
    <t>BHXH_T3</t>
  </si>
  <si>
    <t>BHXH_T4</t>
  </si>
  <si>
    <t>BHXH_T5</t>
  </si>
  <si>
    <t>BHXH_T6</t>
  </si>
  <si>
    <t>BHXH_T7</t>
  </si>
  <si>
    <t>BHXH_T8</t>
  </si>
  <si>
    <t>BHXH_T9</t>
  </si>
  <si>
    <t>BHXH_T10</t>
  </si>
  <si>
    <t>BHXH_T11</t>
  </si>
  <si>
    <t>BHXH_T12</t>
  </si>
  <si>
    <t>Tong_Cong</t>
  </si>
  <si>
    <t>Luong</t>
  </si>
  <si>
    <t>Quy trình sử dụng File lương tự động</t>
  </si>
  <si>
    <t>Bước 01: Hoàn thiện việc điền dữ liệu bên Sheet COMPANY_SETUP</t>
  </si>
  <si>
    <t>Bước 02: Cập nhật dữ liệu DATE_SETUP (Các ngày nghỉ lễ trong năm)</t>
  </si>
  <si>
    <t>Bước 03: Cập nhật dữ liệu MUC_TRICH_BHXH_HANG_THANG theo tỷ lệ của từng tháng (Lưu ý bảng lương chỉ dùng trong 1 năm)</t>
  </si>
  <si>
    <t>Bước 04: Cập nhật Employee Data</t>
  </si>
  <si>
    <t>Lưu ý là tháng nào phát sinh BHXH thì mới điền dữ liệu vào LUONG_BHXH của tháng tương ứng =&gt; Ảnh hưởng đến việc tạo ra bảng tính BHXH</t>
  </si>
  <si>
    <t>Tháng nào phát sinh lương thì cũng điền vào cột LUONG_CHINH của tháng tương ứng =&gt; Ảnh hưởng bảng chấm công và bảng tính lương</t>
  </si>
  <si>
    <t>Bước 05: Chạy chương trình tạo ra bảng chấm công và bảng tính BHXH tự động</t>
  </si>
  <si>
    <t>Sau khi chạy xong thì chạy chương trình tổng hợp chấm công, tính BHXH vào Master Data</t>
  </si>
  <si>
    <t>Nếu có sửa kết quả trên bảng tính BHXH và bảng chấm công thì cần chạy lại tổng hợp</t>
  </si>
  <si>
    <t>Dữ liệu Master Data của bảng tính BHXH, bảng chấm công sẽ là cơ sở lên bảng tính lương</t>
  </si>
  <si>
    <t>Bước 06: Chạy chương trình tạo ra bảng lương tự động theo từng tháng</t>
  </si>
  <si>
    <t>Bước 07: Chạy chương trình tổng hợp dữ liệu lương vào Master Data</t>
  </si>
  <si>
    <t>Bước 08: Tạo báo cáo Quyết toán thuế TNCN từ 3 Master Data</t>
  </si>
  <si>
    <t>Lương theo hợp đồng</t>
  </si>
  <si>
    <t>Ngày công thực tế</t>
  </si>
  <si>
    <t>Lương thực lĩnh</t>
  </si>
  <si>
    <t>Phụ cấp, thưởng, thu nhập khác</t>
  </si>
  <si>
    <t>Phụ cấp ăn ca</t>
  </si>
  <si>
    <t>Xăng xe</t>
  </si>
  <si>
    <t>Điện thoại</t>
  </si>
  <si>
    <t>Thưởng / Thu nhập khác</t>
  </si>
  <si>
    <t>Tổng thu nhập</t>
  </si>
  <si>
    <t>Khấu trừ</t>
  </si>
  <si>
    <t>Thuế TNCN</t>
  </si>
  <si>
    <t>BHXH</t>
  </si>
  <si>
    <t>Khác</t>
  </si>
  <si>
    <t>Thu nhập còn lại</t>
  </si>
  <si>
    <t>Ký nhận</t>
  </si>
  <si>
    <t>Tổng cộng:</t>
  </si>
  <si>
    <t>BẢNG THANH TOÁN TIỀN LƯƠNG</t>
  </si>
  <si>
    <t>Tháng:</t>
  </si>
  <si>
    <t>Năm:</t>
  </si>
  <si>
    <t>Mẫu số 02 - LĐTL</t>
  </si>
  <si>
    <t>(Ban hành theo Thông tư số 133/2016/TT-BTC</t>
  </si>
  <si>
    <t>LUONG_CHINH_T1</t>
  </si>
  <si>
    <t>LUONG_CHINH_T2</t>
  </si>
  <si>
    <t>LUONG_CHINH_T3</t>
  </si>
  <si>
    <t>LUONG_CHINH_T4</t>
  </si>
  <si>
    <t>LUONG_CHINH_T5</t>
  </si>
  <si>
    <t>LUONG_CHINH_T6</t>
  </si>
  <si>
    <t>LUONG_CHINH_T7</t>
  </si>
  <si>
    <t>LUONG_CHINH_T8</t>
  </si>
  <si>
    <t>LUONG_CHINH_T9</t>
  </si>
  <si>
    <t>LUONG_CHINH_T10</t>
  </si>
  <si>
    <t>LUONG_CHINH_T11</t>
  </si>
  <si>
    <t>LUONG_CHINH_T12</t>
  </si>
  <si>
    <t>PHU_CAP_AN_CA_T1</t>
  </si>
  <si>
    <t>PHU_CAP_AN_CA_T2</t>
  </si>
  <si>
    <t>PHU_CAP_AN_CA_T3</t>
  </si>
  <si>
    <t>PHU_CAP_AN_CA_T4</t>
  </si>
  <si>
    <t>PHU_CAP_AN_CA_T5</t>
  </si>
  <si>
    <t>PHU_CAP_AN_CA_T6</t>
  </si>
  <si>
    <t>PHU_CAP_AN_CA_T7</t>
  </si>
  <si>
    <t>PHU_CAP_AN_CA_T8</t>
  </si>
  <si>
    <t>PHU_CAP_AN_CA_T9</t>
  </si>
  <si>
    <t>PHU_CAP_AN_CA_T10</t>
  </si>
  <si>
    <t>PHU_CAP_AN_CA_T11</t>
  </si>
  <si>
    <t>PHU_CAP_AN_CA_T12</t>
  </si>
  <si>
    <t>PHU_CAP_XANG_XE_T1</t>
  </si>
  <si>
    <t>PHU_CAP_XANG_XE_T2</t>
  </si>
  <si>
    <t>PHU_CAP_XANG_XE_T3</t>
  </si>
  <si>
    <t>PHU_CAP_XANG_XE_T4</t>
  </si>
  <si>
    <t>PHU_CAP_XANG_XE_T5</t>
  </si>
  <si>
    <t>PHU_CAP_XANG_XE_T6</t>
  </si>
  <si>
    <t>PHU_CAP_XANG_XE_T7</t>
  </si>
  <si>
    <t>PHU_CAP_XANG_XE_T20</t>
  </si>
  <si>
    <t>PHU_CAP_XANG_XE_T21</t>
  </si>
  <si>
    <t>PHU_CAP_XANG_XE_T22</t>
  </si>
  <si>
    <t>PHU_CAP_XANG_XE_T23</t>
  </si>
  <si>
    <t>PHU_CAP_XANG_XE_T24</t>
  </si>
  <si>
    <t>PHU_CAP_NHA_O_T1</t>
  </si>
  <si>
    <t>PHU_CAP_NHA_O_T2</t>
  </si>
  <si>
    <t>PHU_CAP_NHA_O_T3</t>
  </si>
  <si>
    <t>PHU_CAP_NHA_O_T4</t>
  </si>
  <si>
    <t>PHU_CAP_NHA_O_T5</t>
  </si>
  <si>
    <t>PHU_CAP_NHA_O_T6</t>
  </si>
  <si>
    <t>PHU_CAP_NHA_O_T7</t>
  </si>
  <si>
    <t>PHU_CAP_NHA_O_T20</t>
  </si>
  <si>
    <t>PHU_CAP_NHA_O_T21</t>
  </si>
  <si>
    <t>PHU_CAP_NHA_O_T22</t>
  </si>
  <si>
    <t>PHU_CAP_NHA_O_T23</t>
  </si>
  <si>
    <t>PHU_CAP_NHA_O_T24</t>
  </si>
  <si>
    <t>PHU_CAP_DIEN_THOAI_T1</t>
  </si>
  <si>
    <t>PHU_CAP_DIEN_THOAI_T2</t>
  </si>
  <si>
    <t>PHU_CAP_DIEN_THOAI_T3</t>
  </si>
  <si>
    <t>PHU_CAP_DIEN_THOAI_T4</t>
  </si>
  <si>
    <t>PHU_CAP_DIEN_THOAI_T5</t>
  </si>
  <si>
    <t>PHU_CAP_DIEN_THOAI_T6</t>
  </si>
  <si>
    <t>PHU_CAP_DIEN_THOAI_T7</t>
  </si>
  <si>
    <t>PHU_CAP_DIEN_THOAI_T8</t>
  </si>
  <si>
    <t>PHU_CAP_DIEN_THOAI_T9</t>
  </si>
  <si>
    <t>PHU_CAP_DIEN_THOAI_T10</t>
  </si>
  <si>
    <t>PHU_CAP_DIEN_THOAI_T11</t>
  </si>
  <si>
    <t>PHU_CAP_DIEN_THOAI_T12</t>
  </si>
  <si>
    <t>PHU_CAP_THUONG_T1</t>
  </si>
  <si>
    <t>PHU_CAP_THUONG_T2</t>
  </si>
  <si>
    <t>PHU_CAP_THUONG_T3</t>
  </si>
  <si>
    <t>PHU_CAP_THUONG_T4</t>
  </si>
  <si>
    <t>PHU_CAP_THUONG_T5</t>
  </si>
  <si>
    <t>PHU_CAP_THUONG_T6</t>
  </si>
  <si>
    <t>PHU_CAP_THUONG_T7</t>
  </si>
  <si>
    <t>PHU_CAP_THUONG_T8</t>
  </si>
  <si>
    <t>PHU_CAP_THUONG_T9</t>
  </si>
  <si>
    <t>PHU_CAP_THUONG_T10</t>
  </si>
  <si>
    <t>PHU_CAP_THUONG_T11</t>
  </si>
  <si>
    <t>PHU_CAP_THUONG_T12</t>
  </si>
  <si>
    <t>T1.LUONG_CHINH_T1</t>
  </si>
  <si>
    <t>T1.Phu_Cap_An_Ca_T1</t>
  </si>
  <si>
    <t>T1.Phu_Cap_Xang_Xe_T1</t>
  </si>
  <si>
    <t>T1.Phu_Cap_Dien_Thoai_T1</t>
  </si>
  <si>
    <t>T1.Phu_Cap_Thuong_T1</t>
  </si>
  <si>
    <t>Expr1001</t>
  </si>
  <si>
    <t>Phu_Cap_Tong_Cong</t>
  </si>
  <si>
    <t>GIAM_TRU_BAN_THAN_T1</t>
  </si>
  <si>
    <t>GIAM_TRU_BAN_THAN_T2</t>
  </si>
  <si>
    <t>GIAM_TRU_BAN_THAN_T3</t>
  </si>
  <si>
    <t>GIAM_TRU_BAN_THAN_T4</t>
  </si>
  <si>
    <t>GIAM_TRU_BAN_THAN_T5</t>
  </si>
  <si>
    <t>GIAM_TRU_BAN_THAN_T6</t>
  </si>
  <si>
    <t>GIAM_TRU_BAN_THAN_T7</t>
  </si>
  <si>
    <t>GIAM_TRU_BAN_THAN_T8</t>
  </si>
  <si>
    <t>GIAM_TRU_BAN_THAN_T9</t>
  </si>
  <si>
    <t>GIAM_TRU_BAN_THAN_T10</t>
  </si>
  <si>
    <t>GIAM_TRU_BAN_THAN_T11</t>
  </si>
  <si>
    <t>GIAM_TRU_BAN_THAN_T12</t>
  </si>
  <si>
    <t>GIAM_TRU_NPT_T1</t>
  </si>
  <si>
    <t>GIAM_TRU_NPT_T2</t>
  </si>
  <si>
    <t>GIAM_TRU_NPT_T3</t>
  </si>
  <si>
    <t>GIAM_TRU_NPT_T4</t>
  </si>
  <si>
    <t>GIAM_TRU_NPT_T5</t>
  </si>
  <si>
    <t>GIAM_TRU_NPT_T6</t>
  </si>
  <si>
    <t>GIAM_TRU_NPT_T7</t>
  </si>
  <si>
    <t>GIAM_TRU_NPT_T8</t>
  </si>
  <si>
    <t>GIAM_TRU_NPT_T9</t>
  </si>
  <si>
    <t>GIAM_TRU_NPT_T10</t>
  </si>
  <si>
    <t>GIAM_TRU_NPT_T11</t>
  </si>
  <si>
    <t>GIAM_TRU_NPT_T12</t>
  </si>
  <si>
    <t>Giảm trừ bản thân</t>
  </si>
  <si>
    <t>Giảm trừ người phụ thuộc</t>
  </si>
  <si>
    <t>Người lập biểu</t>
  </si>
  <si>
    <t>Kế toán trưởng</t>
  </si>
  <si>
    <t>PHU_CAP_XANG_XE_T8</t>
  </si>
  <si>
    <t>PHU_CAP_XANG_XE_T9</t>
  </si>
  <si>
    <t>PHU_CAP_XANG_XE_T10</t>
  </si>
  <si>
    <t>PHU_CAP_XANG_XE_T11</t>
  </si>
  <si>
    <t>PHU_CAP_XANG_XE_T12</t>
  </si>
  <si>
    <t>PHU_CAP_NHA_O_T8</t>
  </si>
  <si>
    <t>PHU_CAP_NHA_O_T9</t>
  </si>
  <si>
    <t>PHU_CAP_NHA_O_T10</t>
  </si>
  <si>
    <t>PHU_CAP_NHA_O_T11</t>
  </si>
  <si>
    <t>PHU_CAP_NHA_O_T12</t>
  </si>
  <si>
    <t>BTTL_T1</t>
  </si>
  <si>
    <t>BTTL_T2</t>
  </si>
  <si>
    <t>TONG_CONG</t>
  </si>
  <si>
    <t>BTTL_T3</t>
  </si>
  <si>
    <t>BTTL_T4</t>
  </si>
  <si>
    <t>BTTL_T5</t>
  </si>
  <si>
    <t>BTTL_T6</t>
  </si>
  <si>
    <t>BTTL_T7</t>
  </si>
  <si>
    <t>BTTL_T8</t>
  </si>
  <si>
    <t>BTTL_T9</t>
  </si>
  <si>
    <t>BTTL_T10</t>
  </si>
  <si>
    <t>BTTL_T11</t>
  </si>
  <si>
    <t>BTTL_T12</t>
  </si>
  <si>
    <t>Luong_Theo_Hop_Dong</t>
  </si>
  <si>
    <t>Ngay_Cong_Thuc_Te</t>
  </si>
  <si>
    <t>Luong_Thuc_Linh</t>
  </si>
  <si>
    <t>Phu_Cap_An_Ca</t>
  </si>
  <si>
    <t>Phu_Cap_Xang_Xe</t>
  </si>
  <si>
    <t>Phu_Cap_Dien_Thoai</t>
  </si>
  <si>
    <t>Phu_Cap_Thuong</t>
  </si>
  <si>
    <t>Tong_Phu_Cap</t>
  </si>
  <si>
    <t>Tong_Thu_Nhap</t>
  </si>
  <si>
    <t>Giam_Tru_Ban_Than</t>
  </si>
  <si>
    <t>Giam_Tru_NPT</t>
  </si>
  <si>
    <t>Khau_Tru_Thue_TNCN</t>
  </si>
  <si>
    <t>Khau_Tru_BHXH</t>
  </si>
  <si>
    <t>Khau_Tru_Khac</t>
  </si>
  <si>
    <t>Thu_Nhap_Con_Lai</t>
  </si>
  <si>
    <t>UY_QUYEN_QT</t>
  </si>
  <si>
    <t>x</t>
  </si>
  <si>
    <t>BẢNG QUYẾT TOÁN THUẾ THU NHẬP CÁ NHÂN</t>
  </si>
  <si>
    <t>Thông tin</t>
  </si>
  <si>
    <t>MST</t>
  </si>
  <si>
    <t>CMT</t>
  </si>
  <si>
    <t>Cá nhân uỷ quyền quyết toán thay</t>
  </si>
  <si>
    <t>Tổng thu nhập trong năm</t>
  </si>
  <si>
    <t>Ăn ca</t>
  </si>
  <si>
    <t>Cộng</t>
  </si>
  <si>
    <t>Tổng thu nhập chịu thuế</t>
  </si>
  <si>
    <t>Giảm trừ</t>
  </si>
  <si>
    <t>Khấu trừ BHXH</t>
  </si>
  <si>
    <t>Bản thân</t>
  </si>
  <si>
    <t>Số người phụ thuộc</t>
  </si>
  <si>
    <t>Người phụ thuộc</t>
  </si>
  <si>
    <t>Thuế TNCN đã nộp</t>
  </si>
  <si>
    <t>Số tháng làm việc</t>
  </si>
  <si>
    <t>Thu nhập tính thuế</t>
  </si>
  <si>
    <t>Thuế TNCN khấu trừ theo LTTP</t>
  </si>
  <si>
    <t>Ghi chú</t>
  </si>
  <si>
    <t>Muc_Giam_Tru</t>
  </si>
  <si>
    <t>Bảo hiểm được trừ</t>
  </si>
  <si>
    <t>Tổng số thuế TNCN đã khấu trừ</t>
  </si>
  <si>
    <t>Tổng số thuế phải nộp</t>
  </si>
  <si>
    <t>Chi tiết kết quả quyết toán thay cho cá nhân nộp thuế</t>
  </si>
  <si>
    <t>Số thuế đã nộp thừa</t>
  </si>
  <si>
    <t>Số thuế còn phải nộp</t>
  </si>
  <si>
    <t>Họ và tên (*)</t>
  </si>
  <si>
    <t>Mã số thuế</t>
  </si>
  <si>
    <t>Số CMND/Hộ chiếu</t>
  </si>
  <si>
    <t>Thu nhập chịu thuế</t>
  </si>
  <si>
    <t>Các khoản giảm trừ</t>
  </si>
  <si>
    <t>Thu nhập tính
 thuế</t>
  </si>
  <si>
    <t>Số thuế TNCN đã khấu trừ</t>
  </si>
  <si>
    <t>Số thuế TNCN được giảm do làm việc trong KKT</t>
  </si>
  <si>
    <t>Cá nhân nước ngoài uỷ quyền quyết toán dưới 12 tháng/năm</t>
  </si>
  <si>
    <t>Tổng số</t>
  </si>
  <si>
    <t>Trong đó: TNCT làm căn cứ tính giảm thuế</t>
  </si>
  <si>
    <t>Số lượng NPT tính giảm trừ</t>
  </si>
  <si>
    <t>Tổng số tiền  giảm trừ gia cảnh</t>
  </si>
  <si>
    <t>Từ thiện, nhân đạo, khuyến học</t>
  </si>
  <si>
    <t>Quĩ hưu trí tự nguyện được trừ</t>
  </si>
  <si>
    <t>Làm việc trong KKT</t>
  </si>
  <si>
    <t>Theo Hiệp định</t>
  </si>
  <si>
    <t>[06]</t>
  </si>
  <si>
    <t>[07]</t>
  </si>
  <si>
    <t>[08]</t>
  </si>
  <si>
    <t>[09]</t>
  </si>
  <si>
    <t>[10]</t>
  </si>
  <si>
    <t>[11]</t>
  </si>
  <si>
    <t>[12]</t>
  </si>
  <si>
    <t>[13]</t>
  </si>
  <si>
    <t>[14]</t>
  </si>
  <si>
    <t>[15]</t>
  </si>
  <si>
    <t>[16]</t>
  </si>
  <si>
    <t>[17]</t>
  </si>
  <si>
    <t>[18]</t>
  </si>
  <si>
    <t>[19]</t>
  </si>
  <si>
    <t>[20]</t>
  </si>
  <si>
    <t>[21]</t>
  </si>
  <si>
    <t>[22]</t>
  </si>
  <si>
    <t>[23]</t>
  </si>
  <si>
    <t>[24]</t>
  </si>
  <si>
    <t>Giảm trừ 
bản thân</t>
  </si>
  <si>
    <t>Họ và tên người nộp thuế(*)</t>
  </si>
  <si>
    <t>MST của người nộp thuế</t>
  </si>
  <si>
    <t>Họ và tên người phụ thuộc</t>
  </si>
  <si>
    <t>Ngày sinh người phụ thuộc</t>
  </si>
  <si>
    <t>MST của người phụ thuộc</t>
  </si>
  <si>
    <t>Mã Quốc tịch của người phụ thuộc</t>
  </si>
  <si>
    <t>Quốc tịch của người phụ thuộc</t>
  </si>
  <si>
    <t>CMND/Hộ chiếu người phụ thuộc</t>
  </si>
  <si>
    <t>Mã Quan hệ với người nộp thuế</t>
  </si>
  <si>
    <t>Quan hệ với người nộp thuế</t>
  </si>
  <si>
    <t>Thông tin trên giấy khai sinh của người phụ thuộc (Nếu người phụ thuộc không có MST, CMND và Hộ chiếu)</t>
  </si>
  <si>
    <t>Thời gian tính giảm trừ</t>
  </si>
  <si>
    <t>Số</t>
  </si>
  <si>
    <t>Quyển số</t>
  </si>
  <si>
    <t>Nơi đăng ký</t>
  </si>
  <si>
    <t>Mã quốc gia</t>
  </si>
  <si>
    <t>Quốc gia</t>
  </si>
  <si>
    <t>Mã Tỉnh/Thành phố</t>
  </si>
  <si>
    <t>Tỉnh/Thành phố</t>
  </si>
  <si>
    <t>Mã Quận/Huyện</t>
  </si>
  <si>
    <t>Quận/Huyện</t>
  </si>
  <si>
    <t>Mã Phường/Xã</t>
  </si>
  <si>
    <t>Phường/Xã</t>
  </si>
  <si>
    <t>Từ tháng</t>
  </si>
  <si>
    <t>Đến tháng</t>
  </si>
  <si>
    <t>Trần Văn A</t>
  </si>
  <si>
    <t>Trần Thị B</t>
  </si>
  <si>
    <t/>
  </si>
  <si>
    <t>Cần phải khai báo trước mẫu 05_3BK_TNCN để lấy ra số người giảm trừ gia cảnh theo từng người lao động</t>
  </si>
  <si>
    <t>Văn phòng</t>
  </si>
  <si>
    <t>Sản xuất</t>
  </si>
  <si>
    <t>BHXH (DN đóng)</t>
  </si>
  <si>
    <t>BHYT (DN đóng)</t>
  </si>
  <si>
    <t>BHTN (DN đóng)</t>
  </si>
  <si>
    <t>BHXH (CN đóng)</t>
  </si>
  <si>
    <t>BHYT (CN đóng)</t>
  </si>
  <si>
    <t>BHTN (CN đóng)</t>
  </si>
  <si>
    <t>Phụ cấp xăng xe</t>
  </si>
  <si>
    <t>Phụ cấp điện thoại</t>
  </si>
  <si>
    <t>Phụ cấp thường</t>
  </si>
  <si>
    <t>Tổng phụ cấp</t>
  </si>
  <si>
    <t>Giảm trừ NPT</t>
  </si>
  <si>
    <t>Khấu trừ thuế TNCN</t>
  </si>
  <si>
    <t>Khấu trừ khác</t>
  </si>
  <si>
    <t>Cá nhân không cư trú</t>
  </si>
  <si>
    <t>Thu nhập chịu thuế (TNCT)</t>
  </si>
  <si>
    <t>Số thuế thu nhập cá nhân (TNCN) đã khấu trừ</t>
  </si>
  <si>
    <t>Số thuế TNCN được giảm do làm việc tại KKT</t>
  </si>
  <si>
    <t xml:space="preserve">Trong đó: TNCT được giảm thuế </t>
  </si>
  <si>
    <t>Trong đó: Số thuế từ phí mua BH nhân thọ, BH không bắt buộc khác của DN BH không thành lập tại Việt Nam cho người lao động</t>
  </si>
  <si>
    <t>Trong đó : TNCT từ phí mua BH nhân thọ, BH không bắt buộc khác của DN BH không thành lập tại Việt Nam cho người lao động</t>
  </si>
  <si>
    <t>Làm việc tại KKT</t>
  </si>
  <si>
    <t>8445654544</t>
  </si>
  <si>
    <t>8465465412</t>
  </si>
  <si>
    <t>132154561</t>
  </si>
  <si>
    <t>132132545</t>
  </si>
  <si>
    <t>8024957378</t>
  </si>
  <si>
    <t>8130701561</t>
  </si>
  <si>
    <t>8083172501</t>
  </si>
  <si>
    <t>8481561673</t>
  </si>
  <si>
    <t>8485445999</t>
  </si>
  <si>
    <t>8111578577</t>
  </si>
  <si>
    <t>8506572285</t>
  </si>
  <si>
    <t>8112553180</t>
  </si>
  <si>
    <t>8444465474</t>
  </si>
  <si>
    <t>8024957459</t>
  </si>
  <si>
    <t>CỘNG HÒA XÃ HỘI CHỦ NGHĨA VIỆT NAM</t>
  </si>
  <si>
    <t>Độc lập - Tự do - Hạnh phúc</t>
  </si>
  <si>
    <t>---------------------</t>
  </si>
  <si>
    <t>Số :</t>
  </si>
  <si>
    <t>BÊN SỬ DỤNG LAO ĐỘNG :</t>
  </si>
  <si>
    <t xml:space="preserve">Đại diện là </t>
  </si>
  <si>
    <t>:</t>
  </si>
  <si>
    <t>Chức vụ :</t>
  </si>
  <si>
    <t>là người đại diện Pháp luật của công ty.</t>
  </si>
  <si>
    <t xml:space="preserve">Địa chỉ </t>
  </si>
  <si>
    <t xml:space="preserve">Điện thoại </t>
  </si>
  <si>
    <t>Email :</t>
  </si>
  <si>
    <t>BÊN NGƯỜI LAO ĐỘNG :</t>
  </si>
  <si>
    <t xml:space="preserve">Ông / Bà </t>
  </si>
  <si>
    <t xml:space="preserve">Ngày sinh </t>
  </si>
  <si>
    <t xml:space="preserve">Số CMND </t>
  </si>
  <si>
    <t>Ngày cấp :</t>
  </si>
  <si>
    <t>Nơi cấp :</t>
  </si>
  <si>
    <t>Thỏa thuận ký kết Hợp đồng lao động và cam kết làm đúng những điều khoản sau đây :</t>
  </si>
  <si>
    <r>
      <rPr>
        <b/>
        <u/>
        <sz val="12.5"/>
        <color theme="1"/>
        <rFont val="Times New Roman"/>
        <family val="1"/>
      </rPr>
      <t>Điều 1</t>
    </r>
    <r>
      <rPr>
        <b/>
        <sz val="12.5"/>
        <color theme="1"/>
        <rFont val="Times New Roman"/>
        <family val="1"/>
      </rPr>
      <t>: Thời hạn và công việc Hợp đồng</t>
    </r>
  </si>
  <si>
    <t>- Địa điểm làm việc: làm việc thường xuyên tại Văn phòng công ty. Ngoài ra có thể làm việc tại các địa điểm khác do Trưởng Bộ phận/ Giám đốc yêu cầu để giải quyết các công việc được giao.</t>
  </si>
  <si>
    <t>- Công việc phải làm: chi tiết được Quy định trong “ Bản mô tả công việc hoặc “ Điều khoản giao việc cho từng vị trí.</t>
  </si>
  <si>
    <r>
      <rPr>
        <b/>
        <u/>
        <sz val="12.5"/>
        <color theme="1"/>
        <rFont val="Times New Roman"/>
        <family val="1"/>
      </rPr>
      <t>Điều 2</t>
    </r>
    <r>
      <rPr>
        <b/>
        <sz val="12.5"/>
        <color theme="1"/>
        <rFont val="Times New Roman"/>
        <family val="1"/>
      </rPr>
      <t>: Chế độ làm việc</t>
    </r>
  </si>
  <si>
    <t>- Thời gian làm việc: 6 ngày/ Tuần ; 8h/ngày (48h/tuần). Ngoài ra trong một số trường hợp cụ thể có thể phải làm ngoài giờ hoặc ngày nghỉ theo yêu cầu công việc.</t>
  </si>
  <si>
    <t>- Được cấp phát những dụng cụ làm việc: tùy nhu cầu công việc.</t>
  </si>
  <si>
    <r>
      <rPr>
        <b/>
        <u/>
        <sz val="12.5"/>
        <color theme="1"/>
        <rFont val="Times New Roman"/>
        <family val="1"/>
      </rPr>
      <t>Điều 3</t>
    </r>
    <r>
      <rPr>
        <b/>
        <sz val="12.5"/>
        <color theme="1"/>
        <rFont val="Times New Roman"/>
        <family val="1"/>
      </rPr>
      <t>: Nghĩa vụ và quyền lợi của người lao động</t>
    </r>
  </si>
  <si>
    <t>1.Quyền lợi.</t>
  </si>
  <si>
    <t>- Phương tiện đi lại làm việc: Cá nhân tự túc</t>
  </si>
  <si>
    <t xml:space="preserve">- Phụ cấp gồm: Tùy theo vị trí công việc đảm nhận người lao động được hưởng các phụ cấp dưới đây : </t>
  </si>
  <si>
    <t>- Hình thức trả lương: Thanh toán bằng Tiền mặt hoặc Chuyển khoản.</t>
  </si>
  <si>
    <t xml:space="preserve">- Được trả lương mỗi tháng 1 lần vào cuối tháng (chậm nhất là mồng 10 tháng kế tiếp). </t>
  </si>
  <si>
    <t>- Tiền thưởng: theo quy định của công ty.</t>
  </si>
  <si>
    <t>- Chế độ nâng lương: theo quy định của công ty.</t>
  </si>
  <si>
    <t>- Trang bị bảo hộ lao động: tùy công việc, theo quy định của Luật lao động.</t>
  </si>
  <si>
    <t>- Chế độ nghỉ ngơi: theo quy định của Luật lao động.</t>
  </si>
  <si>
    <t>- Bảo hiểm xã hội và Bảo hiểm y tế: theo quy định của Luật BHXH, BHXT</t>
  </si>
  <si>
    <t>- Thuế Thu nhập cá nhân: mức lương trên đã bao gồm Thuế TNCN. Người LAO ĐỘNG phải tự nộp Thuế TNCN theo quy định của pháp luật.</t>
  </si>
  <si>
    <t>- Chế độ đào tạo: Theo thỏa thuận riêng giữa hai bên (nếu có) không trái với Luật lao động.</t>
  </si>
  <si>
    <t>- Những thỏa thuận khác.</t>
  </si>
  <si>
    <t>+ Người lao động có quyền đơn phương chấm dứt hợp đồng lao động theo quy định tại Luật lao động và các văn bản hướng dẫn của Cơ quan quản lý Nhà nước về lao động nhưng phải báo trước người sử dụng lao động ít nhất là 30 (Ba mươi ngày) ngày và bàn giao đầy đủ hồ sơ tài liệu, công việc đang đảm nhận cho người được Công ty chỉ định người nhận bàn giao. Trường hợp người lao động vi phạm điều khoản báo trước, không thực hiện bàn giao thì phải chịu trách nhiệm và bồi thường theo quy định.</t>
  </si>
  <si>
    <t>2. Nghĩa vụ.</t>
  </si>
  <si>
    <t>- Hoàn thành những công việc đã cam kết trong hợp đồng lao động.</t>
  </si>
  <si>
    <t>- Chấp hành lệnh điều hành sản xuất - kinh doanh, nội quy, kỷ luật lao động, an toàn lao động.</t>
  </si>
  <si>
    <t>- Cam kết bảo mật thông tin sau:</t>
  </si>
  <si>
    <t>+ Cung cấp hoặc làm việc (gián tiếp hoặc trực tiếp) cho bất kỳ đối thủ cạnh tranh nào khác của Công ty (theo định nghia của Ban giám đốc công ty) hoặc bất kỳ công ty con, liên kết  hay chi nhánh của các đối thủ cạnh tranh.</t>
  </si>
  <si>
    <t>+ Lạm dụng hoặc tiết lộ cho bất kỳ một cá nhân hay một nhóm người nào thông tin cơ mật của công ty hoặc bí mật kinh doanh của công ty.</t>
  </si>
  <si>
    <t>- Bồi thường vi phạm và vật chất: Theo qui định của Bộ luật lao động và qui chế của Công ty.</t>
  </si>
  <si>
    <r>
      <rPr>
        <b/>
        <u/>
        <sz val="13"/>
        <color theme="1"/>
        <rFont val="Times New Roman"/>
        <family val="1"/>
      </rPr>
      <t xml:space="preserve">Điều 4: </t>
    </r>
    <r>
      <rPr>
        <b/>
        <sz val="13"/>
        <color theme="1"/>
        <rFont val="Times New Roman"/>
        <family val="1"/>
      </rPr>
      <t>Nghĩa vụ và quyền hạn của người sử dụng lao động.</t>
    </r>
  </si>
  <si>
    <t>1.Nghĩa vụ :</t>
  </si>
  <si>
    <t>- Bảo đảm việc làm và thực hiện đầy đủ những điều đã cam kết trong HĐLĐ</t>
  </si>
  <si>
    <t>- Thanh toán đầy đủ, đúng thời hạn các chế độ và quyền lợi cho người lao động theo hợp đồng lao động, thỏa ước lao động tập thể (nếu có).</t>
  </si>
  <si>
    <t>2. Quyền hạn</t>
  </si>
  <si>
    <t>- Điều hành người lao động hoàn thành công việc theo hợp đồng.</t>
  </si>
  <si>
    <t>- Điều chuyển, sắp xếp, bố trí lại công việc phù hợp với chuyên môn được đào tạo hoặc nhu cầu sử dụng lao động của công ty.</t>
  </si>
  <si>
    <t>- Đơn phương chấm dứt hợp đồng lao động, kỷ luật người lao động trong các trường hợp sau:</t>
  </si>
  <si>
    <t>+  Người lao động không hoàn thành công việc được giao theo tiến độ nhưng không nỗ lực, cố gắng khắc phục, có thái độ chống đối, cố tình trì hoãn…</t>
  </si>
  <si>
    <t>+  Tiết lộ thông tin kinh doanh của công ty khi chưa có sự chấp thuận của Giám đốc công ty.</t>
  </si>
  <si>
    <t>+  Người lao động vi phạm nghiêm trọng các nội quy, quy chế lao động, kỷ luật lao động của công ty.</t>
  </si>
  <si>
    <t>+  Người lao động thiếu tinh thần trách nhiệm trong công việc gây thiệt hại cho công ty.</t>
  </si>
  <si>
    <t>+  Các trường hợp khác theo quy định của Pháp luật lao động.</t>
  </si>
  <si>
    <t>- Có quyền phạt, yêu cầu người lao động bồi thường khi vi phạm kỷ luật gây thiệt hại cho công ty;</t>
  </si>
  <si>
    <t>- Có quyền tạm hoãn hợp đồng lao động để người lao động khắc phục hậu quản sai sót trong công việc nhưng mức độ không nghiêm trọng đến mức phải chấm dứt hợp đồng lao động.</t>
  </si>
  <si>
    <r>
      <t>Điều 5</t>
    </r>
    <r>
      <rPr>
        <b/>
        <sz val="13"/>
        <color theme="1"/>
        <rFont val="Times New Roman"/>
        <family val="1"/>
      </rPr>
      <t>: Điều khoản thi hành.</t>
    </r>
  </si>
  <si>
    <t xml:space="preserve">- Những vấn đề về lao động không ghi trong hợp đồng lao động này thì áp dụng quy định của thỏa ước tập thể, trường hợp chưa có thỏa ước tập thể thì áp dụng quy định của pháp luật lao động. </t>
  </si>
  <si>
    <t>- Hợp đồng lao động được làm thành 02 bản có giá trị ngang nhau, người lao động giữ 01 bản và có hiệu lực từ ngày ký. Khi hai bên ký kết phụ lục hợp đồng lao động thì nội dung của phụ lục hợp đồng lao động cũng có giá trị như các nội dung của bản hợp đồng lao động này.</t>
  </si>
  <si>
    <r>
      <rPr>
        <b/>
        <sz val="12.5"/>
        <color theme="1"/>
        <rFont val="Times New Roman"/>
        <family val="1"/>
      </rPr>
      <t>NGƯỜI LAO ĐỘNG</t>
    </r>
    <r>
      <rPr>
        <sz val="12.5"/>
        <color theme="1"/>
        <rFont val="Times New Roman"/>
        <family val="1"/>
      </rPr>
      <t xml:space="preserve">
</t>
    </r>
    <r>
      <rPr>
        <i/>
        <sz val="12.5"/>
        <color theme="1"/>
        <rFont val="Times New Roman"/>
        <family val="1"/>
      </rPr>
      <t>(Ký, ghi rõ họ tên)</t>
    </r>
    <r>
      <rPr>
        <sz val="12.5"/>
        <color theme="1"/>
        <rFont val="Times New Roman"/>
        <family val="1"/>
      </rPr>
      <t xml:space="preserve">
</t>
    </r>
  </si>
  <si>
    <r>
      <rPr>
        <b/>
        <sz val="12.5"/>
        <color theme="1"/>
        <rFont val="Times New Roman"/>
        <family val="1"/>
      </rPr>
      <t>NGƯỜI SỬ DỤNG LAO ĐỘNG</t>
    </r>
    <r>
      <rPr>
        <sz val="12.5"/>
        <color theme="1"/>
        <rFont val="Times New Roman"/>
        <family val="1"/>
      </rPr>
      <t xml:space="preserve">
</t>
    </r>
    <r>
      <rPr>
        <i/>
        <sz val="12.5"/>
        <color theme="1"/>
        <rFont val="Times New Roman"/>
        <family val="1"/>
      </rPr>
      <t>(Ký và ghi rõ tên, đóng dấu)</t>
    </r>
    <r>
      <rPr>
        <sz val="12.5"/>
        <color theme="1"/>
        <rFont val="Times New Roman"/>
        <family val="1"/>
      </rPr>
      <t xml:space="preserve">
</t>
    </r>
  </si>
  <si>
    <t>Đại diện theo pháp luật</t>
  </si>
  <si>
    <t>Hà Tuấn Anh</t>
  </si>
  <si>
    <t>Email</t>
  </si>
  <si>
    <t>0906.55.66.91</t>
  </si>
  <si>
    <t>tradaexcel@gmail.com</t>
  </si>
  <si>
    <t>Số Hợp đồng</t>
  </si>
  <si>
    <t>Loại Hợp đồng</t>
  </si>
  <si>
    <t>Ngày ký hợp đồng</t>
  </si>
  <si>
    <t>Người lao động</t>
  </si>
  <si>
    <t>Ngày sinh</t>
  </si>
  <si>
    <t>Số CMT</t>
  </si>
  <si>
    <t>Ngày cấp</t>
  </si>
  <si>
    <t>Nơi cấp</t>
  </si>
  <si>
    <t>Thời gian làm việc</t>
  </si>
  <si>
    <t>Chức danh chuyên môn</t>
  </si>
  <si>
    <t>Ngay_Sinh</t>
  </si>
  <si>
    <t>Dia_Chi</t>
  </si>
  <si>
    <t>Hà Nội</t>
  </si>
  <si>
    <t>Bình Dương</t>
  </si>
  <si>
    <t>Hồ Chí Minh</t>
  </si>
  <si>
    <t>Hải Phòng</t>
  </si>
  <si>
    <t>Bắc Ninh</t>
  </si>
  <si>
    <t>Ngay_Cap</t>
  </si>
  <si>
    <t>Noi_Cap</t>
  </si>
  <si>
    <t>01/2023</t>
  </si>
  <si>
    <t>HDLD</t>
  </si>
  <si>
    <t>HDTV</t>
  </si>
  <si>
    <t>05/2023</t>
  </si>
  <si>
    <t>06/2023</t>
  </si>
  <si>
    <t>02/2023</t>
  </si>
  <si>
    <t>12/2023</t>
  </si>
  <si>
    <t>In từ</t>
  </si>
  <si>
    <t>In đến</t>
  </si>
  <si>
    <t>HD1</t>
  </si>
  <si>
    <t>Năm :</t>
  </si>
  <si>
    <r>
      <rPr>
        <b/>
        <sz val="20"/>
        <color theme="1"/>
        <rFont val="Times New Roman"/>
        <family val="1"/>
      </rPr>
      <t>BẢN CAM KẾT</t>
    </r>
    <r>
      <rPr>
        <b/>
        <sz val="14"/>
        <color theme="1"/>
        <rFont val="Times New Roman"/>
        <family val="1"/>
      </rPr>
      <t xml:space="preserve">
</t>
    </r>
    <r>
      <rPr>
        <i/>
        <sz val="14"/>
        <color theme="1"/>
        <rFont val="Times New Roman"/>
        <family val="1"/>
      </rPr>
      <t>(Áp dụng khi cá nhân nhận thu nhập và ước tính tổng thu nhập trong năm dương lịch chưa đến mức chịu thuế TNCN)</t>
    </r>
  </si>
  <si>
    <t>1. Tôi tên là :</t>
  </si>
  <si>
    <t>2. Mã số thuế :</t>
  </si>
  <si>
    <t>4. Địa chỉ cư trú :</t>
  </si>
  <si>
    <t>Tôi chịu trách nhiệm trước pháp luật về những số liệu đã khai./.</t>
  </si>
  <si>
    <t xml:space="preserve">           CÁ NHÂN CAM KẾT</t>
  </si>
  <si>
    <t xml:space="preserve">             (Ký, ghi rõ họ tên)</t>
  </si>
  <si>
    <t>Ghi chú: (*) Số tiền khai tại mục này được xác định bằng mức giảm trừ gia cảnh được tính trong năm:
                VD: 
- Trường hợp người cam kết không có người phụ thuộc: số tiền khai là 11 triệu đồng x 12 tháng = 132 triệu đồng.
- Trường hợp người cam kết có 01 người phụ thuộc thực tế phải nuôi dưỡng trong năm là 10 tháng: 
Số tiền khai	=	132 triệu đồng	+	4,4 triệu đồng	x	10 tháng	=	176 triệu đồng</t>
  </si>
  <si>
    <t>-</t>
  </si>
  <si>
    <r>
      <t xml:space="preserve">BẢN CAM KẾT
</t>
    </r>
    <r>
      <rPr>
        <i/>
        <sz val="14"/>
        <color theme="1"/>
        <rFont val="Times New Roman"/>
        <family val="1"/>
      </rPr>
      <t xml:space="preserve">(Áp dụng cho cá nhân chưa đến mức thu nhập chịu thuế TNCN) </t>
    </r>
  </si>
  <si>
    <t xml:space="preserve">Nơi cấp: </t>
  </si>
  <si>
    <t>5. Tên tổ chức, cá nhân trả thu nhập :</t>
  </si>
  <si>
    <t>Tôi cam đoan số liệu khai trên là đúng và chịu trách nhiệm trước pháp luật về những số liệu đã khai./.</t>
  </si>
  <si>
    <r>
      <rPr>
        <u/>
        <sz val="11"/>
        <color theme="1"/>
        <rFont val="Times New Roman"/>
        <family val="1"/>
      </rPr>
      <t>Ghi chú:</t>
    </r>
    <r>
      <rPr>
        <sz val="11"/>
        <color theme="1"/>
        <rFont val="Times New Roman"/>
        <family val="1"/>
      </rPr>
      <t xml:space="preserve"> (*) Số tiền khai tại mục này được xác định bằng mức giảm trừ gia cảnh được tính trong năm:
 VD: 
- Trường hợp người cam kết không có người phụ thuộc: số tiền khai là 9 triệu đồng x 12 tháng = 108 triệu đồng.
- Trường hợp người cam kết có 01 người phụ thuộc thực tế phải nuôi dưỡng trong năm là 10 tháng: 
Số tiền khai = 108 triệu đồng + 3,6 triệu đồng x 10 tháng = 144 triệu đồng
</t>
    </r>
  </si>
  <si>
    <t>8215412452</t>
  </si>
  <si>
    <t>8545612778</t>
  </si>
  <si>
    <t>8554512454</t>
  </si>
  <si>
    <t>132145644</t>
  </si>
  <si>
    <t>132131211</t>
  </si>
  <si>
    <t>132454546</t>
  </si>
  <si>
    <t>CÁ NHÂN CAM KẾT</t>
  </si>
  <si>
    <t>(Ký, ghi rõ họ tên)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</si>
</sst>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quot;??_);_(@_)"/>
    <numFmt numFmtId="165" formatCode="&quot;LUONG_BHXH_T&quot;0"/>
    <numFmt numFmtId="166" formatCode="dd"/>
    <numFmt numFmtId="167" formatCode="[$-42A]dddd\,\ &quot;Ngày&quot;\ dd\ &quot;Tháng&quot;\ mm\ &quot;Năm&quot;\ yyyy"/>
    <numFmt numFmtId="168" formatCode=";;;"/>
    <numFmt numFmtId="169" formatCode="\ \ 0"/>
    <numFmt numFmtId="170" formatCode="####;\(####\)"/>
    <numFmt numFmtId="171" formatCode="&quot;HĐ&quot;0"/>
    <numFmt numFmtId="172" formatCode="#;##;&quot;-&quot;"/>
    <numFmt numFmtId="173" formatCode="&quot;HD&quot;0"/>
  </numFmts>
  <fonts count="42"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i/>
      <sz val="11"/>
      <color theme="1"/>
      <name val="Aptos Narrow"/>
      <family val="2"/>
      <scheme val="minor"/>
    </font>
    <font>
      <b/>
      <i/>
      <sz val="11"/>
      <color theme="0"/>
      <name val="Aptos Narrow"/>
      <family val="2"/>
      <scheme val="minor"/>
    </font>
    <font>
      <b/>
      <sz val="12"/>
      <color theme="1"/>
      <name val="Aptos Narrow"/>
      <family val="2"/>
      <scheme val="minor"/>
    </font>
    <font>
      <b/>
      <sz val="14"/>
      <color theme="1"/>
      <name val="Aptos Narrow"/>
      <family val="2"/>
      <scheme val="minor"/>
    </font>
    <font>
      <b/>
      <i/>
      <sz val="11"/>
      <color theme="1"/>
      <name val="Aptos Narrow"/>
      <family val="2"/>
      <scheme val="minor"/>
    </font>
    <font>
      <b/>
      <sz val="11"/>
      <name val="Aptos Narrow"/>
      <family val="2"/>
      <scheme val="minor"/>
    </font>
    <font>
      <b/>
      <sz val="16"/>
      <color theme="1"/>
      <name val="Aptos Narrow"/>
      <family val="2"/>
      <scheme val="minor"/>
    </font>
    <font>
      <b/>
      <sz val="18"/>
      <color theme="1"/>
      <name val="Aptos Narrow"/>
      <family val="2"/>
      <scheme val="minor"/>
    </font>
    <font>
      <sz val="8"/>
      <name val="Aptos Narrow"/>
      <family val="2"/>
      <scheme val="minor"/>
    </font>
    <font>
      <b/>
      <i/>
      <sz val="14"/>
      <color theme="1"/>
      <name val="Aptos Narrow"/>
      <family val="2"/>
      <scheme val="minor"/>
    </font>
    <font>
      <b/>
      <sz val="8"/>
      <name val="Arial"/>
      <family val="2"/>
    </font>
    <font>
      <sz val="8"/>
      <name val="Arial"/>
      <family val="2"/>
    </font>
    <font>
      <sz val="10"/>
      <name val="Arial"/>
      <family val="2"/>
    </font>
    <font>
      <sz val="13"/>
      <color theme="1"/>
      <name val="Aptos Narrow"/>
      <family val="2"/>
      <scheme val="minor"/>
    </font>
    <font>
      <b/>
      <sz val="13"/>
      <color theme="0"/>
      <name val="Aptos Narrow"/>
      <family val="2"/>
      <scheme val="minor"/>
    </font>
    <font>
      <sz val="8"/>
      <name val="Arial"/>
      <family val="2"/>
    </font>
    <font>
      <b/>
      <sz val="12"/>
      <color theme="1"/>
      <name val="Times New Roman"/>
      <family val="1"/>
    </font>
    <font>
      <sz val="11"/>
      <color theme="1"/>
      <name val="Times New Roman"/>
      <family val="1"/>
    </font>
    <font>
      <i/>
      <sz val="11"/>
      <color theme="1"/>
      <name val="Times New Roman"/>
      <family val="1"/>
    </font>
    <font>
      <b/>
      <sz val="17"/>
      <color theme="1"/>
      <name val="Times New Roman"/>
      <family val="1"/>
    </font>
    <font>
      <b/>
      <sz val="13"/>
      <color theme="1"/>
      <name val="Times New Roman"/>
      <family val="1"/>
    </font>
    <font>
      <sz val="13"/>
      <color theme="1"/>
      <name val="Times New Roman"/>
      <family val="1"/>
    </font>
    <font>
      <b/>
      <sz val="12.5"/>
      <color theme="1"/>
      <name val="Times New Roman"/>
      <family val="1"/>
      <charset val="163"/>
    </font>
    <font>
      <sz val="12.5"/>
      <color theme="1"/>
      <name val="Times New Roman"/>
      <family val="1"/>
    </font>
    <font>
      <b/>
      <sz val="12.5"/>
      <color theme="1"/>
      <name val="Times New Roman"/>
      <family val="1"/>
    </font>
    <font>
      <i/>
      <sz val="12.5"/>
      <color theme="1"/>
      <name val="Times New Roman"/>
      <family val="1"/>
    </font>
    <font>
      <b/>
      <u/>
      <sz val="12.5"/>
      <color theme="1"/>
      <name val="Times New Roman"/>
      <family val="1"/>
    </font>
    <font>
      <b/>
      <i/>
      <sz val="13"/>
      <color theme="1"/>
      <name val="Times New Roman"/>
      <family val="1"/>
    </font>
    <font>
      <b/>
      <i/>
      <sz val="12.5"/>
      <color theme="1"/>
      <name val="Times New Roman"/>
      <family val="1"/>
    </font>
    <font>
      <b/>
      <u/>
      <sz val="13"/>
      <color theme="1"/>
      <name val="Times New Roman"/>
      <family val="1"/>
    </font>
    <font>
      <sz val="12"/>
      <color theme="1"/>
      <name val="Times New Roman"/>
      <family val="1"/>
    </font>
    <font>
      <b/>
      <sz val="11"/>
      <color theme="1"/>
      <name val="Times New Roman"/>
      <family val="1"/>
    </font>
    <font>
      <b/>
      <sz val="14"/>
      <color theme="1"/>
      <name val="Times New Roman"/>
      <family val="1"/>
    </font>
    <font>
      <b/>
      <sz val="20"/>
      <color theme="1"/>
      <name val="Times New Roman"/>
      <family val="1"/>
    </font>
    <font>
      <i/>
      <sz val="14"/>
      <color theme="1"/>
      <name val="Times New Roman"/>
      <family val="1"/>
    </font>
    <font>
      <sz val="14"/>
      <color theme="1"/>
      <name val="Times New Roman"/>
      <family val="1"/>
    </font>
    <font>
      <sz val="14"/>
      <color rgb="FF000000"/>
      <name val="Times New Roman"/>
      <family val="1"/>
    </font>
    <font>
      <u/>
      <sz val="11"/>
      <color theme="1"/>
      <name val="Times New Roman"/>
      <family val="1"/>
    </font>
  </fonts>
  <fills count="9">
    <fill>
      <patternFill patternType="none"/>
    </fill>
    <fill>
      <patternFill patternType="gray125"/>
    </fill>
    <fill>
      <patternFill patternType="solid">
        <fgColor theme="5"/>
        <bgColor indexed="64"/>
      </patternFill>
    </fill>
    <fill>
      <patternFill patternType="solid">
        <fgColor theme="3" tint="0.249977111117893"/>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5"/>
      </patternFill>
    </fill>
    <fill>
      <patternFill patternType="solid">
        <fgColor indexed="42"/>
      </patternFill>
    </fill>
    <fill>
      <patternFill patternType="solid">
        <fgColor rgb="FFFFFF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style="thin">
        <color auto="1"/>
      </right>
      <top style="thin">
        <color auto="1"/>
      </top>
      <bottom style="thin">
        <color auto="1"/>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64"/>
      </left>
      <right style="medium">
        <color indexed="64"/>
      </right>
      <top style="medium">
        <color indexed="64"/>
      </top>
      <bottom style="medium">
        <color indexed="64"/>
      </bottom>
      <diagonal/>
    </border>
    <border>
      <left style="medium">
        <color indexed="8"/>
      </left>
      <right style="medium">
        <color indexed="8"/>
      </right>
      <top/>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style="medium">
        <color indexed="8"/>
      </right>
      <top/>
      <bottom style="medium">
        <color indexed="8"/>
      </bottom>
      <diagonal/>
    </border>
    <border>
      <left style="medium">
        <color indexed="64"/>
      </left>
      <right style="medium">
        <color indexed="64"/>
      </right>
      <top style="medium">
        <color indexed="64"/>
      </top>
      <bottom style="medium">
        <color indexed="8"/>
      </bottom>
      <diagonal/>
    </border>
    <border>
      <left style="medium">
        <color indexed="8"/>
      </left>
      <right/>
      <top/>
      <bottom/>
      <diagonal/>
    </border>
    <border>
      <left/>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6" borderId="0" applyNumberFormat="0" applyBorder="0" applyAlignment="0" applyProtection="0"/>
    <xf numFmtId="0" fontId="16" fillId="0" borderId="0" applyAlignment="0">
      <alignment vertical="top" wrapText="1"/>
      <protection locked="0"/>
    </xf>
  </cellStyleXfs>
  <cellXfs count="267">
    <xf numFmtId="0" fontId="0" fillId="0" borderId="0" xfId="0"/>
    <xf numFmtId="0" fontId="3" fillId="0" borderId="0" xfId="0" applyFont="1"/>
    <xf numFmtId="0" fontId="4" fillId="0" borderId="0" xfId="0" applyFont="1"/>
    <xf numFmtId="0" fontId="0" fillId="0" borderId="0" xfId="0" applyAlignment="1">
      <alignment vertical="center"/>
    </xf>
    <xf numFmtId="0" fontId="3" fillId="0" borderId="0" xfId="0" applyFont="1" applyAlignment="1">
      <alignment vertical="center"/>
    </xf>
    <xf numFmtId="0" fontId="0" fillId="0" borderId="0" xfId="0" applyAlignment="1">
      <alignment horizontal="center" vertical="center"/>
    </xf>
    <xf numFmtId="0" fontId="2" fillId="2" borderId="0" xfId="0" applyFont="1" applyFill="1" applyAlignment="1">
      <alignment horizontal="center" vertical="center"/>
    </xf>
    <xf numFmtId="49" fontId="0" fillId="0" borderId="0" xfId="0" applyNumberFormat="1" applyAlignment="1">
      <alignment vertical="center"/>
    </xf>
    <xf numFmtId="49" fontId="2" fillId="2" borderId="0" xfId="0" applyNumberFormat="1" applyFont="1" applyFill="1" applyAlignment="1">
      <alignment horizontal="center" vertical="center"/>
    </xf>
    <xf numFmtId="164" fontId="0" fillId="0" borderId="0" xfId="1" applyNumberFormat="1" applyFont="1" applyAlignment="1">
      <alignment vertical="center"/>
    </xf>
    <xf numFmtId="165" fontId="2" fillId="2" borderId="0" xfId="0" applyNumberFormat="1" applyFont="1" applyFill="1" applyAlignment="1">
      <alignment horizontal="center" vertical="center"/>
    </xf>
    <xf numFmtId="0" fontId="4" fillId="0" borderId="0" xfId="0" applyFont="1" applyAlignment="1">
      <alignment vertical="center"/>
    </xf>
    <xf numFmtId="0" fontId="0" fillId="0" borderId="0" xfId="0" applyAlignment="1">
      <alignment horizontal="center"/>
    </xf>
    <xf numFmtId="0" fontId="2" fillId="3" borderId="0" xfId="0" applyFont="1" applyFill="1" applyAlignment="1">
      <alignment horizontal="center"/>
    </xf>
    <xf numFmtId="14" fontId="0" fillId="0" borderId="0" xfId="0" applyNumberFormat="1"/>
    <xf numFmtId="0" fontId="3" fillId="4" borderId="0" xfId="0" applyFont="1" applyFill="1" applyAlignment="1">
      <alignment horizontal="left"/>
    </xf>
    <xf numFmtId="0" fontId="3" fillId="4" borderId="0" xfId="0" applyFont="1" applyFill="1"/>
    <xf numFmtId="0" fontId="6" fillId="0" borderId="0" xfId="0" applyFont="1" applyAlignment="1">
      <alignment vertical="center"/>
    </xf>
    <xf numFmtId="0" fontId="9" fillId="4" borderId="0" xfId="0" applyFont="1" applyFill="1" applyAlignment="1">
      <alignment horizontal="center"/>
    </xf>
    <xf numFmtId="0" fontId="3" fillId="0" borderId="1" xfId="0" applyFont="1" applyBorder="1" applyAlignment="1">
      <alignment horizontal="center" vertical="center"/>
    </xf>
    <xf numFmtId="166" fontId="3" fillId="0" borderId="1" xfId="0" applyNumberFormat="1" applyFont="1" applyBorder="1" applyAlignment="1">
      <alignment horizontal="center" vertical="center"/>
    </xf>
    <xf numFmtId="0" fontId="3" fillId="0" borderId="1" xfId="0" applyFont="1" applyBorder="1" applyAlignment="1">
      <alignment horizontal="center" vertical="center" textRotation="90"/>
    </xf>
    <xf numFmtId="0" fontId="0" fillId="0" borderId="1" xfId="0" applyBorder="1" applyAlignment="1">
      <alignment vertical="center"/>
    </xf>
    <xf numFmtId="0" fontId="0" fillId="0" borderId="1" xfId="0" applyBorder="1" applyAlignment="1">
      <alignment horizontal="center" vertical="center"/>
    </xf>
    <xf numFmtId="0" fontId="0" fillId="0" borderId="1" xfId="0" applyBorder="1" applyAlignment="1">
      <alignment horizontal="center"/>
    </xf>
    <xf numFmtId="168" fontId="0" fillId="0" borderId="0" xfId="0" applyNumberFormat="1"/>
    <xf numFmtId="3" fontId="0" fillId="0" borderId="0" xfId="0" applyNumberFormat="1"/>
    <xf numFmtId="49" fontId="0" fillId="0" borderId="0" xfId="0" applyNumberFormat="1"/>
    <xf numFmtId="167" fontId="8" fillId="0" borderId="0" xfId="0" applyNumberFormat="1" applyFont="1" applyAlignment="1">
      <alignment vertical="center"/>
    </xf>
    <xf numFmtId="0" fontId="6" fillId="0" borderId="0" xfId="0" applyFont="1"/>
    <xf numFmtId="0" fontId="2" fillId="2" borderId="1" xfId="0" applyFont="1" applyFill="1" applyBorder="1" applyAlignment="1">
      <alignment horizontal="center" vertical="center"/>
    </xf>
    <xf numFmtId="10" fontId="0" fillId="0" borderId="1" xfId="2" applyNumberFormat="1" applyFont="1" applyBorder="1" applyAlignment="1">
      <alignment vertical="center"/>
    </xf>
    <xf numFmtId="10" fontId="3" fillId="0" borderId="1" xfId="0" applyNumberFormat="1" applyFont="1" applyBorder="1" applyAlignment="1">
      <alignment horizontal="center" vertical="center"/>
    </xf>
    <xf numFmtId="9" fontId="3" fillId="0" borderId="1" xfId="0" applyNumberFormat="1" applyFont="1" applyBorder="1" applyAlignment="1">
      <alignment horizontal="center" vertical="center"/>
    </xf>
    <xf numFmtId="0" fontId="0" fillId="0" borderId="0" xfId="0" applyAlignment="1">
      <alignment horizontal="right"/>
    </xf>
    <xf numFmtId="49" fontId="0" fillId="0" borderId="1" xfId="0" applyNumberFormat="1" applyBorder="1" applyAlignment="1">
      <alignment vertical="center"/>
    </xf>
    <xf numFmtId="49" fontId="3" fillId="0" borderId="0" xfId="0" applyNumberFormat="1" applyFont="1" applyAlignment="1">
      <alignment vertical="center"/>
    </xf>
    <xf numFmtId="49" fontId="4" fillId="0" borderId="0" xfId="0" applyNumberFormat="1" applyFont="1" applyAlignment="1">
      <alignment vertical="center"/>
    </xf>
    <xf numFmtId="49" fontId="0" fillId="0" borderId="1" xfId="0" applyNumberFormat="1" applyBorder="1"/>
    <xf numFmtId="3" fontId="0" fillId="0" borderId="1" xfId="0" applyNumberFormat="1" applyBorder="1"/>
    <xf numFmtId="0" fontId="3" fillId="0" borderId="1" xfId="0" applyFont="1" applyBorder="1" applyAlignment="1">
      <alignment horizontal="center" vertical="center" wrapText="1"/>
    </xf>
    <xf numFmtId="0" fontId="3" fillId="0" borderId="1" xfId="0" applyFont="1" applyBorder="1" applyAlignment="1">
      <alignment vertical="center"/>
    </xf>
    <xf numFmtId="0" fontId="0" fillId="0" borderId="1" xfId="0" applyBorder="1"/>
    <xf numFmtId="0" fontId="0" fillId="0" borderId="3" xfId="0" applyBorder="1" applyAlignment="1">
      <alignment vertical="center"/>
    </xf>
    <xf numFmtId="0" fontId="0" fillId="0" borderId="4" xfId="0" applyBorder="1" applyAlignment="1">
      <alignment vertical="center"/>
    </xf>
    <xf numFmtId="37" fontId="3" fillId="0" borderId="1" xfId="1" applyNumberFormat="1" applyFont="1" applyBorder="1" applyAlignment="1">
      <alignment vertical="center"/>
    </xf>
    <xf numFmtId="0" fontId="3" fillId="0" borderId="0" xfId="0" applyFont="1" applyAlignment="1">
      <alignment horizontal="right" vertical="center"/>
    </xf>
    <xf numFmtId="169" fontId="3" fillId="5" borderId="0" xfId="0" applyNumberFormat="1" applyFont="1" applyFill="1" applyAlignment="1">
      <alignment horizontal="left" vertical="center"/>
    </xf>
    <xf numFmtId="49" fontId="0" fillId="0" borderId="3" xfId="0" applyNumberFormat="1" applyBorder="1" applyAlignment="1">
      <alignment vertical="center"/>
    </xf>
    <xf numFmtId="3" fontId="0" fillId="0" borderId="3" xfId="0" applyNumberFormat="1" applyBorder="1" applyAlignment="1">
      <alignment vertical="center"/>
    </xf>
    <xf numFmtId="3" fontId="3" fillId="0" borderId="1" xfId="1" applyNumberFormat="1" applyFont="1" applyBorder="1" applyAlignment="1">
      <alignment vertical="center"/>
    </xf>
    <xf numFmtId="3" fontId="0" fillId="0" borderId="0" xfId="0" applyNumberFormat="1" applyAlignment="1">
      <alignment vertical="center"/>
    </xf>
    <xf numFmtId="0" fontId="0" fillId="0" borderId="2" xfId="0" applyBorder="1" applyAlignment="1">
      <alignment horizontal="center" vertical="center"/>
    </xf>
    <xf numFmtId="0" fontId="3" fillId="0" borderId="1" xfId="0" applyFont="1" applyBorder="1" applyAlignment="1">
      <alignment horizontal="center"/>
    </xf>
    <xf numFmtId="168" fontId="0" fillId="0" borderId="0" xfId="0" applyNumberFormat="1" applyAlignment="1">
      <alignment vertical="center"/>
    </xf>
    <xf numFmtId="49" fontId="0" fillId="0" borderId="0" xfId="0" applyNumberFormat="1" applyAlignment="1">
      <alignment horizontal="center" vertical="center"/>
    </xf>
    <xf numFmtId="164" fontId="0" fillId="0" borderId="1" xfId="1" applyNumberFormat="1" applyFont="1" applyBorder="1"/>
    <xf numFmtId="49" fontId="0" fillId="0" borderId="1" xfId="0" applyNumberFormat="1" applyBorder="1" applyAlignment="1">
      <alignment horizontal="center" vertical="center"/>
    </xf>
    <xf numFmtId="3" fontId="0" fillId="0" borderId="1" xfId="0" applyNumberFormat="1" applyBorder="1" applyAlignment="1">
      <alignment vertical="center"/>
    </xf>
    <xf numFmtId="164" fontId="0" fillId="0" borderId="1" xfId="1" applyNumberFormat="1" applyFont="1" applyBorder="1" applyAlignment="1">
      <alignment vertical="center"/>
    </xf>
    <xf numFmtId="0" fontId="0" fillId="0" borderId="0" xfId="0" applyAlignment="1">
      <alignment horizontal="left" vertical="top"/>
    </xf>
    <xf numFmtId="49" fontId="0" fillId="0" borderId="0" xfId="0" applyNumberFormat="1" applyAlignment="1">
      <alignment horizontal="left" vertical="top"/>
    </xf>
    <xf numFmtId="3" fontId="0" fillId="0" borderId="0" xfId="0" applyNumberFormat="1" applyAlignment="1">
      <alignment horizontal="left" vertical="top"/>
    </xf>
    <xf numFmtId="0" fontId="0" fillId="0" borderId="0" xfId="3" applyFont="1" applyFill="1" applyAlignment="1" applyProtection="1">
      <alignment horizontal="left" vertical="top"/>
    </xf>
    <xf numFmtId="49" fontId="14" fillId="7" borderId="5" xfId="0" applyNumberFormat="1" applyFont="1" applyFill="1" applyBorder="1" applyAlignment="1">
      <alignment horizontal="center" vertical="center" wrapText="1"/>
    </xf>
    <xf numFmtId="49" fontId="14" fillId="7" borderId="6" xfId="0" applyNumberFormat="1" applyFont="1" applyFill="1" applyBorder="1" applyAlignment="1">
      <alignment horizontal="center" vertical="center" wrapText="1"/>
    </xf>
    <xf numFmtId="49" fontId="15" fillId="0" borderId="0" xfId="0" applyNumberFormat="1" applyFont="1" applyAlignment="1">
      <alignment horizontal="left" vertical="top"/>
    </xf>
    <xf numFmtId="3" fontId="15" fillId="0" borderId="0" xfId="0" applyNumberFormat="1" applyFont="1" applyAlignment="1">
      <alignment horizontal="right" vertical="top"/>
    </xf>
    <xf numFmtId="3" fontId="15" fillId="0" borderId="0" xfId="0" quotePrefix="1" applyNumberFormat="1" applyFont="1" applyAlignment="1">
      <alignment horizontal="right" vertical="top"/>
    </xf>
    <xf numFmtId="0" fontId="0" fillId="0" borderId="0" xfId="3" applyFont="1" applyFill="1" applyBorder="1" applyAlignment="1" applyProtection="1">
      <alignment horizontal="left" vertical="top"/>
    </xf>
    <xf numFmtId="49" fontId="14" fillId="7" borderId="15" xfId="0" applyNumberFormat="1" applyFont="1" applyFill="1" applyBorder="1" applyAlignment="1">
      <alignment horizontal="center" vertical="center" wrapText="1"/>
    </xf>
    <xf numFmtId="3" fontId="14" fillId="7" borderId="6" xfId="0" applyNumberFormat="1" applyFont="1" applyFill="1" applyBorder="1" applyAlignment="1">
      <alignment horizontal="center" vertical="center" wrapText="1"/>
    </xf>
    <xf numFmtId="3" fontId="14" fillId="7" borderId="5" xfId="0" applyNumberFormat="1" applyFont="1" applyFill="1" applyBorder="1" applyAlignment="1">
      <alignment horizontal="center" vertical="center" wrapText="1"/>
    </xf>
    <xf numFmtId="3" fontId="14" fillId="7" borderId="11" xfId="0" applyNumberFormat="1" applyFont="1" applyFill="1" applyBorder="1" applyAlignment="1">
      <alignment horizontal="center" vertical="center" wrapText="1"/>
    </xf>
    <xf numFmtId="3" fontId="14" fillId="7" borderId="10" xfId="0" applyNumberFormat="1" applyFont="1" applyFill="1" applyBorder="1" applyAlignment="1">
      <alignment horizontal="center" vertical="center" wrapText="1"/>
    </xf>
    <xf numFmtId="3" fontId="14" fillId="7" borderId="9" xfId="0" applyNumberFormat="1" applyFont="1" applyFill="1" applyBorder="1" applyAlignment="1">
      <alignment horizontal="center" vertical="center" wrapText="1"/>
    </xf>
    <xf numFmtId="3" fontId="14" fillId="7" borderId="6" xfId="0" applyNumberFormat="1" applyFont="1" applyFill="1" applyBorder="1" applyAlignment="1">
      <alignment horizontal="right" vertical="center" wrapText="1"/>
    </xf>
    <xf numFmtId="49" fontId="15" fillId="0" borderId="5" xfId="0" applyNumberFormat="1" applyFont="1" applyBorder="1" applyAlignment="1">
      <alignment horizontal="center" vertical="center"/>
    </xf>
    <xf numFmtId="0" fontId="0" fillId="0" borderId="0" xfId="3" applyFont="1" applyFill="1" applyAlignment="1" applyProtection="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3" fontId="15" fillId="0" borderId="0" xfId="0" applyNumberFormat="1" applyFont="1" applyAlignment="1">
      <alignment horizontal="right" vertical="center"/>
    </xf>
    <xf numFmtId="3" fontId="0" fillId="0" borderId="0" xfId="0" applyNumberFormat="1" applyAlignment="1">
      <alignment horizontal="left" vertical="center"/>
    </xf>
    <xf numFmtId="49" fontId="0" fillId="0" borderId="0" xfId="3" applyNumberFormat="1" applyFont="1" applyFill="1" applyAlignment="1" applyProtection="1">
      <alignment horizontal="left" vertical="center"/>
    </xf>
    <xf numFmtId="0" fontId="15" fillId="0" borderId="0" xfId="3" applyFont="1" applyFill="1" applyAlignment="1" applyProtection="1">
      <alignment horizontal="right" vertical="center"/>
    </xf>
    <xf numFmtId="0" fontId="15" fillId="0" borderId="0" xfId="3" applyFont="1" applyFill="1" applyAlignment="1" applyProtection="1">
      <alignment horizontal="center" vertical="center"/>
    </xf>
    <xf numFmtId="0" fontId="15" fillId="0" borderId="0" xfId="3" applyFont="1" applyFill="1" applyAlignment="1" applyProtection="1">
      <alignment horizontal="left" vertical="center"/>
    </xf>
    <xf numFmtId="49" fontId="16" fillId="0" borderId="0" xfId="3" applyNumberFormat="1" applyFont="1" applyFill="1" applyAlignment="1" applyProtection="1">
      <alignment horizontal="left" vertical="center"/>
    </xf>
    <xf numFmtId="0" fontId="15" fillId="0" borderId="0" xfId="0" applyFont="1" applyAlignment="1">
      <alignment horizontal="left" vertical="center"/>
    </xf>
    <xf numFmtId="170" fontId="15" fillId="0" borderId="5" xfId="0" applyNumberFormat="1" applyFont="1" applyBorder="1" applyAlignment="1">
      <alignment horizontal="center" vertical="center"/>
    </xf>
    <xf numFmtId="49" fontId="15" fillId="0" borderId="5" xfId="0" applyNumberFormat="1" applyFont="1" applyBorder="1" applyAlignment="1">
      <alignment horizontal="left" vertical="center"/>
    </xf>
    <xf numFmtId="49" fontId="15" fillId="0" borderId="0" xfId="0" applyNumberFormat="1" applyFont="1" applyAlignment="1">
      <alignment horizontal="left" vertical="center"/>
    </xf>
    <xf numFmtId="3" fontId="15" fillId="0" borderId="0" xfId="0" applyNumberFormat="1" applyFont="1" applyAlignment="1">
      <alignment horizontal="left" vertical="center"/>
    </xf>
    <xf numFmtId="49" fontId="15" fillId="0" borderId="0" xfId="3" applyNumberFormat="1" applyFont="1" applyFill="1" applyAlignment="1" applyProtection="1">
      <alignment horizontal="left" vertical="center"/>
    </xf>
    <xf numFmtId="0" fontId="15" fillId="0" borderId="0" xfId="3" applyFont="1" applyFill="1" applyBorder="1" applyAlignment="1" applyProtection="1">
      <alignment horizontal="center" vertical="center"/>
    </xf>
    <xf numFmtId="0" fontId="15" fillId="0" borderId="0" xfId="3" applyFont="1" applyFill="1" applyBorder="1" applyAlignment="1" applyProtection="1">
      <alignment horizontal="left" vertical="center"/>
    </xf>
    <xf numFmtId="0" fontId="14" fillId="7" borderId="6" xfId="0" applyFont="1" applyFill="1" applyBorder="1" applyAlignment="1">
      <alignment horizontal="center" vertical="center" wrapText="1"/>
    </xf>
    <xf numFmtId="3" fontId="15" fillId="0" borderId="5" xfId="0" applyNumberFormat="1" applyFont="1" applyBorder="1" applyAlignment="1">
      <alignment horizontal="right" vertical="center"/>
    </xf>
    <xf numFmtId="0" fontId="15" fillId="0" borderId="5" xfId="0" applyFont="1" applyBorder="1" applyAlignment="1">
      <alignment horizontal="right" vertical="center"/>
    </xf>
    <xf numFmtId="0" fontId="15" fillId="0" borderId="5" xfId="0" applyFont="1" applyBorder="1" applyAlignment="1">
      <alignment horizontal="center" vertical="center"/>
    </xf>
    <xf numFmtId="0" fontId="15" fillId="0" borderId="5" xfId="0" applyFont="1" applyBorder="1" applyAlignment="1">
      <alignment horizontal="left" vertical="center"/>
    </xf>
    <xf numFmtId="0" fontId="17" fillId="0" borderId="0" xfId="0" applyFont="1" applyAlignment="1">
      <alignment vertical="center"/>
    </xf>
    <xf numFmtId="0" fontId="17" fillId="0" borderId="0" xfId="0" applyFont="1"/>
    <xf numFmtId="0" fontId="17" fillId="0" borderId="0" xfId="0" applyFont="1" applyAlignment="1">
      <alignment horizontal="center"/>
    </xf>
    <xf numFmtId="49" fontId="17" fillId="0" borderId="0" xfId="0" applyNumberFormat="1" applyFont="1" applyAlignment="1">
      <alignment horizontal="center"/>
    </xf>
    <xf numFmtId="164" fontId="17" fillId="0" borderId="0" xfId="1" applyNumberFormat="1" applyFont="1" applyBorder="1"/>
    <xf numFmtId="0" fontId="18" fillId="2" borderId="20" xfId="0" applyFont="1" applyFill="1" applyBorder="1" applyAlignment="1">
      <alignment horizontal="center" vertical="center"/>
    </xf>
    <xf numFmtId="0" fontId="18" fillId="2" borderId="21" xfId="0" applyFont="1" applyFill="1" applyBorder="1" applyAlignment="1">
      <alignment horizontal="center" vertical="center"/>
    </xf>
    <xf numFmtId="164" fontId="18" fillId="2" borderId="21" xfId="1" applyNumberFormat="1" applyFont="1" applyFill="1" applyBorder="1" applyAlignment="1">
      <alignment horizontal="center" vertical="center"/>
    </xf>
    <xf numFmtId="164" fontId="18" fillId="2" borderId="22" xfId="1" applyNumberFormat="1" applyFont="1" applyFill="1" applyBorder="1" applyAlignment="1">
      <alignment horizontal="center" vertical="center"/>
    </xf>
    <xf numFmtId="0" fontId="2" fillId="2" borderId="23" xfId="0" applyFont="1" applyFill="1" applyBorder="1" applyAlignment="1">
      <alignment horizontal="center"/>
    </xf>
    <xf numFmtId="0" fontId="2" fillId="2" borderId="23" xfId="0" applyFont="1" applyFill="1" applyBorder="1" applyAlignment="1">
      <alignment horizontal="center" vertical="center"/>
    </xf>
    <xf numFmtId="164" fontId="0" fillId="0" borderId="0" xfId="1" applyNumberFormat="1" applyFont="1"/>
    <xf numFmtId="0" fontId="14" fillId="7" borderId="5" xfId="0" applyFont="1" applyFill="1" applyBorder="1" applyAlignment="1">
      <alignment horizontal="center" vertical="center" wrapText="1"/>
    </xf>
    <xf numFmtId="49" fontId="19" fillId="0" borderId="5" xfId="0" applyNumberFormat="1" applyFont="1" applyBorder="1" applyAlignment="1">
      <alignment horizontal="center" vertical="top"/>
    </xf>
    <xf numFmtId="49" fontId="19" fillId="0" borderId="5" xfId="0" applyNumberFormat="1" applyFont="1" applyBorder="1" applyAlignment="1">
      <alignment horizontal="left" vertical="top"/>
    </xf>
    <xf numFmtId="49" fontId="15" fillId="0" borderId="5" xfId="0" applyNumberFormat="1" applyFont="1" applyBorder="1" applyAlignment="1">
      <alignment horizontal="left" vertical="top" wrapText="1"/>
    </xf>
    <xf numFmtId="3" fontId="19" fillId="0" borderId="5" xfId="0" applyNumberFormat="1" applyFont="1" applyBorder="1" applyAlignment="1">
      <alignment horizontal="right" vertical="top"/>
    </xf>
    <xf numFmtId="0" fontId="15" fillId="0" borderId="0" xfId="0" applyFont="1" applyAlignment="1">
      <alignment horizontal="center" vertical="top"/>
    </xf>
    <xf numFmtId="0" fontId="21" fillId="0" borderId="0" xfId="0" applyFont="1"/>
    <xf numFmtId="0" fontId="21" fillId="0" borderId="0" xfId="0" applyFont="1" applyAlignment="1">
      <alignment horizontal="center"/>
    </xf>
    <xf numFmtId="0" fontId="22" fillId="0" borderId="0" xfId="0" applyFont="1" applyAlignment="1">
      <alignment horizontal="center"/>
    </xf>
    <xf numFmtId="0" fontId="24" fillId="0" borderId="0" xfId="0" applyFont="1" applyAlignment="1">
      <alignment vertical="center"/>
    </xf>
    <xf numFmtId="0" fontId="25" fillId="0" borderId="0" xfId="0" applyFont="1" applyAlignment="1">
      <alignment vertical="center"/>
    </xf>
    <xf numFmtId="0" fontId="21" fillId="0" borderId="0" xfId="0" applyFont="1" applyAlignment="1">
      <alignment vertical="center"/>
    </xf>
    <xf numFmtId="0" fontId="21" fillId="0" borderId="0" xfId="0" applyFont="1" applyAlignment="1">
      <alignment horizontal="center" vertical="center"/>
    </xf>
    <xf numFmtId="0" fontId="26" fillId="0" borderId="0" xfId="0" applyFont="1" applyAlignment="1">
      <alignment vertical="center"/>
    </xf>
    <xf numFmtId="0" fontId="27" fillId="0" borderId="0" xfId="0" applyFont="1" applyAlignment="1">
      <alignment vertical="center"/>
    </xf>
    <xf numFmtId="0" fontId="27" fillId="0" borderId="0" xfId="0" applyFont="1" applyAlignment="1">
      <alignment horizontal="left" vertical="center"/>
    </xf>
    <xf numFmtId="172" fontId="27" fillId="0" borderId="0" xfId="0" applyNumberFormat="1" applyFont="1" applyAlignment="1">
      <alignment horizontal="left" vertical="center"/>
    </xf>
    <xf numFmtId="0" fontId="27" fillId="0" borderId="0" xfId="0" applyFont="1"/>
    <xf numFmtId="0" fontId="28" fillId="0" borderId="0" xfId="0" applyFont="1" applyAlignment="1">
      <alignment vertical="center"/>
    </xf>
    <xf numFmtId="0" fontId="29" fillId="0" borderId="0" xfId="0" applyFont="1" applyAlignment="1">
      <alignment horizontal="left"/>
    </xf>
    <xf numFmtId="0" fontId="28" fillId="0" borderId="0" xfId="0" applyFont="1"/>
    <xf numFmtId="0" fontId="27" fillId="0" borderId="0" xfId="0" quotePrefix="1" applyFont="1" applyAlignment="1">
      <alignment vertical="center"/>
    </xf>
    <xf numFmtId="0" fontId="31" fillId="0" borderId="0" xfId="0" applyFont="1"/>
    <xf numFmtId="3" fontId="27" fillId="0" borderId="0" xfId="0" applyNumberFormat="1" applyFont="1" applyAlignment="1">
      <alignment vertical="center"/>
    </xf>
    <xf numFmtId="0" fontId="32" fillId="0" borderId="0" xfId="0" applyFont="1" applyAlignment="1">
      <alignment vertical="center"/>
    </xf>
    <xf numFmtId="0" fontId="33" fillId="0" borderId="0" xfId="0" applyFont="1" applyAlignment="1">
      <alignment vertical="center"/>
    </xf>
    <xf numFmtId="0" fontId="34" fillId="0" borderId="0" xfId="0" applyFont="1"/>
    <xf numFmtId="0" fontId="25" fillId="0" borderId="0" xfId="0" applyFont="1"/>
    <xf numFmtId="171" fontId="21" fillId="8" borderId="0" xfId="0" applyNumberFormat="1" applyFont="1" applyFill="1" applyAlignment="1">
      <alignment horizontal="center"/>
    </xf>
    <xf numFmtId="0" fontId="3" fillId="4" borderId="0" xfId="0" quotePrefix="1" applyFont="1" applyFill="1" applyAlignment="1">
      <alignment horizontal="left"/>
    </xf>
    <xf numFmtId="171" fontId="17" fillId="0" borderId="0" xfId="0" applyNumberFormat="1" applyFont="1" applyAlignment="1">
      <alignment horizontal="center"/>
    </xf>
    <xf numFmtId="49" fontId="17" fillId="0" borderId="0" xfId="0" applyNumberFormat="1" applyFont="1"/>
    <xf numFmtId="3" fontId="17" fillId="0" borderId="0" xfId="0" applyNumberFormat="1" applyFont="1" applyAlignment="1">
      <alignment horizontal="center"/>
    </xf>
    <xf numFmtId="3" fontId="17" fillId="0" borderId="0" xfId="0" applyNumberFormat="1" applyFont="1"/>
    <xf numFmtId="49" fontId="18" fillId="2" borderId="26" xfId="0" applyNumberFormat="1" applyFont="1" applyFill="1" applyBorder="1" applyAlignment="1">
      <alignment horizontal="center" vertical="center"/>
    </xf>
    <xf numFmtId="14" fontId="0" fillId="0" borderId="0" xfId="0" applyNumberFormat="1" applyAlignment="1">
      <alignment horizontal="center" vertical="center"/>
    </xf>
    <xf numFmtId="14" fontId="17" fillId="0" borderId="0" xfId="0" applyNumberFormat="1" applyFont="1" applyAlignment="1">
      <alignment horizontal="center"/>
    </xf>
    <xf numFmtId="171" fontId="35" fillId="0" borderId="28" xfId="0" applyNumberFormat="1" applyFont="1" applyBorder="1" applyAlignment="1">
      <alignment horizontal="center"/>
    </xf>
    <xf numFmtId="171" fontId="35" fillId="0" borderId="30" xfId="0" applyNumberFormat="1" applyFont="1" applyBorder="1" applyAlignment="1">
      <alignment horizontal="center"/>
    </xf>
    <xf numFmtId="173" fontId="35" fillId="0" borderId="29" xfId="0" applyNumberFormat="1" applyFont="1" applyBorder="1" applyAlignment="1">
      <alignment horizontal="center"/>
    </xf>
    <xf numFmtId="173" fontId="35" fillId="0" borderId="31" xfId="0" applyNumberFormat="1" applyFont="1" applyBorder="1" applyAlignment="1">
      <alignment horizontal="center"/>
    </xf>
    <xf numFmtId="0" fontId="36" fillId="0" borderId="0" xfId="0" applyFont="1" applyAlignment="1">
      <alignment wrapText="1"/>
    </xf>
    <xf numFmtId="0" fontId="36" fillId="0" borderId="0" xfId="0" applyFont="1"/>
    <xf numFmtId="0" fontId="36" fillId="0" borderId="0" xfId="0" applyFont="1" applyAlignment="1">
      <alignment horizontal="center"/>
    </xf>
    <xf numFmtId="0" fontId="39" fillId="0" borderId="0" xfId="0" applyFont="1" applyAlignment="1">
      <alignment horizontal="center"/>
    </xf>
    <xf numFmtId="0" fontId="39" fillId="0" borderId="0" xfId="0" applyFont="1" applyAlignment="1">
      <alignment vertical="center"/>
    </xf>
    <xf numFmtId="0" fontId="39" fillId="0" borderId="1" xfId="0" applyFont="1" applyBorder="1" applyAlignment="1">
      <alignment horizontal="center" vertical="center"/>
    </xf>
    <xf numFmtId="0" fontId="39" fillId="0" borderId="0" xfId="0" applyFont="1" applyAlignment="1">
      <alignment horizontal="center" vertical="center"/>
    </xf>
    <xf numFmtId="0" fontId="40" fillId="0" borderId="0" xfId="0" applyFont="1" applyAlignment="1">
      <alignment vertical="center"/>
    </xf>
    <xf numFmtId="0" fontId="36" fillId="0" borderId="23" xfId="0" applyFont="1" applyBorder="1"/>
    <xf numFmtId="0" fontId="21" fillId="8" borderId="0" xfId="0" applyFont="1" applyFill="1"/>
    <xf numFmtId="0" fontId="21" fillId="0" borderId="23" xfId="0" applyFont="1" applyBorder="1"/>
    <xf numFmtId="1" fontId="21" fillId="0" borderId="0" xfId="0" applyNumberFormat="1" applyFont="1"/>
    <xf numFmtId="1" fontId="21" fillId="8" borderId="0" xfId="0" applyNumberFormat="1" applyFont="1" applyFill="1"/>
    <xf numFmtId="0" fontId="5" fillId="3" borderId="0" xfId="0" applyFont="1" applyFill="1" applyAlignment="1">
      <alignment vertical="center"/>
    </xf>
    <xf numFmtId="0" fontId="17" fillId="0" borderId="0" xfId="0" applyFont="1" applyAlignment="1">
      <alignment horizontal="center"/>
    </xf>
    <xf numFmtId="3" fontId="18" fillId="2" borderId="24" xfId="0" applyNumberFormat="1" applyFont="1" applyFill="1" applyBorder="1" applyAlignment="1">
      <alignment horizontal="center" vertical="center" wrapText="1"/>
    </xf>
    <xf numFmtId="3" fontId="18" fillId="2" borderId="26" xfId="0" applyNumberFormat="1" applyFont="1" applyFill="1" applyBorder="1" applyAlignment="1">
      <alignment horizontal="center" vertical="center" wrapText="1"/>
    </xf>
    <xf numFmtId="49" fontId="18" fillId="2" borderId="24" xfId="0" applyNumberFormat="1" applyFont="1" applyFill="1" applyBorder="1" applyAlignment="1">
      <alignment horizontal="center" vertical="center" wrapText="1"/>
    </xf>
    <xf numFmtId="0" fontId="18" fillId="2" borderId="24" xfId="0" applyFont="1" applyFill="1" applyBorder="1" applyAlignment="1">
      <alignment horizontal="center" vertical="center" wrapText="1"/>
    </xf>
    <xf numFmtId="0" fontId="18" fillId="2" borderId="26" xfId="0" applyFont="1" applyFill="1" applyBorder="1" applyAlignment="1">
      <alignment horizontal="center" vertical="center" wrapText="1"/>
    </xf>
    <xf numFmtId="171" fontId="18" fillId="2" borderId="24" xfId="0" applyNumberFormat="1" applyFont="1" applyFill="1" applyBorder="1" applyAlignment="1">
      <alignment horizontal="center" vertical="center" wrapText="1"/>
    </xf>
    <xf numFmtId="171" fontId="18" fillId="2" borderId="26" xfId="0" applyNumberFormat="1" applyFont="1" applyFill="1" applyBorder="1" applyAlignment="1">
      <alignment horizontal="center" vertical="center" wrapText="1"/>
    </xf>
    <xf numFmtId="49" fontId="18" fillId="2" borderId="26" xfId="0" applyNumberFormat="1" applyFont="1" applyFill="1" applyBorder="1" applyAlignment="1">
      <alignment horizontal="center" vertical="center" wrapText="1"/>
    </xf>
    <xf numFmtId="0" fontId="18" fillId="2" borderId="24" xfId="0" applyFont="1" applyFill="1" applyBorder="1" applyAlignment="1">
      <alignment horizontal="center" vertical="center"/>
    </xf>
    <xf numFmtId="0" fontId="18" fillId="2" borderId="26" xfId="0" applyFont="1" applyFill="1" applyBorder="1" applyAlignment="1">
      <alignment horizontal="center" vertical="center"/>
    </xf>
    <xf numFmtId="14" fontId="18" fillId="2" borderId="24" xfId="0" applyNumberFormat="1" applyFont="1" applyFill="1" applyBorder="1" applyAlignment="1">
      <alignment horizontal="center" vertical="center"/>
    </xf>
    <xf numFmtId="14" fontId="18" fillId="2" borderId="26" xfId="0" applyNumberFormat="1" applyFont="1" applyFill="1" applyBorder="1" applyAlignment="1">
      <alignment horizontal="center" vertical="center"/>
    </xf>
    <xf numFmtId="49" fontId="18" fillId="2" borderId="24" xfId="0" applyNumberFormat="1" applyFont="1" applyFill="1" applyBorder="1" applyAlignment="1">
      <alignment horizontal="center" vertical="center"/>
    </xf>
    <xf numFmtId="49" fontId="18" fillId="2" borderId="26" xfId="0" applyNumberFormat="1" applyFont="1" applyFill="1" applyBorder="1" applyAlignment="1">
      <alignment horizontal="center" vertical="center"/>
    </xf>
    <xf numFmtId="49" fontId="18" fillId="2" borderId="25" xfId="0" applyNumberFormat="1" applyFont="1" applyFill="1" applyBorder="1" applyAlignment="1">
      <alignment horizontal="center" vertical="center"/>
    </xf>
    <xf numFmtId="49" fontId="18" fillId="2" borderId="27" xfId="0" applyNumberFormat="1" applyFont="1" applyFill="1" applyBorder="1" applyAlignment="1">
      <alignment horizontal="center" vertical="center"/>
    </xf>
    <xf numFmtId="14" fontId="18" fillId="2" borderId="25" xfId="0" applyNumberFormat="1" applyFont="1" applyFill="1" applyBorder="1" applyAlignment="1">
      <alignment horizontal="center" vertical="center"/>
    </xf>
    <xf numFmtId="14" fontId="18" fillId="2" borderId="27" xfId="0" applyNumberFormat="1" applyFont="1" applyFill="1" applyBorder="1" applyAlignment="1">
      <alignment horizontal="center" vertical="center"/>
    </xf>
    <xf numFmtId="3" fontId="18" fillId="2" borderId="24" xfId="0" applyNumberFormat="1" applyFont="1" applyFill="1" applyBorder="1" applyAlignment="1">
      <alignment horizontal="center" vertical="center"/>
    </xf>
    <xf numFmtId="3" fontId="18" fillId="2" borderId="26" xfId="0" applyNumberFormat="1" applyFont="1" applyFill="1" applyBorder="1" applyAlignment="1">
      <alignment horizontal="center" vertical="center"/>
    </xf>
    <xf numFmtId="0" fontId="21" fillId="0" borderId="0" xfId="0" applyFont="1" applyAlignment="1">
      <alignment horizontal="left" vertical="center" wrapText="1"/>
    </xf>
    <xf numFmtId="0" fontId="21" fillId="0" borderId="0" xfId="0" applyFont="1" applyAlignment="1">
      <alignment horizontal="left" vertical="center"/>
    </xf>
    <xf numFmtId="0" fontId="39" fillId="0" borderId="0" xfId="0" applyFont="1" applyAlignment="1">
      <alignment horizontal="left" vertical="top" wrapText="1"/>
    </xf>
    <xf numFmtId="0" fontId="38" fillId="0" borderId="0" xfId="0" applyFont="1" applyAlignment="1">
      <alignment horizontal="center"/>
    </xf>
    <xf numFmtId="0" fontId="36" fillId="0" borderId="0" xfId="0" applyFont="1" applyAlignment="1">
      <alignment horizontal="center"/>
    </xf>
    <xf numFmtId="0" fontId="21" fillId="0" borderId="0" xfId="0" applyFont="1" applyAlignment="1">
      <alignment horizontal="center"/>
    </xf>
    <xf numFmtId="0" fontId="39" fillId="0" borderId="0" xfId="0" applyFont="1" applyAlignment="1">
      <alignment horizontal="center"/>
    </xf>
    <xf numFmtId="0" fontId="36" fillId="0" borderId="0" xfId="0" applyFont="1" applyAlignment="1">
      <alignment horizontal="center" wrapText="1"/>
    </xf>
    <xf numFmtId="0" fontId="36" fillId="0" borderId="0" xfId="0" applyFont="1" applyAlignment="1">
      <alignment horizontal="center" vertical="center" wrapText="1"/>
    </xf>
    <xf numFmtId="0" fontId="39" fillId="0" borderId="0" xfId="0" applyFont="1" applyAlignment="1">
      <alignment horizontal="left" vertical="center"/>
    </xf>
    <xf numFmtId="0" fontId="24" fillId="0" borderId="0" xfId="0" applyFont="1" applyAlignment="1">
      <alignment horizontal="center"/>
    </xf>
    <xf numFmtId="14" fontId="39" fillId="0" borderId="0" xfId="0" applyNumberFormat="1" applyFont="1" applyAlignment="1">
      <alignment horizontal="center" vertical="center"/>
    </xf>
    <xf numFmtId="14" fontId="39" fillId="0" borderId="0" xfId="0" applyNumberFormat="1" applyFont="1" applyAlignment="1">
      <alignment horizontal="left" vertical="center"/>
    </xf>
    <xf numFmtId="0" fontId="39" fillId="0" borderId="0" xfId="0" applyFont="1" applyAlignment="1">
      <alignment horizontal="center" vertical="center"/>
    </xf>
    <xf numFmtId="0" fontId="27" fillId="0" borderId="0" xfId="0" applyFont="1" applyAlignment="1">
      <alignment horizontal="center" vertical="center" wrapText="1"/>
    </xf>
    <xf numFmtId="0" fontId="27" fillId="0" borderId="0" xfId="0" applyFont="1" applyAlignment="1">
      <alignment horizontal="center" vertical="center"/>
    </xf>
    <xf numFmtId="14" fontId="27" fillId="0" borderId="0" xfId="0" applyNumberFormat="1" applyFont="1" applyAlignment="1">
      <alignment horizontal="left" vertical="center"/>
    </xf>
    <xf numFmtId="0" fontId="32" fillId="0" borderId="0" xfId="0" applyFont="1" applyAlignment="1">
      <alignment horizontal="left" vertical="center"/>
    </xf>
    <xf numFmtId="0" fontId="27" fillId="0" borderId="0" xfId="0" quotePrefix="1" applyFont="1" applyAlignment="1">
      <alignment horizontal="left" vertical="center" wrapText="1"/>
    </xf>
    <xf numFmtId="0" fontId="27" fillId="0" borderId="0" xfId="0" applyFont="1" applyAlignment="1">
      <alignment horizontal="left" vertical="center" wrapText="1"/>
    </xf>
    <xf numFmtId="0" fontId="29" fillId="0" borderId="0" xfId="0" applyFont="1" applyAlignment="1">
      <alignment horizontal="left"/>
    </xf>
    <xf numFmtId="3" fontId="25" fillId="0" borderId="0" xfId="0" applyNumberFormat="1" applyFont="1" applyAlignment="1">
      <alignment horizontal="left" vertical="center"/>
    </xf>
    <xf numFmtId="14" fontId="27" fillId="0" borderId="0" xfId="0" applyNumberFormat="1" applyFont="1" applyAlignment="1">
      <alignment horizontal="center" vertical="center"/>
    </xf>
    <xf numFmtId="0" fontId="27" fillId="0" borderId="0" xfId="0" applyFont="1" applyAlignment="1">
      <alignment horizontal="left" vertical="center"/>
    </xf>
    <xf numFmtId="0" fontId="20" fillId="0" borderId="0" xfId="0" applyFont="1" applyAlignment="1">
      <alignment horizontal="center" wrapText="1"/>
    </xf>
    <xf numFmtId="0" fontId="20" fillId="0" borderId="0" xfId="0" applyFont="1" applyAlignment="1">
      <alignment horizontal="center" vertical="center"/>
    </xf>
    <xf numFmtId="0" fontId="21" fillId="0" borderId="0" xfId="0" quotePrefix="1" applyFont="1" applyAlignment="1">
      <alignment horizontal="center"/>
    </xf>
    <xf numFmtId="0" fontId="23" fillId="0" borderId="0" xfId="0" applyFont="1" applyAlignment="1">
      <alignment horizontal="center" vertical="center"/>
    </xf>
    <xf numFmtId="0" fontId="3" fillId="0" borderId="1" xfId="0" applyFont="1" applyBorder="1" applyAlignment="1">
      <alignment horizontal="center" vertical="center" wrapText="1"/>
    </xf>
    <xf numFmtId="0" fontId="11" fillId="0" borderId="0" xfId="0" applyFont="1" applyAlignment="1">
      <alignment horizontal="center" vertical="center"/>
    </xf>
    <xf numFmtId="0" fontId="13" fillId="0" borderId="0" xfId="0" applyFont="1" applyAlignment="1">
      <alignment horizontal="center" vertical="center"/>
    </xf>
    <xf numFmtId="0" fontId="3" fillId="0" borderId="1" xfId="0" applyFont="1" applyBorder="1" applyAlignment="1">
      <alignment horizontal="center" vertical="center"/>
    </xf>
    <xf numFmtId="49" fontId="14" fillId="7" borderId="7" xfId="0" applyNumberFormat="1" applyFont="1" applyFill="1" applyBorder="1" applyAlignment="1">
      <alignment horizontal="center" vertical="center"/>
    </xf>
    <xf numFmtId="49" fontId="14" fillId="7" borderId="8" xfId="0" applyNumberFormat="1" applyFont="1" applyFill="1" applyBorder="1" applyAlignment="1">
      <alignment horizontal="center" vertical="center"/>
    </xf>
    <xf numFmtId="49" fontId="14" fillId="7" borderId="9" xfId="0" applyNumberFormat="1" applyFont="1" applyFill="1" applyBorder="1" applyAlignment="1">
      <alignment horizontal="center" vertical="center"/>
    </xf>
    <xf numFmtId="49" fontId="14" fillId="7" borderId="6" xfId="0" applyNumberFormat="1" applyFont="1" applyFill="1" applyBorder="1" applyAlignment="1">
      <alignment horizontal="center" vertical="center" wrapText="1"/>
    </xf>
    <xf numFmtId="49" fontId="14" fillId="7" borderId="14" xfId="0" applyNumberFormat="1" applyFont="1" applyFill="1" applyBorder="1" applyAlignment="1">
      <alignment horizontal="center" vertical="center" wrapText="1"/>
    </xf>
    <xf numFmtId="49" fontId="14" fillId="7" borderId="12" xfId="0" applyNumberFormat="1" applyFont="1" applyFill="1" applyBorder="1" applyAlignment="1">
      <alignment horizontal="center" vertical="center" wrapText="1"/>
    </xf>
    <xf numFmtId="49" fontId="14" fillId="7" borderId="13" xfId="0" applyNumberFormat="1" applyFont="1" applyFill="1" applyBorder="1" applyAlignment="1">
      <alignment horizontal="center" vertical="center" wrapText="1"/>
    </xf>
    <xf numFmtId="0" fontId="14" fillId="7" borderId="5" xfId="0" applyFont="1" applyFill="1" applyBorder="1" applyAlignment="1">
      <alignment horizontal="center" vertical="center" wrapText="1"/>
    </xf>
    <xf numFmtId="49" fontId="14" fillId="7" borderId="5" xfId="0" applyNumberFormat="1" applyFont="1" applyFill="1" applyBorder="1" applyAlignment="1">
      <alignment horizontal="center" vertical="center"/>
    </xf>
    <xf numFmtId="49" fontId="14" fillId="7" borderId="5" xfId="0" applyNumberFormat="1" applyFont="1" applyFill="1" applyBorder="1" applyAlignment="1">
      <alignment horizontal="center" vertical="center" wrapText="1"/>
    </xf>
    <xf numFmtId="49" fontId="14" fillId="7" borderId="11" xfId="0" applyNumberFormat="1" applyFont="1" applyFill="1" applyBorder="1" applyAlignment="1">
      <alignment horizontal="center" vertical="center" wrapText="1"/>
    </xf>
    <xf numFmtId="49" fontId="14" fillId="7" borderId="10" xfId="0" applyNumberFormat="1" applyFont="1" applyFill="1" applyBorder="1" applyAlignment="1">
      <alignment horizontal="center" vertical="center" wrapText="1"/>
    </xf>
    <xf numFmtId="49" fontId="14" fillId="7" borderId="7" xfId="0" applyNumberFormat="1" applyFont="1" applyFill="1" applyBorder="1" applyAlignment="1">
      <alignment horizontal="center" vertical="center" wrapText="1"/>
    </xf>
    <xf numFmtId="49" fontId="14" fillId="7" borderId="8" xfId="0" applyNumberFormat="1" applyFont="1" applyFill="1" applyBorder="1" applyAlignment="1">
      <alignment horizontal="center" vertical="center" wrapText="1"/>
    </xf>
    <xf numFmtId="49" fontId="14" fillId="7" borderId="9" xfId="0" applyNumberFormat="1" applyFont="1" applyFill="1" applyBorder="1" applyAlignment="1">
      <alignment horizontal="center" vertical="center" wrapText="1"/>
    </xf>
    <xf numFmtId="49" fontId="14" fillId="7" borderId="16" xfId="0" applyNumberFormat="1" applyFont="1" applyFill="1" applyBorder="1" applyAlignment="1">
      <alignment horizontal="center" vertical="center" wrapText="1"/>
    </xf>
    <xf numFmtId="49" fontId="14" fillId="7" borderId="18" xfId="0" applyNumberFormat="1" applyFont="1" applyFill="1" applyBorder="1" applyAlignment="1">
      <alignment horizontal="center" vertical="center" wrapText="1"/>
    </xf>
    <xf numFmtId="3" fontId="14" fillId="7" borderId="12" xfId="0" applyNumberFormat="1" applyFont="1" applyFill="1" applyBorder="1" applyAlignment="1">
      <alignment horizontal="center" vertical="center" wrapText="1"/>
    </xf>
    <xf numFmtId="3" fontId="14" fillId="7" borderId="13" xfId="0" applyNumberFormat="1" applyFont="1" applyFill="1" applyBorder="1" applyAlignment="1">
      <alignment horizontal="center" vertical="center" wrapText="1"/>
    </xf>
    <xf numFmtId="3" fontId="14" fillId="7" borderId="18" xfId="0" applyNumberFormat="1" applyFont="1" applyFill="1" applyBorder="1" applyAlignment="1">
      <alignment horizontal="center" vertical="center" wrapText="1"/>
    </xf>
    <xf numFmtId="3" fontId="14" fillId="7" borderId="19" xfId="0" applyNumberFormat="1" applyFont="1" applyFill="1" applyBorder="1" applyAlignment="1">
      <alignment horizontal="center" vertical="center" wrapText="1"/>
    </xf>
    <xf numFmtId="3" fontId="14" fillId="7" borderId="17" xfId="0" applyNumberFormat="1" applyFont="1" applyFill="1" applyBorder="1" applyAlignment="1">
      <alignment horizontal="center" vertical="center" wrapText="1"/>
    </xf>
    <xf numFmtId="3" fontId="14" fillId="7" borderId="6" xfId="0" applyNumberFormat="1" applyFont="1" applyFill="1" applyBorder="1" applyAlignment="1">
      <alignment horizontal="center" vertical="center" wrapText="1"/>
    </xf>
    <xf numFmtId="3" fontId="14" fillId="7" borderId="11" xfId="0" applyNumberFormat="1" applyFont="1" applyFill="1" applyBorder="1" applyAlignment="1">
      <alignment horizontal="center" vertical="center" wrapText="1"/>
    </xf>
    <xf numFmtId="3" fontId="14" fillId="7" borderId="14" xfId="0" applyNumberFormat="1" applyFont="1" applyFill="1" applyBorder="1" applyAlignment="1">
      <alignment horizontal="center" vertical="center" wrapText="1"/>
    </xf>
    <xf numFmtId="3" fontId="14" fillId="7" borderId="5" xfId="0" applyNumberFormat="1" applyFont="1" applyFill="1" applyBorder="1" applyAlignment="1">
      <alignment horizontal="center" vertical="center" wrapText="1"/>
    </xf>
    <xf numFmtId="0" fontId="3" fillId="0" borderId="0" xfId="0" applyFont="1" applyAlignment="1">
      <alignment horizontal="center" vertical="center"/>
    </xf>
    <xf numFmtId="0" fontId="4" fillId="0" borderId="0" xfId="0" applyFont="1" applyAlignment="1">
      <alignment horizontal="center" vertical="center"/>
    </xf>
    <xf numFmtId="0" fontId="7" fillId="0" borderId="0" xfId="0" applyFont="1" applyAlignment="1">
      <alignment horizontal="center" vertical="center"/>
    </xf>
    <xf numFmtId="0" fontId="9" fillId="4" borderId="0" xfId="0" applyFont="1" applyFill="1" applyAlignment="1">
      <alignment horizontal="center" vertical="center"/>
    </xf>
    <xf numFmtId="0" fontId="8" fillId="0" borderId="0" xfId="0" applyFont="1" applyAlignment="1">
      <alignment horizontal="center"/>
    </xf>
    <xf numFmtId="0" fontId="9" fillId="4" borderId="0" xfId="0" applyFont="1" applyFill="1" applyAlignment="1">
      <alignment horizontal="center"/>
    </xf>
    <xf numFmtId="167" fontId="8" fillId="0" borderId="0" xfId="0" applyNumberFormat="1" applyFont="1" applyAlignment="1">
      <alignment horizontal="center" vertical="center"/>
    </xf>
    <xf numFmtId="0" fontId="10" fillId="0" borderId="0" xfId="0" applyFont="1" applyAlignment="1">
      <alignment horizontal="center"/>
    </xf>
    <xf numFmtId="167" fontId="3" fillId="0" borderId="0" xfId="0" applyNumberFormat="1" applyFont="1" applyAlignment="1">
      <alignment horizontal="center" vertical="center"/>
    </xf>
    <xf numFmtId="49" fontId="3" fillId="0" borderId="0" xfId="0" applyNumberFormat="1" applyFont="1" applyAlignment="1">
      <alignment horizontal="center" vertical="center"/>
    </xf>
    <xf numFmtId="49" fontId="4" fillId="0" borderId="0" xfId="0" applyNumberFormat="1" applyFont="1" applyAlignment="1">
      <alignment horizontal="center" vertical="center"/>
    </xf>
    <xf numFmtId="49" fontId="3" fillId="0" borderId="0" xfId="0" applyNumberFormat="1" applyFont="1" applyAlignment="1">
      <alignment horizontal="center"/>
    </xf>
    <xf numFmtId="49" fontId="4" fillId="0" borderId="0" xfId="0" applyNumberFormat="1" applyFont="1" applyAlignment="1">
      <alignment horizontal="center"/>
    </xf>
    <xf numFmtId="3" fontId="3" fillId="0" borderId="0" xfId="0" applyNumberFormat="1" applyFont="1" applyAlignment="1">
      <alignment horizontal="center"/>
    </xf>
    <xf numFmtId="3" fontId="4" fillId="0" borderId="0" xfId="0" applyNumberFormat="1" applyFont="1" applyAlignment="1">
      <alignment horizontal="center"/>
    </xf>
    <xf numFmtId="3" fontId="4" fillId="0" borderId="0" xfId="0" applyNumberFormat="1" applyFont="1" applyAlignment="1">
      <alignment horizontal="center" vertical="center"/>
    </xf>
    <xf numFmtId="49" fontId="3" fillId="0" borderId="1" xfId="0" applyNumberFormat="1" applyFont="1" applyBorder="1" applyAlignment="1">
      <alignment horizontal="center" vertical="center"/>
    </xf>
    <xf numFmtId="3" fontId="3" fillId="0" borderId="0" xfId="0" applyNumberFormat="1" applyFont="1" applyAlignment="1">
      <alignment horizontal="center" vertical="center"/>
    </xf>
    <xf numFmtId="49" fontId="3" fillId="0" borderId="1" xfId="0" applyNumberFormat="1" applyFont="1" applyBorder="1"/>
    <xf numFmtId="3" fontId="3" fillId="0" borderId="1" xfId="0" applyNumberFormat="1" applyFont="1" applyBorder="1"/>
  </cellXfs>
  <cellStyles count="5">
    <cellStyle name="20% - Accent1" xfId="3" builtinId="30"/>
    <cellStyle name="Comma" xfId="1" builtinId="3"/>
    <cellStyle name="Normal" xfId="0" builtinId="0"/>
    <cellStyle name="Normal 8" xfId="4" xr:uid="{52F6E783-E59C-40CF-90C2-38811500B9A8}"/>
    <cellStyle name="Percent" xfId="2" builtinId="5"/>
  </cellStyles>
  <dxfs count="1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9" formatCode="dd/mm/yyyy"/>
    </dxf>
    <dxf>
      <font>
        <b/>
        <i val="0"/>
        <strike val="0"/>
        <condense val="0"/>
        <extend val="0"/>
        <outline val="0"/>
        <shadow val="0"/>
        <u val="none"/>
        <vertAlign val="baseline"/>
        <sz val="11"/>
        <color theme="0"/>
        <name val="Aptos Narrow"/>
        <family val="2"/>
        <scheme val="minor"/>
      </font>
      <fill>
        <patternFill patternType="solid">
          <fgColor indexed="64"/>
          <bgColor theme="3"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printerSettings.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drawing1.xml><?xml version="1.0" encoding="utf-8"?>
<xdr:wsDr xmlns:xdr="http://schemas.openxmlformats.org/drawingml/2006/spreadsheetDrawing" xmlns:a="http://schemas.openxmlformats.org/drawingml/2006/main">
  <xdr:twoCellAnchor>
    <xdr:from>
      <xdr:col>14</xdr:col>
      <xdr:colOff>238127</xdr:colOff>
      <xdr:row>0</xdr:row>
      <xdr:rowOff>104776</xdr:rowOff>
    </xdr:from>
    <xdr:to>
      <xdr:col>18</xdr:col>
      <xdr:colOff>457201</xdr:colOff>
      <xdr:row>4</xdr:row>
      <xdr:rowOff>91440</xdr:rowOff>
    </xdr:to>
    <xdr:sp macro="" textlink="">
      <xdr:nvSpPr>
        <xdr:cNvPr id="2" name="Rectangle 1">
          <a:extLst>
            <a:ext uri="{FF2B5EF4-FFF2-40B4-BE49-F238E27FC236}">
              <a16:creationId xmlns:a16="http://schemas.microsoft.com/office/drawing/2014/main" id="{D0904059-2DCE-44C4-A803-F39C1CAE9743}"/>
            </a:ext>
          </a:extLst>
        </xdr:cNvPr>
        <xdr:cNvSpPr/>
      </xdr:nvSpPr>
      <xdr:spPr>
        <a:xfrm>
          <a:off x="5031107" y="104776"/>
          <a:ext cx="1552574" cy="832484"/>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vi-VN" sz="900" b="1">
              <a:solidFill>
                <a:schemeClr val="dk1"/>
              </a:solidFill>
              <a:effectLst/>
              <a:latin typeface="Times New Roman" panose="02020603050405020304" pitchFamily="18" charset="0"/>
              <a:ea typeface="+mn-ea"/>
              <a:cs typeface="Times New Roman" panose="02020603050405020304" pitchFamily="18" charset="0"/>
            </a:rPr>
            <a:t>Mẫu số: 08/CK-TNCN</a:t>
          </a:r>
        </a:p>
        <a:p>
          <a:pPr algn="ctr"/>
          <a:r>
            <a:rPr lang="vi-VN" sz="900" b="0" i="1">
              <a:solidFill>
                <a:schemeClr val="dk1"/>
              </a:solidFill>
              <a:effectLst/>
              <a:latin typeface="Times New Roman" panose="02020603050405020304" pitchFamily="18" charset="0"/>
              <a:ea typeface="+mn-ea"/>
              <a:cs typeface="Times New Roman" panose="02020603050405020304" pitchFamily="18" charset="0"/>
            </a:rPr>
            <a:t>(Ban hành kèm theo Thông tư số 80/2021/TT-BTC ngày 29 tháng 9 năm 2021 của Bộ trưởng Bộ Tài chính)</a:t>
          </a:r>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401956</xdr:colOff>
      <xdr:row>0</xdr:row>
      <xdr:rowOff>118110</xdr:rowOff>
    </xdr:from>
    <xdr:to>
      <xdr:col>18</xdr:col>
      <xdr:colOff>1013460</xdr:colOff>
      <xdr:row>3</xdr:row>
      <xdr:rowOff>220979</xdr:rowOff>
    </xdr:to>
    <xdr:sp macro="" textlink="">
      <xdr:nvSpPr>
        <xdr:cNvPr id="2" name="Rectangle 1">
          <a:extLst>
            <a:ext uri="{FF2B5EF4-FFF2-40B4-BE49-F238E27FC236}">
              <a16:creationId xmlns:a16="http://schemas.microsoft.com/office/drawing/2014/main" id="{EE4F9ADA-8413-4938-898D-D2E8CA0192C3}"/>
            </a:ext>
          </a:extLst>
        </xdr:cNvPr>
        <xdr:cNvSpPr/>
      </xdr:nvSpPr>
      <xdr:spPr>
        <a:xfrm>
          <a:off x="5194936" y="118110"/>
          <a:ext cx="1945004" cy="720089"/>
        </a:xfrm>
        <a:prstGeom prst="rect">
          <a:avLst/>
        </a:prstGeom>
        <a:ln w="12700"/>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US" sz="900" b="1">
              <a:solidFill>
                <a:schemeClr val="dk1"/>
              </a:solidFill>
              <a:effectLst/>
              <a:latin typeface="Times New Roman" panose="02020603050405020304" pitchFamily="18" charset="0"/>
              <a:ea typeface="+mn-ea"/>
              <a:cs typeface="Times New Roman" panose="02020603050405020304" pitchFamily="18" charset="0"/>
            </a:rPr>
            <a:t>Mẫu số: 02/CK-TNCN</a:t>
          </a:r>
        </a:p>
        <a:p>
          <a:pPr algn="ctr"/>
          <a:r>
            <a:rPr lang="en-US" sz="900" b="0" i="1">
              <a:solidFill>
                <a:schemeClr val="dk1"/>
              </a:solidFill>
              <a:effectLst/>
              <a:latin typeface="Times New Roman" panose="02020603050405020304" pitchFamily="18" charset="0"/>
              <a:ea typeface="+mn-ea"/>
              <a:cs typeface="Times New Roman" panose="02020603050405020304" pitchFamily="18" charset="0"/>
            </a:rPr>
            <a:t>(Ban hành kèm theo Thông tư số 92/2015/TT-BTC ngày</a:t>
          </a:r>
        </a:p>
        <a:p>
          <a:pPr algn="ctr"/>
          <a:r>
            <a:rPr lang="nl-NL" sz="900" b="0" i="1">
              <a:solidFill>
                <a:schemeClr val="dk1"/>
              </a:solidFill>
              <a:effectLst/>
              <a:latin typeface="Times New Roman" panose="02020603050405020304" pitchFamily="18" charset="0"/>
              <a:ea typeface="+mn-ea"/>
              <a:cs typeface="Times New Roman" panose="02020603050405020304" pitchFamily="18" charset="0"/>
            </a:rPr>
            <a:t>15/6/2015</a:t>
          </a:r>
          <a:r>
            <a:rPr lang="en-US" sz="900" b="0" i="1">
              <a:solidFill>
                <a:schemeClr val="dk1"/>
              </a:solidFill>
              <a:effectLst/>
              <a:latin typeface="Times New Roman" panose="02020603050405020304" pitchFamily="18" charset="0"/>
              <a:ea typeface="+mn-ea"/>
              <a:cs typeface="Times New Roman" panose="02020603050405020304" pitchFamily="18" charset="0"/>
            </a:rPr>
            <a:t> của Bộ Tài chính</a:t>
          </a:r>
          <a:r>
            <a:rPr lang="en-US" sz="900" b="1" i="1">
              <a:solidFill>
                <a:schemeClr val="dk1"/>
              </a:solidFill>
              <a:effectLst/>
              <a:latin typeface="Times New Roman" panose="02020603050405020304" pitchFamily="18" charset="0"/>
              <a:ea typeface="+mn-ea"/>
              <a:cs typeface="Times New Roman" panose="02020603050405020304" pitchFamily="18" charset="0"/>
            </a:rPr>
            <a:t>)</a:t>
          </a:r>
          <a:endParaRPr lang="en-US" sz="900" b="1">
            <a:solidFill>
              <a:schemeClr val="dk1"/>
            </a:solidFill>
            <a:effectLst/>
            <a:latin typeface="Times New Roman" panose="02020603050405020304" pitchFamily="18" charset="0"/>
            <a:ea typeface="+mn-ea"/>
            <a:cs typeface="Times New Roman" panose="02020603050405020304" pitchFamily="18" charset="0"/>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2</xdr:row>
      <xdr:rowOff>57150</xdr:rowOff>
    </xdr:from>
    <xdr:to>
      <xdr:col>5</xdr:col>
      <xdr:colOff>152400</xdr:colOff>
      <xdr:row>2</xdr:row>
      <xdr:rowOff>66675</xdr:rowOff>
    </xdr:to>
    <xdr:cxnSp macro="">
      <xdr:nvCxnSpPr>
        <xdr:cNvPr id="2" name="Straight Connector 1">
          <a:extLst>
            <a:ext uri="{FF2B5EF4-FFF2-40B4-BE49-F238E27FC236}">
              <a16:creationId xmlns:a16="http://schemas.microsoft.com/office/drawing/2014/main" id="{F5682A04-E2D4-4128-A99A-4758C7A332F5}"/>
            </a:ext>
          </a:extLst>
        </xdr:cNvPr>
        <xdr:cNvCxnSpPr/>
      </xdr:nvCxnSpPr>
      <xdr:spPr>
        <a:xfrm flipV="1">
          <a:off x="161925" y="453390"/>
          <a:ext cx="178879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24E059-1B27-4762-9C18-ED936651FA1C}" name="DATA_NGHI_LE" displayName="DATA_NGHI_LE" ref="A1:B29" totalsRowShown="0" headerRowDxfId="14">
  <autoFilter ref="A1:B29" xr:uid="{0F24E059-1B27-4762-9C18-ED936651FA1C}"/>
  <tableColumns count="2">
    <tableColumn id="1" xr3:uid="{8807DEEA-FCE2-4F98-87A5-C66DE3100AB0}" name="Ngay_Le" dataDxfId="13"/>
    <tableColumn id="2" xr3:uid="{15558D6B-E4B1-4185-A6D4-821BCAFD8D2F}" name="Nội dung"/>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tradaexcel@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60891-9F38-4B7C-9890-EFD73E4FD379}">
  <sheetPr codeName="Sheet81">
    <tabColor theme="5"/>
  </sheetPr>
  <dimension ref="A1:A15"/>
  <sheetViews>
    <sheetView zoomScale="115" zoomScaleNormal="115" workbookViewId="0">
      <selection activeCell="N13" sqref="N13"/>
    </sheetView>
  </sheetViews>
  <sheetFormatPr defaultRowHeight="14.4" x14ac:dyDescent="0.3"/>
  <cols>
    <col min="1" max="16384" width="8.88671875" style="3"/>
  </cols>
  <sheetData>
    <row r="1" spans="1:1" x14ac:dyDescent="0.3">
      <c r="A1" s="4" t="s">
        <v>164</v>
      </c>
    </row>
    <row r="2" spans="1:1" x14ac:dyDescent="0.3">
      <c r="A2" s="4" t="s">
        <v>165</v>
      </c>
    </row>
    <row r="3" spans="1:1" x14ac:dyDescent="0.3">
      <c r="A3" s="4" t="s">
        <v>166</v>
      </c>
    </row>
    <row r="4" spans="1:1" x14ac:dyDescent="0.3">
      <c r="A4" s="4" t="s">
        <v>167</v>
      </c>
    </row>
    <row r="5" spans="1:1" x14ac:dyDescent="0.3">
      <c r="A5" s="4" t="s">
        <v>168</v>
      </c>
    </row>
    <row r="6" spans="1:1" x14ac:dyDescent="0.3">
      <c r="A6" s="11" t="s">
        <v>169</v>
      </c>
    </row>
    <row r="7" spans="1:1" x14ac:dyDescent="0.3">
      <c r="A7" s="11" t="s">
        <v>170</v>
      </c>
    </row>
    <row r="8" spans="1:1" x14ac:dyDescent="0.3">
      <c r="A8" s="4" t="s">
        <v>171</v>
      </c>
    </row>
    <row r="9" spans="1:1" x14ac:dyDescent="0.3">
      <c r="A9" s="11" t="s">
        <v>172</v>
      </c>
    </row>
    <row r="10" spans="1:1" x14ac:dyDescent="0.3">
      <c r="A10" s="11" t="s">
        <v>173</v>
      </c>
    </row>
    <row r="11" spans="1:1" x14ac:dyDescent="0.3">
      <c r="A11" s="11" t="s">
        <v>174</v>
      </c>
    </row>
    <row r="12" spans="1:1" x14ac:dyDescent="0.3">
      <c r="A12" s="4" t="s">
        <v>175</v>
      </c>
    </row>
    <row r="13" spans="1:1" x14ac:dyDescent="0.3">
      <c r="A13" s="4" t="s">
        <v>176</v>
      </c>
    </row>
    <row r="14" spans="1:1" x14ac:dyDescent="0.3">
      <c r="A14" s="4" t="s">
        <v>177</v>
      </c>
    </row>
    <row r="15" spans="1:1" x14ac:dyDescent="0.3">
      <c r="A15" s="11" t="s">
        <v>437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BDC76-F361-4D0D-A8E5-288A0B460EA1}">
  <sheetPr codeName="Sheet1">
    <tabColor theme="6" tint="0.39997558519241921"/>
  </sheetPr>
  <dimension ref="A1:D13"/>
  <sheetViews>
    <sheetView zoomScaleNormal="100" workbookViewId="0">
      <selection activeCell="E17" sqref="E17"/>
    </sheetView>
  </sheetViews>
  <sheetFormatPr defaultRowHeight="14.4" x14ac:dyDescent="0.3"/>
  <cols>
    <col min="1" max="1" width="21.5546875" customWidth="1"/>
    <col min="2" max="2" width="64.44140625" customWidth="1"/>
  </cols>
  <sheetData>
    <row r="1" spans="1:4" x14ac:dyDescent="0.3">
      <c r="A1" s="2" t="s">
        <v>4</v>
      </c>
      <c r="D1" s="25" t="b">
        <f>IF(AND(CHE_DO_NGHI=1,OR(G$7="Chủ nhật",G$7="Thứ Bảy")),TRUE,IF(AND(CHE_DO_NGHI=2,G$7="Chủ nhật"),TRUE,FALSE))</f>
        <v>0</v>
      </c>
    </row>
    <row r="3" spans="1:4" x14ac:dyDescent="0.3">
      <c r="A3" s="1" t="s">
        <v>2</v>
      </c>
      <c r="B3" s="16" t="s">
        <v>0</v>
      </c>
    </row>
    <row r="4" spans="1:4" x14ac:dyDescent="0.3">
      <c r="A4" s="1" t="s">
        <v>3</v>
      </c>
      <c r="B4" s="16" t="s">
        <v>1</v>
      </c>
    </row>
    <row r="5" spans="1:4" x14ac:dyDescent="0.3">
      <c r="A5" s="2" t="s">
        <v>83</v>
      </c>
    </row>
    <row r="6" spans="1:4" x14ac:dyDescent="0.3">
      <c r="A6" t="s">
        <v>84</v>
      </c>
    </row>
    <row r="7" spans="1:4" x14ac:dyDescent="0.3">
      <c r="A7" t="s">
        <v>85</v>
      </c>
    </row>
    <row r="8" spans="1:4" x14ac:dyDescent="0.3">
      <c r="A8" s="1" t="s">
        <v>86</v>
      </c>
      <c r="B8" s="15">
        <v>1</v>
      </c>
    </row>
    <row r="9" spans="1:4" x14ac:dyDescent="0.3">
      <c r="A9" s="1" t="s">
        <v>106</v>
      </c>
      <c r="B9" s="15">
        <v>2023</v>
      </c>
    </row>
    <row r="10" spans="1:4" x14ac:dyDescent="0.3">
      <c r="A10" s="1" t="s">
        <v>542</v>
      </c>
      <c r="B10" s="15" t="s">
        <v>543</v>
      </c>
    </row>
    <row r="11" spans="1:4" x14ac:dyDescent="0.3">
      <c r="A11" s="1" t="s">
        <v>7</v>
      </c>
      <c r="B11" s="15" t="s">
        <v>11</v>
      </c>
    </row>
    <row r="12" spans="1:4" x14ac:dyDescent="0.3">
      <c r="A12" s="1" t="s">
        <v>184</v>
      </c>
      <c r="B12" s="142" t="s">
        <v>545</v>
      </c>
    </row>
    <row r="13" spans="1:4" x14ac:dyDescent="0.3">
      <c r="A13" s="1" t="s">
        <v>544</v>
      </c>
      <c r="B13" s="142" t="s">
        <v>546</v>
      </c>
    </row>
  </sheetData>
  <dataValidations disablePrompts="1" count="1">
    <dataValidation type="list" allowBlank="1" showInputMessage="1" showErrorMessage="1" sqref="B8" xr:uid="{656CAED9-393D-4071-8536-66787939BAA4}">
      <formula1>"1, 2"</formula1>
    </dataValidation>
  </dataValidations>
  <hyperlinks>
    <hyperlink ref="B13" r:id="rId1" xr:uid="{C80A3313-F4CD-4AFA-9F48-6EA57B0B192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EFDE3-B592-4241-8F36-2E611CF34C72}">
  <sheetPr codeName="Sheet3">
    <tabColor theme="6" tint="0.39997558519241921"/>
  </sheetPr>
  <dimension ref="A1:B29"/>
  <sheetViews>
    <sheetView workbookViewId="0"/>
  </sheetViews>
  <sheetFormatPr defaultRowHeight="14.4" x14ac:dyDescent="0.3"/>
  <cols>
    <col min="1" max="1" width="14.44140625" customWidth="1"/>
    <col min="2" max="2" width="20.21875" customWidth="1"/>
  </cols>
  <sheetData>
    <row r="1" spans="1:2" x14ac:dyDescent="0.3">
      <c r="A1" s="13" t="s">
        <v>108</v>
      </c>
      <c r="B1" s="13" t="s">
        <v>75</v>
      </c>
    </row>
    <row r="2" spans="1:2" x14ac:dyDescent="0.3">
      <c r="A2" s="14">
        <v>44927</v>
      </c>
      <c r="B2" t="s">
        <v>76</v>
      </c>
    </row>
    <row r="3" spans="1:2" x14ac:dyDescent="0.3">
      <c r="A3" s="14">
        <v>44928</v>
      </c>
      <c r="B3" t="s">
        <v>76</v>
      </c>
    </row>
    <row r="4" spans="1:2" x14ac:dyDescent="0.3">
      <c r="A4" s="14">
        <v>44947</v>
      </c>
      <c r="B4" t="s">
        <v>77</v>
      </c>
    </row>
    <row r="5" spans="1:2" x14ac:dyDescent="0.3">
      <c r="A5" s="14">
        <v>44948</v>
      </c>
      <c r="B5" t="s">
        <v>77</v>
      </c>
    </row>
    <row r="6" spans="1:2" x14ac:dyDescent="0.3">
      <c r="A6" s="14">
        <v>44949</v>
      </c>
      <c r="B6" t="s">
        <v>77</v>
      </c>
    </row>
    <row r="7" spans="1:2" x14ac:dyDescent="0.3">
      <c r="A7" s="14">
        <v>44950</v>
      </c>
      <c r="B7" t="s">
        <v>77</v>
      </c>
    </row>
    <row r="8" spans="1:2" x14ac:dyDescent="0.3">
      <c r="A8" s="14">
        <v>44951</v>
      </c>
      <c r="B8" t="s">
        <v>77</v>
      </c>
    </row>
    <row r="9" spans="1:2" x14ac:dyDescent="0.3">
      <c r="A9" s="14">
        <v>44952</v>
      </c>
      <c r="B9" t="s">
        <v>77</v>
      </c>
    </row>
    <row r="10" spans="1:2" x14ac:dyDescent="0.3">
      <c r="A10" s="14">
        <v>45045</v>
      </c>
      <c r="B10" t="s">
        <v>78</v>
      </c>
    </row>
    <row r="11" spans="1:2" x14ac:dyDescent="0.3">
      <c r="A11" s="14">
        <v>45046</v>
      </c>
      <c r="B11" t="s">
        <v>79</v>
      </c>
    </row>
    <row r="12" spans="1:2" x14ac:dyDescent="0.3">
      <c r="A12" s="14">
        <v>45047</v>
      </c>
      <c r="B12" t="s">
        <v>80</v>
      </c>
    </row>
    <row r="13" spans="1:2" x14ac:dyDescent="0.3">
      <c r="A13" s="14">
        <v>45048</v>
      </c>
      <c r="B13" t="s">
        <v>81</v>
      </c>
    </row>
    <row r="14" spans="1:2" x14ac:dyDescent="0.3">
      <c r="A14" s="14">
        <v>45049</v>
      </c>
      <c r="B14" t="s">
        <v>81</v>
      </c>
    </row>
    <row r="15" spans="1:2" x14ac:dyDescent="0.3">
      <c r="A15" s="14">
        <v>45171</v>
      </c>
      <c r="B15" t="s">
        <v>82</v>
      </c>
    </row>
    <row r="16" spans="1:2" x14ac:dyDescent="0.3">
      <c r="A16" s="14">
        <v>45172</v>
      </c>
      <c r="B16" t="s">
        <v>82</v>
      </c>
    </row>
    <row r="17" spans="1:2" x14ac:dyDescent="0.3">
      <c r="A17" s="14">
        <v>45173</v>
      </c>
      <c r="B17" t="s">
        <v>82</v>
      </c>
    </row>
    <row r="18" spans="1:2" x14ac:dyDescent="0.3">
      <c r="A18" s="14">
        <v>45292</v>
      </c>
      <c r="B18" t="s">
        <v>76</v>
      </c>
    </row>
    <row r="19" spans="1:2" x14ac:dyDescent="0.3">
      <c r="A19" s="14">
        <v>45331</v>
      </c>
      <c r="B19" t="s">
        <v>77</v>
      </c>
    </row>
    <row r="20" spans="1:2" x14ac:dyDescent="0.3">
      <c r="A20" s="14">
        <v>45332</v>
      </c>
      <c r="B20" t="s">
        <v>77</v>
      </c>
    </row>
    <row r="21" spans="1:2" x14ac:dyDescent="0.3">
      <c r="A21" s="14">
        <v>45333</v>
      </c>
      <c r="B21" t="s">
        <v>77</v>
      </c>
    </row>
    <row r="22" spans="1:2" x14ac:dyDescent="0.3">
      <c r="A22" s="14">
        <v>45334</v>
      </c>
      <c r="B22" t="s">
        <v>77</v>
      </c>
    </row>
    <row r="23" spans="1:2" x14ac:dyDescent="0.3">
      <c r="A23" s="14">
        <v>45335</v>
      </c>
      <c r="B23" t="s">
        <v>77</v>
      </c>
    </row>
    <row r="24" spans="1:2" x14ac:dyDescent="0.3">
      <c r="A24" s="14">
        <v>45336</v>
      </c>
      <c r="B24" t="s">
        <v>77</v>
      </c>
    </row>
    <row r="25" spans="1:2" x14ac:dyDescent="0.3">
      <c r="A25" s="14">
        <v>45337</v>
      </c>
      <c r="B25" t="s">
        <v>77</v>
      </c>
    </row>
    <row r="26" spans="1:2" x14ac:dyDescent="0.3">
      <c r="A26" s="14">
        <v>45400</v>
      </c>
      <c r="B26" t="s">
        <v>78</v>
      </c>
    </row>
    <row r="27" spans="1:2" x14ac:dyDescent="0.3">
      <c r="A27" s="14">
        <v>45412</v>
      </c>
      <c r="B27" t="s">
        <v>79</v>
      </c>
    </row>
    <row r="28" spans="1:2" x14ac:dyDescent="0.3">
      <c r="A28" s="14">
        <v>45413</v>
      </c>
      <c r="B28" t="s">
        <v>80</v>
      </c>
    </row>
    <row r="29" spans="1:2" x14ac:dyDescent="0.3">
      <c r="A29" s="14">
        <v>45537</v>
      </c>
      <c r="B29" t="s">
        <v>82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21197-8B28-489B-9D0B-FCBAB320F8F6}">
  <sheetPr codeName="Sheet364">
    <tabColor theme="6" tint="0.39997558519241921"/>
  </sheetPr>
  <dimension ref="A1:H13"/>
  <sheetViews>
    <sheetView workbookViewId="0"/>
  </sheetViews>
  <sheetFormatPr defaultRowHeight="14.4" x14ac:dyDescent="0.3"/>
  <cols>
    <col min="1" max="2" width="8.88671875" style="3"/>
    <col min="3" max="8" width="12.77734375" style="3" customWidth="1"/>
    <col min="9" max="16384" width="8.88671875" style="3"/>
  </cols>
  <sheetData>
    <row r="1" spans="1:8" x14ac:dyDescent="0.3">
      <c r="A1" s="30" t="s">
        <v>121</v>
      </c>
      <c r="B1" s="30" t="s">
        <v>122</v>
      </c>
      <c r="C1" s="30" t="s">
        <v>115</v>
      </c>
      <c r="D1" s="30" t="s">
        <v>116</v>
      </c>
      <c r="E1" s="30" t="s">
        <v>117</v>
      </c>
      <c r="F1" s="30" t="s">
        <v>118</v>
      </c>
      <c r="G1" s="30" t="s">
        <v>119</v>
      </c>
      <c r="H1" s="30" t="s">
        <v>120</v>
      </c>
    </row>
    <row r="2" spans="1:8" x14ac:dyDescent="0.3">
      <c r="A2" s="23">
        <v>1</v>
      </c>
      <c r="B2" s="23">
        <v>2023</v>
      </c>
      <c r="C2" s="31">
        <v>0.17499999999999999</v>
      </c>
      <c r="D2" s="31">
        <v>0.03</v>
      </c>
      <c r="E2" s="31">
        <v>0.01</v>
      </c>
      <c r="F2" s="31">
        <v>0.08</v>
      </c>
      <c r="G2" s="31">
        <v>1.4999999999999999E-2</v>
      </c>
      <c r="H2" s="31">
        <v>0.01</v>
      </c>
    </row>
    <row r="3" spans="1:8" x14ac:dyDescent="0.3">
      <c r="A3" s="23">
        <v>2</v>
      </c>
      <c r="B3" s="23">
        <v>2023</v>
      </c>
      <c r="C3" s="31">
        <v>0.17499999999999999</v>
      </c>
      <c r="D3" s="31">
        <v>0.03</v>
      </c>
      <c r="E3" s="31">
        <v>0.01</v>
      </c>
      <c r="F3" s="31">
        <v>0.08</v>
      </c>
      <c r="G3" s="31">
        <v>1.4999999999999999E-2</v>
      </c>
      <c r="H3" s="31">
        <v>0.01</v>
      </c>
    </row>
    <row r="4" spans="1:8" x14ac:dyDescent="0.3">
      <c r="A4" s="23">
        <v>3</v>
      </c>
      <c r="B4" s="23">
        <v>2023</v>
      </c>
      <c r="C4" s="31">
        <v>0.17499999999999999</v>
      </c>
      <c r="D4" s="31">
        <v>0.03</v>
      </c>
      <c r="E4" s="31">
        <v>0.01</v>
      </c>
      <c r="F4" s="31">
        <v>0.08</v>
      </c>
      <c r="G4" s="31">
        <v>1.4999999999999999E-2</v>
      </c>
      <c r="H4" s="31">
        <v>0.01</v>
      </c>
    </row>
    <row r="5" spans="1:8" x14ac:dyDescent="0.3">
      <c r="A5" s="23">
        <v>4</v>
      </c>
      <c r="B5" s="23">
        <v>2023</v>
      </c>
      <c r="C5" s="31">
        <v>0.17499999999999999</v>
      </c>
      <c r="D5" s="31">
        <v>0.03</v>
      </c>
      <c r="E5" s="31">
        <v>0.01</v>
      </c>
      <c r="F5" s="31">
        <v>0.08</v>
      </c>
      <c r="G5" s="31">
        <v>1.4999999999999999E-2</v>
      </c>
      <c r="H5" s="31">
        <v>0.01</v>
      </c>
    </row>
    <row r="6" spans="1:8" x14ac:dyDescent="0.3">
      <c r="A6" s="23">
        <v>5</v>
      </c>
      <c r="B6" s="23">
        <v>2023</v>
      </c>
      <c r="C6" s="31">
        <v>0.17499999999999999</v>
      </c>
      <c r="D6" s="31">
        <v>0.03</v>
      </c>
      <c r="E6" s="31">
        <v>0.01</v>
      </c>
      <c r="F6" s="31">
        <v>0.08</v>
      </c>
      <c r="G6" s="31">
        <v>1.4999999999999999E-2</v>
      </c>
      <c r="H6" s="31">
        <v>0.01</v>
      </c>
    </row>
    <row r="7" spans="1:8" x14ac:dyDescent="0.3">
      <c r="A7" s="23">
        <v>6</v>
      </c>
      <c r="B7" s="23">
        <v>2023</v>
      </c>
      <c r="C7" s="31">
        <v>0.17499999999999999</v>
      </c>
      <c r="D7" s="31">
        <v>0.03</v>
      </c>
      <c r="E7" s="31">
        <v>0.01</v>
      </c>
      <c r="F7" s="31">
        <v>0.08</v>
      </c>
      <c r="G7" s="31">
        <v>1.4999999999999999E-2</v>
      </c>
      <c r="H7" s="31">
        <v>0.01</v>
      </c>
    </row>
    <row r="8" spans="1:8" x14ac:dyDescent="0.3">
      <c r="A8" s="23">
        <v>7</v>
      </c>
      <c r="B8" s="23">
        <v>2023</v>
      </c>
      <c r="C8" s="31">
        <v>0.17499999999999999</v>
      </c>
      <c r="D8" s="31">
        <v>0.03</v>
      </c>
      <c r="E8" s="31">
        <v>0.01</v>
      </c>
      <c r="F8" s="31">
        <v>0.08</v>
      </c>
      <c r="G8" s="31">
        <v>1.4999999999999999E-2</v>
      </c>
      <c r="H8" s="31">
        <v>0.01</v>
      </c>
    </row>
    <row r="9" spans="1:8" x14ac:dyDescent="0.3">
      <c r="A9" s="23">
        <v>8</v>
      </c>
      <c r="B9" s="23">
        <v>2023</v>
      </c>
      <c r="C9" s="31">
        <v>0.17499999999999999</v>
      </c>
      <c r="D9" s="31">
        <v>0.03</v>
      </c>
      <c r="E9" s="31">
        <v>0.01</v>
      </c>
      <c r="F9" s="31">
        <v>0.08</v>
      </c>
      <c r="G9" s="31">
        <v>1.4999999999999999E-2</v>
      </c>
      <c r="H9" s="31">
        <v>0.01</v>
      </c>
    </row>
    <row r="10" spans="1:8" x14ac:dyDescent="0.3">
      <c r="A10" s="23">
        <v>9</v>
      </c>
      <c r="B10" s="23">
        <v>2023</v>
      </c>
      <c r="C10" s="31">
        <v>0.17499999999999999</v>
      </c>
      <c r="D10" s="31">
        <v>0.03</v>
      </c>
      <c r="E10" s="31">
        <v>0.01</v>
      </c>
      <c r="F10" s="31">
        <v>0.08</v>
      </c>
      <c r="G10" s="31">
        <v>1.4999999999999999E-2</v>
      </c>
      <c r="H10" s="31">
        <v>0.01</v>
      </c>
    </row>
    <row r="11" spans="1:8" x14ac:dyDescent="0.3">
      <c r="A11" s="23">
        <v>10</v>
      </c>
      <c r="B11" s="23">
        <v>2023</v>
      </c>
      <c r="C11" s="31">
        <v>0.17499999999999999</v>
      </c>
      <c r="D11" s="31">
        <v>0.03</v>
      </c>
      <c r="E11" s="31">
        <v>0.01</v>
      </c>
      <c r="F11" s="31">
        <v>0.08</v>
      </c>
      <c r="G11" s="31">
        <v>1.4999999999999999E-2</v>
      </c>
      <c r="H11" s="31">
        <v>0.01</v>
      </c>
    </row>
    <row r="12" spans="1:8" x14ac:dyDescent="0.3">
      <c r="A12" s="23">
        <v>11</v>
      </c>
      <c r="B12" s="23">
        <v>2023</v>
      </c>
      <c r="C12" s="31">
        <v>0.17499999999999999</v>
      </c>
      <c r="D12" s="31">
        <v>0.03</v>
      </c>
      <c r="E12" s="31">
        <v>0.01</v>
      </c>
      <c r="F12" s="31">
        <v>0.08</v>
      </c>
      <c r="G12" s="31">
        <v>1.4999999999999999E-2</v>
      </c>
      <c r="H12" s="31">
        <v>0.01</v>
      </c>
    </row>
    <row r="13" spans="1:8" x14ac:dyDescent="0.3">
      <c r="A13" s="23">
        <v>12</v>
      </c>
      <c r="B13" s="23">
        <v>2023</v>
      </c>
      <c r="C13" s="31">
        <v>0.17499999999999999</v>
      </c>
      <c r="D13" s="31">
        <v>0.03</v>
      </c>
      <c r="E13" s="31">
        <v>0.01</v>
      </c>
      <c r="F13" s="31">
        <v>0.08</v>
      </c>
      <c r="G13" s="31">
        <v>1.4999999999999999E-2</v>
      </c>
      <c r="H13" s="31">
        <v>0.01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906E6-9AF3-41E5-9847-97024EDEA81B}">
  <sheetPr codeName="Sheet2">
    <tabColor theme="6" tint="0.39997558519241921"/>
  </sheetPr>
  <dimension ref="A1:DP20"/>
  <sheetViews>
    <sheetView workbookViewId="0">
      <pane xSplit="12" ySplit="4" topLeftCell="BJ5" activePane="bottomRight" state="frozen"/>
      <selection pane="topRight" activeCell="M1" sqref="M1"/>
      <selection pane="bottomLeft" activeCell="A5" sqref="A5"/>
      <selection pane="bottomRight" activeCell="G17" sqref="G17"/>
    </sheetView>
  </sheetViews>
  <sheetFormatPr defaultRowHeight="14.4" x14ac:dyDescent="0.3"/>
  <cols>
    <col min="1" max="1" width="8.88671875" style="3" customWidth="1"/>
    <col min="2" max="2" width="13.21875" style="3" customWidth="1"/>
    <col min="3" max="3" width="17.44140625" style="3" bestFit="1" customWidth="1"/>
    <col min="4" max="4" width="10.21875" style="3" bestFit="1" customWidth="1"/>
    <col min="5" max="5" width="9.33203125" style="3" bestFit="1" customWidth="1"/>
    <col min="6" max="6" width="16.88671875" style="7" bestFit="1" customWidth="1"/>
    <col min="7" max="7" width="13.77734375" style="7" bestFit="1" customWidth="1"/>
    <col min="8" max="12" width="13.77734375" style="55" customWidth="1"/>
    <col min="13" max="24" width="18" style="7" customWidth="1"/>
    <col min="25" max="33" width="22.44140625" style="3" customWidth="1"/>
    <col min="34" max="36" width="23.44140625" style="3" customWidth="1"/>
    <col min="37" max="45" width="16.44140625" style="3" customWidth="1"/>
    <col min="46" max="48" width="17.5546875" style="3" customWidth="1"/>
    <col min="49" max="57" width="15.77734375" style="3" customWidth="1"/>
    <col min="58" max="60" width="16.77734375" style="3" customWidth="1"/>
    <col min="61" max="69" width="18.5546875" style="3" customWidth="1"/>
    <col min="70" max="72" width="19.6640625" style="3" customWidth="1"/>
    <col min="73" max="81" width="20.5546875" style="3" customWidth="1"/>
    <col min="82" max="84" width="21.6640625" style="3" customWidth="1"/>
    <col min="85" max="93" width="18.6640625" style="3" customWidth="1"/>
    <col min="94" max="96" width="19.77734375" style="3" customWidth="1"/>
    <col min="97" max="105" width="22.88671875" style="3" customWidth="1"/>
    <col min="106" max="108" width="24" style="3" customWidth="1"/>
    <col min="109" max="117" width="20.21875" style="3" customWidth="1"/>
    <col min="118" max="120" width="21.21875" style="3" customWidth="1"/>
    <col min="121" max="16384" width="8.88671875" style="3"/>
  </cols>
  <sheetData>
    <row r="1" spans="1:120" x14ac:dyDescent="0.3">
      <c r="A1" s="4" t="str">
        <f>Company_Name</f>
        <v>CÔNG TY TNHH CƠ KHÍ SỬA CHỮA HOÀNG KIÊN</v>
      </c>
      <c r="H1" s="7"/>
      <c r="I1" s="7"/>
      <c r="J1" s="7"/>
      <c r="K1" s="7"/>
      <c r="L1" s="7"/>
    </row>
    <row r="2" spans="1:120" x14ac:dyDescent="0.3">
      <c r="A2" s="4" t="str">
        <f>Company_Address</f>
        <v>SN 16N3, ngõ 90 đường Nguyễn Tuân, P. Thanh Xuân, Q. Thanh Xuân, Hà Nội</v>
      </c>
      <c r="H2" s="7"/>
      <c r="I2" s="7"/>
      <c r="J2" s="7"/>
      <c r="K2" s="7"/>
      <c r="L2" s="7"/>
      <c r="M2" s="167" t="s">
        <v>109</v>
      </c>
      <c r="N2" s="167"/>
      <c r="O2" s="167"/>
      <c r="P2" s="167"/>
      <c r="Q2" s="167"/>
      <c r="R2" s="167"/>
      <c r="AX2"/>
      <c r="AY2"/>
      <c r="AZ2"/>
      <c r="BA2"/>
      <c r="BB2"/>
    </row>
    <row r="3" spans="1:120" x14ac:dyDescent="0.3">
      <c r="H3" s="7"/>
      <c r="I3" s="7"/>
      <c r="J3" s="7"/>
      <c r="K3" s="7"/>
      <c r="L3" s="7"/>
      <c r="M3" s="3"/>
      <c r="AX3"/>
      <c r="AY3"/>
      <c r="AZ3"/>
      <c r="BA3"/>
      <c r="BB3"/>
      <c r="BC3"/>
      <c r="BD3"/>
      <c r="BE3"/>
      <c r="BF3"/>
      <c r="BG3"/>
      <c r="BH3"/>
    </row>
    <row r="4" spans="1:120" x14ac:dyDescent="0.3">
      <c r="A4" s="6" t="s">
        <v>5</v>
      </c>
      <c r="B4" s="6" t="s">
        <v>69</v>
      </c>
      <c r="C4" s="6" t="s">
        <v>70</v>
      </c>
      <c r="D4" s="6" t="s">
        <v>71</v>
      </c>
      <c r="E4" s="6" t="s">
        <v>72</v>
      </c>
      <c r="F4" s="8" t="s">
        <v>73</v>
      </c>
      <c r="G4" s="8" t="s">
        <v>74</v>
      </c>
      <c r="H4" s="8" t="s">
        <v>344</v>
      </c>
      <c r="I4" s="8" t="s">
        <v>557</v>
      </c>
      <c r="J4" s="8" t="s">
        <v>558</v>
      </c>
      <c r="K4" s="8" t="s">
        <v>564</v>
      </c>
      <c r="L4" s="8" t="s">
        <v>565</v>
      </c>
      <c r="M4" s="6" t="s">
        <v>199</v>
      </c>
      <c r="N4" s="6" t="s">
        <v>200</v>
      </c>
      <c r="O4" s="6" t="s">
        <v>201</v>
      </c>
      <c r="P4" s="6" t="s">
        <v>202</v>
      </c>
      <c r="Q4" s="6" t="s">
        <v>203</v>
      </c>
      <c r="R4" s="6" t="s">
        <v>204</v>
      </c>
      <c r="S4" s="6" t="s">
        <v>205</v>
      </c>
      <c r="T4" s="6" t="s">
        <v>206</v>
      </c>
      <c r="U4" s="6" t="s">
        <v>207</v>
      </c>
      <c r="V4" s="6" t="s">
        <v>208</v>
      </c>
      <c r="W4" s="6" t="s">
        <v>209</v>
      </c>
      <c r="X4" s="6" t="s">
        <v>210</v>
      </c>
      <c r="Y4" s="10" t="s">
        <v>278</v>
      </c>
      <c r="Z4" s="10" t="s">
        <v>279</v>
      </c>
      <c r="AA4" s="10" t="s">
        <v>280</v>
      </c>
      <c r="AB4" s="10" t="s">
        <v>281</v>
      </c>
      <c r="AC4" s="10" t="s">
        <v>282</v>
      </c>
      <c r="AD4" s="10" t="s">
        <v>283</v>
      </c>
      <c r="AE4" s="10" t="s">
        <v>284</v>
      </c>
      <c r="AF4" s="10" t="s">
        <v>285</v>
      </c>
      <c r="AG4" s="10" t="s">
        <v>286</v>
      </c>
      <c r="AH4" s="10" t="s">
        <v>287</v>
      </c>
      <c r="AI4" s="10" t="s">
        <v>288</v>
      </c>
      <c r="AJ4" s="10" t="s">
        <v>289</v>
      </c>
      <c r="AK4" s="10" t="s">
        <v>290</v>
      </c>
      <c r="AL4" s="10" t="s">
        <v>291</v>
      </c>
      <c r="AM4" s="10" t="s">
        <v>292</v>
      </c>
      <c r="AN4" s="10" t="s">
        <v>293</v>
      </c>
      <c r="AO4" s="10" t="s">
        <v>294</v>
      </c>
      <c r="AP4" s="10" t="s">
        <v>295</v>
      </c>
      <c r="AQ4" s="10" t="s">
        <v>296</v>
      </c>
      <c r="AR4" s="10" t="s">
        <v>297</v>
      </c>
      <c r="AS4" s="10" t="s">
        <v>298</v>
      </c>
      <c r="AT4" s="10" t="s">
        <v>299</v>
      </c>
      <c r="AU4" s="10" t="s">
        <v>300</v>
      </c>
      <c r="AV4" s="10" t="s">
        <v>301</v>
      </c>
      <c r="AW4" s="10" t="s">
        <v>57</v>
      </c>
      <c r="AX4" s="10" t="s">
        <v>58</v>
      </c>
      <c r="AY4" s="10" t="s">
        <v>59</v>
      </c>
      <c r="AZ4" s="10" t="s">
        <v>60</v>
      </c>
      <c r="BA4" s="10" t="s">
        <v>61</v>
      </c>
      <c r="BB4" s="10" t="s">
        <v>62</v>
      </c>
      <c r="BC4" s="10" t="s">
        <v>63</v>
      </c>
      <c r="BD4" s="10" t="s">
        <v>64</v>
      </c>
      <c r="BE4" s="10" t="s">
        <v>65</v>
      </c>
      <c r="BF4" s="10" t="s">
        <v>66</v>
      </c>
      <c r="BG4" s="10" t="s">
        <v>67</v>
      </c>
      <c r="BH4" s="10" t="s">
        <v>68</v>
      </c>
      <c r="BI4" s="10" t="s">
        <v>211</v>
      </c>
      <c r="BJ4" s="10" t="s">
        <v>212</v>
      </c>
      <c r="BK4" s="10" t="s">
        <v>213</v>
      </c>
      <c r="BL4" s="10" t="s">
        <v>214</v>
      </c>
      <c r="BM4" s="10" t="s">
        <v>215</v>
      </c>
      <c r="BN4" s="10" t="s">
        <v>216</v>
      </c>
      <c r="BO4" s="10" t="s">
        <v>217</v>
      </c>
      <c r="BP4" s="10" t="s">
        <v>218</v>
      </c>
      <c r="BQ4" s="10" t="s">
        <v>219</v>
      </c>
      <c r="BR4" s="10" t="s">
        <v>220</v>
      </c>
      <c r="BS4" s="10" t="s">
        <v>221</v>
      </c>
      <c r="BT4" s="10" t="s">
        <v>222</v>
      </c>
      <c r="BU4" s="10" t="s">
        <v>223</v>
      </c>
      <c r="BV4" s="10" t="s">
        <v>224</v>
      </c>
      <c r="BW4" s="10" t="s">
        <v>225</v>
      </c>
      <c r="BX4" s="10" t="s">
        <v>226</v>
      </c>
      <c r="BY4" s="10" t="s">
        <v>227</v>
      </c>
      <c r="BZ4" s="10" t="s">
        <v>228</v>
      </c>
      <c r="CA4" s="10" t="s">
        <v>229</v>
      </c>
      <c r="CB4" s="10" t="s">
        <v>306</v>
      </c>
      <c r="CC4" s="10" t="s">
        <v>307</v>
      </c>
      <c r="CD4" s="10" t="s">
        <v>308</v>
      </c>
      <c r="CE4" s="10" t="s">
        <v>309</v>
      </c>
      <c r="CF4" s="10" t="s">
        <v>310</v>
      </c>
      <c r="CG4" s="10" t="s">
        <v>235</v>
      </c>
      <c r="CH4" s="10" t="s">
        <v>236</v>
      </c>
      <c r="CI4" s="10" t="s">
        <v>237</v>
      </c>
      <c r="CJ4" s="10" t="s">
        <v>238</v>
      </c>
      <c r="CK4" s="10" t="s">
        <v>239</v>
      </c>
      <c r="CL4" s="10" t="s">
        <v>240</v>
      </c>
      <c r="CM4" s="10" t="s">
        <v>241</v>
      </c>
      <c r="CN4" s="10" t="s">
        <v>311</v>
      </c>
      <c r="CO4" s="10" t="s">
        <v>312</v>
      </c>
      <c r="CP4" s="10" t="s">
        <v>313</v>
      </c>
      <c r="CQ4" s="10" t="s">
        <v>314</v>
      </c>
      <c r="CR4" s="10" t="s">
        <v>315</v>
      </c>
      <c r="CS4" s="10" t="s">
        <v>247</v>
      </c>
      <c r="CT4" s="10" t="s">
        <v>248</v>
      </c>
      <c r="CU4" s="10" t="s">
        <v>249</v>
      </c>
      <c r="CV4" s="10" t="s">
        <v>250</v>
      </c>
      <c r="CW4" s="10" t="s">
        <v>251</v>
      </c>
      <c r="CX4" s="10" t="s">
        <v>252</v>
      </c>
      <c r="CY4" s="10" t="s">
        <v>253</v>
      </c>
      <c r="CZ4" s="10" t="s">
        <v>254</v>
      </c>
      <c r="DA4" s="10" t="s">
        <v>255</v>
      </c>
      <c r="DB4" s="10" t="s">
        <v>256</v>
      </c>
      <c r="DC4" s="10" t="s">
        <v>257</v>
      </c>
      <c r="DD4" s="10" t="s">
        <v>258</v>
      </c>
      <c r="DE4" s="10" t="s">
        <v>259</v>
      </c>
      <c r="DF4" s="10" t="s">
        <v>260</v>
      </c>
      <c r="DG4" s="10" t="s">
        <v>261</v>
      </c>
      <c r="DH4" s="10" t="s">
        <v>262</v>
      </c>
      <c r="DI4" s="10" t="s">
        <v>263</v>
      </c>
      <c r="DJ4" s="10" t="s">
        <v>264</v>
      </c>
      <c r="DK4" s="10" t="s">
        <v>265</v>
      </c>
      <c r="DL4" s="10" t="s">
        <v>266</v>
      </c>
      <c r="DM4" s="10" t="s">
        <v>267</v>
      </c>
      <c r="DN4" s="10" t="s">
        <v>268</v>
      </c>
      <c r="DO4" s="10" t="s">
        <v>269</v>
      </c>
      <c r="DP4" s="10" t="s">
        <v>270</v>
      </c>
    </row>
    <row r="5" spans="1:120" x14ac:dyDescent="0.3">
      <c r="A5" s="5">
        <f>IF(B5&lt;&gt;"",ROW(A1),"")</f>
        <v>1</v>
      </c>
      <c r="B5" s="3" t="s">
        <v>9</v>
      </c>
      <c r="C5" s="3" t="s">
        <v>10</v>
      </c>
      <c r="D5" s="3" t="s">
        <v>11</v>
      </c>
      <c r="E5" s="3" t="s">
        <v>438</v>
      </c>
      <c r="F5" s="7">
        <v>8024957378</v>
      </c>
      <c r="G5" s="7" t="s">
        <v>13</v>
      </c>
      <c r="H5" s="55" t="s">
        <v>345</v>
      </c>
      <c r="I5" s="148">
        <v>31952</v>
      </c>
      <c r="J5" s="5" t="s">
        <v>560</v>
      </c>
      <c r="K5" s="148">
        <v>45061</v>
      </c>
      <c r="L5" s="5" t="s">
        <v>560</v>
      </c>
      <c r="M5" s="9">
        <v>5007600</v>
      </c>
      <c r="N5" s="9">
        <v>5007600</v>
      </c>
      <c r="O5" s="9">
        <v>5007600</v>
      </c>
      <c r="P5" s="9">
        <v>8000000</v>
      </c>
      <c r="Q5" s="9">
        <v>8000000</v>
      </c>
      <c r="R5" s="9">
        <v>8000000</v>
      </c>
      <c r="S5" s="9">
        <v>8000000</v>
      </c>
      <c r="T5" s="9">
        <v>10000000</v>
      </c>
      <c r="U5" s="9">
        <v>10000000</v>
      </c>
      <c r="V5" s="9">
        <v>10000000</v>
      </c>
      <c r="W5" s="9">
        <v>10000000</v>
      </c>
      <c r="X5" s="9">
        <v>10000000</v>
      </c>
      <c r="Y5" s="9">
        <v>11000000</v>
      </c>
      <c r="Z5" s="9">
        <v>11000000</v>
      </c>
      <c r="AA5" s="9">
        <v>11000000</v>
      </c>
      <c r="AB5" s="9">
        <v>11000000</v>
      </c>
      <c r="AC5" s="9">
        <v>11000000</v>
      </c>
      <c r="AD5" s="9">
        <v>11000000</v>
      </c>
      <c r="AE5" s="9">
        <v>11000000</v>
      </c>
      <c r="AF5" s="9">
        <v>11000000</v>
      </c>
      <c r="AG5" s="9">
        <v>11000000</v>
      </c>
      <c r="AH5" s="9">
        <v>11000000</v>
      </c>
      <c r="AI5" s="9">
        <v>11000000</v>
      </c>
      <c r="AJ5" s="9">
        <v>11000000</v>
      </c>
      <c r="AK5" s="9">
        <v>3600000</v>
      </c>
      <c r="AL5" s="9">
        <v>3600000</v>
      </c>
      <c r="AM5" s="9">
        <v>3600000</v>
      </c>
      <c r="AN5" s="9">
        <v>3600000</v>
      </c>
      <c r="AO5" s="9">
        <v>3600000</v>
      </c>
      <c r="AP5" s="9">
        <v>3600000</v>
      </c>
      <c r="AQ5" s="9">
        <v>3600000</v>
      </c>
      <c r="AR5" s="9">
        <v>3600000</v>
      </c>
      <c r="AS5" s="9">
        <v>3600000</v>
      </c>
      <c r="AT5" s="9">
        <v>3600000</v>
      </c>
      <c r="AU5" s="9">
        <v>3600000</v>
      </c>
      <c r="AV5" s="9">
        <v>3600000</v>
      </c>
      <c r="AW5" s="9">
        <v>5007600</v>
      </c>
      <c r="AX5" s="9">
        <v>5007600</v>
      </c>
      <c r="AY5" s="9">
        <v>5007600</v>
      </c>
      <c r="AZ5" s="9">
        <v>5007600</v>
      </c>
      <c r="BA5" s="9">
        <v>5007600</v>
      </c>
      <c r="BB5" s="9">
        <v>6000000</v>
      </c>
      <c r="BC5" s="9">
        <v>6000000</v>
      </c>
      <c r="BD5" s="9">
        <v>6000000</v>
      </c>
      <c r="BE5" s="9">
        <v>6000000</v>
      </c>
      <c r="BF5" s="9">
        <v>6000000</v>
      </c>
      <c r="BG5" s="9">
        <v>6000000</v>
      </c>
      <c r="BH5" s="9">
        <v>6000000</v>
      </c>
      <c r="BI5" s="9">
        <v>730000</v>
      </c>
      <c r="BJ5" s="9">
        <v>730000</v>
      </c>
      <c r="BK5" s="9">
        <v>730000</v>
      </c>
      <c r="BL5" s="9">
        <v>730000</v>
      </c>
      <c r="BM5" s="9">
        <v>730000</v>
      </c>
      <c r="BN5" s="9">
        <v>730000</v>
      </c>
      <c r="BO5" s="9">
        <v>730000</v>
      </c>
      <c r="BP5" s="9">
        <v>730000</v>
      </c>
      <c r="BQ5" s="9">
        <v>730000</v>
      </c>
      <c r="BR5" s="9">
        <v>730000</v>
      </c>
      <c r="BS5" s="9">
        <v>730000</v>
      </c>
      <c r="BT5" s="9">
        <v>730000</v>
      </c>
      <c r="BU5" s="9">
        <v>500000</v>
      </c>
      <c r="BV5" s="9">
        <v>500000</v>
      </c>
      <c r="BW5" s="9">
        <v>500000</v>
      </c>
      <c r="BX5" s="9">
        <v>500000</v>
      </c>
      <c r="BY5" s="9">
        <v>500000</v>
      </c>
      <c r="BZ5" s="9">
        <v>500000</v>
      </c>
      <c r="CA5" s="9">
        <v>500000</v>
      </c>
      <c r="CB5" s="9">
        <v>500000</v>
      </c>
      <c r="CC5" s="9">
        <v>500000</v>
      </c>
      <c r="CD5" s="9">
        <v>500000</v>
      </c>
      <c r="CE5" s="9">
        <v>500000</v>
      </c>
      <c r="CF5" s="9">
        <v>500000</v>
      </c>
      <c r="CG5" s="3">
        <v>0</v>
      </c>
      <c r="CH5" s="3">
        <v>0</v>
      </c>
      <c r="CI5" s="3">
        <v>0</v>
      </c>
      <c r="CJ5" s="3">
        <v>0</v>
      </c>
      <c r="CK5" s="3">
        <v>0</v>
      </c>
      <c r="CL5" s="3">
        <v>0</v>
      </c>
      <c r="CM5" s="3">
        <v>0</v>
      </c>
      <c r="CN5" s="3">
        <v>0</v>
      </c>
      <c r="CO5" s="3">
        <v>0</v>
      </c>
      <c r="CP5" s="3">
        <v>0</v>
      </c>
      <c r="CQ5" s="3">
        <v>0</v>
      </c>
      <c r="CR5" s="3">
        <v>0</v>
      </c>
      <c r="CS5" s="9">
        <v>1200000</v>
      </c>
      <c r="CT5" s="9">
        <v>1200000</v>
      </c>
      <c r="CU5" s="9">
        <v>1200000</v>
      </c>
      <c r="CV5" s="9">
        <v>1200000</v>
      </c>
      <c r="CW5" s="9">
        <v>1200000</v>
      </c>
      <c r="CX5" s="9">
        <v>1200000</v>
      </c>
      <c r="CY5" s="9">
        <v>1200000</v>
      </c>
      <c r="CZ5" s="9">
        <v>1200000</v>
      </c>
      <c r="DA5" s="9">
        <v>1200000</v>
      </c>
      <c r="DB5" s="9">
        <v>1200000</v>
      </c>
      <c r="DC5" s="9">
        <v>1200000</v>
      </c>
      <c r="DD5" s="9">
        <v>1200000</v>
      </c>
      <c r="DE5" s="9">
        <v>30000000</v>
      </c>
      <c r="DF5" s="9">
        <v>30000000</v>
      </c>
      <c r="DG5" s="9">
        <v>30000000</v>
      </c>
      <c r="DH5" s="9">
        <v>30000000</v>
      </c>
      <c r="DI5" s="9">
        <v>30000000</v>
      </c>
      <c r="DJ5" s="9">
        <v>30000000</v>
      </c>
      <c r="DK5" s="9">
        <v>30000000</v>
      </c>
      <c r="DL5" s="9">
        <v>30000000</v>
      </c>
      <c r="DM5" s="9">
        <v>30000000</v>
      </c>
      <c r="DN5" s="9">
        <v>30000000</v>
      </c>
      <c r="DO5" s="9">
        <v>30000000</v>
      </c>
      <c r="DP5" s="9">
        <v>30000000</v>
      </c>
    </row>
    <row r="6" spans="1:120" x14ac:dyDescent="0.3">
      <c r="A6" s="5">
        <f t="shared" ref="A6:A19" si="0">IF(B6&lt;&gt;"",ROW(A2),"")</f>
        <v>2</v>
      </c>
      <c r="B6" s="3" t="s">
        <v>14</v>
      </c>
      <c r="C6" s="3" t="s">
        <v>15</v>
      </c>
      <c r="D6" s="3" t="s">
        <v>16</v>
      </c>
      <c r="E6" s="3" t="s">
        <v>438</v>
      </c>
      <c r="F6" s="7">
        <v>8130701561</v>
      </c>
      <c r="G6" s="7" t="s">
        <v>18</v>
      </c>
      <c r="H6" s="55" t="s">
        <v>345</v>
      </c>
      <c r="I6" s="148">
        <v>36091</v>
      </c>
      <c r="J6" s="5" t="s">
        <v>560</v>
      </c>
      <c r="K6" s="148">
        <v>45061</v>
      </c>
      <c r="L6" s="5" t="s">
        <v>560</v>
      </c>
      <c r="M6" s="9">
        <v>5007600</v>
      </c>
      <c r="N6" s="9">
        <v>5007600</v>
      </c>
      <c r="O6" s="9">
        <v>5007600</v>
      </c>
      <c r="P6" s="9">
        <v>8500000</v>
      </c>
      <c r="Q6" s="9">
        <v>8500000</v>
      </c>
      <c r="R6" s="9">
        <v>8500000</v>
      </c>
      <c r="S6" s="9">
        <v>8500000</v>
      </c>
      <c r="T6" s="9">
        <v>11000000</v>
      </c>
      <c r="U6" s="9">
        <v>11000000</v>
      </c>
      <c r="V6" s="9">
        <v>11000000</v>
      </c>
      <c r="W6" s="9">
        <v>11000000</v>
      </c>
      <c r="X6" s="9">
        <v>11000000</v>
      </c>
      <c r="Y6" s="9">
        <v>11000000</v>
      </c>
      <c r="Z6" s="9">
        <v>11000000</v>
      </c>
      <c r="AA6" s="9">
        <v>11000000</v>
      </c>
      <c r="AB6" s="9">
        <v>11000000</v>
      </c>
      <c r="AC6" s="9">
        <v>11000000</v>
      </c>
      <c r="AD6" s="9">
        <v>11000000</v>
      </c>
      <c r="AE6" s="9">
        <v>11000000</v>
      </c>
      <c r="AF6" s="9">
        <v>11000000</v>
      </c>
      <c r="AG6" s="9">
        <v>11000000</v>
      </c>
      <c r="AH6" s="9">
        <v>11000000</v>
      </c>
      <c r="AI6" s="9">
        <v>11000000</v>
      </c>
      <c r="AJ6" s="9">
        <v>11000000</v>
      </c>
      <c r="AK6" s="9">
        <v>3600000</v>
      </c>
      <c r="AL6" s="9">
        <v>3600000</v>
      </c>
      <c r="AM6" s="9">
        <v>3600000</v>
      </c>
      <c r="AN6" s="9">
        <v>3600000</v>
      </c>
      <c r="AO6" s="9">
        <v>3600000</v>
      </c>
      <c r="AP6" s="9">
        <v>3600000</v>
      </c>
      <c r="AQ6" s="9">
        <v>3600000</v>
      </c>
      <c r="AR6" s="9">
        <v>3600000</v>
      </c>
      <c r="AS6" s="9">
        <v>3600000</v>
      </c>
      <c r="AT6" s="9">
        <v>3600000</v>
      </c>
      <c r="AU6" s="9">
        <v>3600000</v>
      </c>
      <c r="AV6" s="9">
        <v>3600000</v>
      </c>
      <c r="AW6" s="9">
        <v>5007600</v>
      </c>
      <c r="AX6" s="9">
        <v>5007600</v>
      </c>
      <c r="AY6" s="9">
        <v>5007600</v>
      </c>
      <c r="AZ6" s="9">
        <v>5007600</v>
      </c>
      <c r="BA6" s="9">
        <v>5007600</v>
      </c>
      <c r="BB6" s="9">
        <v>6000000</v>
      </c>
      <c r="BC6" s="9">
        <v>6000000</v>
      </c>
      <c r="BD6" s="9">
        <v>6000000</v>
      </c>
      <c r="BE6" s="9">
        <v>6000000</v>
      </c>
      <c r="BF6" s="9">
        <v>6000000</v>
      </c>
      <c r="BG6" s="9">
        <v>6000000</v>
      </c>
      <c r="BH6" s="9">
        <v>6000000</v>
      </c>
      <c r="BI6" s="9">
        <v>730000</v>
      </c>
      <c r="BJ6" s="9">
        <v>730000</v>
      </c>
      <c r="BK6" s="9">
        <v>730000</v>
      </c>
      <c r="BL6" s="9">
        <v>730000</v>
      </c>
      <c r="BM6" s="9">
        <v>730000</v>
      </c>
      <c r="BN6" s="9">
        <v>730000</v>
      </c>
      <c r="BO6" s="9">
        <v>730000</v>
      </c>
      <c r="BP6" s="9">
        <v>730000</v>
      </c>
      <c r="BQ6" s="9">
        <v>730000</v>
      </c>
      <c r="BR6" s="9">
        <v>730000</v>
      </c>
      <c r="BS6" s="9">
        <v>730000</v>
      </c>
      <c r="BT6" s="9">
        <v>730000</v>
      </c>
      <c r="BU6" s="9">
        <v>500000</v>
      </c>
      <c r="BV6" s="9">
        <v>500000</v>
      </c>
      <c r="BW6" s="9">
        <v>500000</v>
      </c>
      <c r="BX6" s="9">
        <v>500000</v>
      </c>
      <c r="BY6" s="9">
        <v>500000</v>
      </c>
      <c r="BZ6" s="9">
        <v>500000</v>
      </c>
      <c r="CA6" s="9">
        <v>500000</v>
      </c>
      <c r="CB6" s="9">
        <v>500000</v>
      </c>
      <c r="CC6" s="9">
        <v>500000</v>
      </c>
      <c r="CD6" s="9">
        <v>500000</v>
      </c>
      <c r="CE6" s="9">
        <v>500000</v>
      </c>
      <c r="CF6" s="9">
        <v>500000</v>
      </c>
      <c r="CG6" s="3">
        <v>0</v>
      </c>
      <c r="CH6" s="3">
        <v>0</v>
      </c>
      <c r="CI6" s="3">
        <v>0</v>
      </c>
      <c r="CJ6" s="3">
        <v>0</v>
      </c>
      <c r="CK6" s="3">
        <v>0</v>
      </c>
      <c r="CL6" s="3">
        <v>0</v>
      </c>
      <c r="CM6" s="3">
        <v>0</v>
      </c>
      <c r="CN6" s="3">
        <v>0</v>
      </c>
      <c r="CO6" s="3">
        <v>0</v>
      </c>
      <c r="CP6" s="3">
        <v>0</v>
      </c>
      <c r="CQ6" s="3">
        <v>0</v>
      </c>
      <c r="CR6" s="3">
        <v>0</v>
      </c>
      <c r="CS6" s="9">
        <v>1200000</v>
      </c>
      <c r="CT6" s="9">
        <v>1200000</v>
      </c>
      <c r="CU6" s="9">
        <v>1200000</v>
      </c>
      <c r="CV6" s="9">
        <v>1200000</v>
      </c>
      <c r="CW6" s="9">
        <v>1200000</v>
      </c>
      <c r="CX6" s="9">
        <v>1200000</v>
      </c>
      <c r="CY6" s="9">
        <v>1200000</v>
      </c>
      <c r="CZ6" s="9">
        <v>1200000</v>
      </c>
      <c r="DA6" s="9">
        <v>1200000</v>
      </c>
      <c r="DB6" s="9">
        <v>1200000</v>
      </c>
      <c r="DC6" s="9">
        <v>1200000</v>
      </c>
      <c r="DD6" s="9">
        <v>1200000</v>
      </c>
      <c r="DE6" s="9">
        <v>3500000</v>
      </c>
      <c r="DF6" s="9">
        <v>3500000</v>
      </c>
      <c r="DG6" s="9">
        <v>3500000</v>
      </c>
      <c r="DH6" s="9">
        <v>3500000</v>
      </c>
      <c r="DI6" s="9">
        <v>3500000</v>
      </c>
      <c r="DJ6" s="9">
        <v>3500000</v>
      </c>
      <c r="DK6" s="9">
        <v>3500000</v>
      </c>
      <c r="DL6" s="9">
        <v>3500000</v>
      </c>
      <c r="DM6" s="9">
        <v>3500000</v>
      </c>
      <c r="DN6" s="9">
        <v>3500000</v>
      </c>
      <c r="DO6" s="9">
        <v>3500000</v>
      </c>
      <c r="DP6" s="9">
        <v>3500000</v>
      </c>
    </row>
    <row r="7" spans="1:120" x14ac:dyDescent="0.3">
      <c r="A7" s="5">
        <f t="shared" si="0"/>
        <v>3</v>
      </c>
      <c r="B7" s="3" t="s">
        <v>19</v>
      </c>
      <c r="C7" s="3" t="s">
        <v>20</v>
      </c>
      <c r="D7" s="3" t="s">
        <v>21</v>
      </c>
      <c r="E7" s="3" t="s">
        <v>438</v>
      </c>
      <c r="F7" s="7">
        <v>8083172501</v>
      </c>
      <c r="G7" s="7" t="s">
        <v>23</v>
      </c>
      <c r="H7" s="55" t="s">
        <v>345</v>
      </c>
      <c r="I7" s="148">
        <v>31713</v>
      </c>
      <c r="J7" s="5" t="s">
        <v>559</v>
      </c>
      <c r="K7" s="148">
        <v>45061</v>
      </c>
      <c r="L7" s="5" t="s">
        <v>559</v>
      </c>
      <c r="M7" s="9">
        <v>5007600</v>
      </c>
      <c r="N7" s="9">
        <v>5007600</v>
      </c>
      <c r="O7" s="9">
        <v>5007600</v>
      </c>
      <c r="P7" s="9">
        <v>8500000</v>
      </c>
      <c r="Q7" s="9">
        <v>8500000</v>
      </c>
      <c r="R7" s="9">
        <v>8500000</v>
      </c>
      <c r="S7" s="9">
        <v>8500000</v>
      </c>
      <c r="T7" s="9">
        <v>11000000</v>
      </c>
      <c r="U7" s="9">
        <v>11000000</v>
      </c>
      <c r="V7" s="9">
        <v>11000000</v>
      </c>
      <c r="W7" s="9">
        <v>11000000</v>
      </c>
      <c r="X7" s="9">
        <v>11000000</v>
      </c>
      <c r="Y7" s="9">
        <v>11000000</v>
      </c>
      <c r="Z7" s="9">
        <v>11000000</v>
      </c>
      <c r="AA7" s="9">
        <v>11000000</v>
      </c>
      <c r="AB7" s="9">
        <v>11000000</v>
      </c>
      <c r="AC7" s="9">
        <v>11000000</v>
      </c>
      <c r="AD7" s="9">
        <v>11000000</v>
      </c>
      <c r="AE7" s="9">
        <v>11000000</v>
      </c>
      <c r="AF7" s="9">
        <v>11000000</v>
      </c>
      <c r="AG7" s="9">
        <v>11000000</v>
      </c>
      <c r="AH7" s="9">
        <v>11000000</v>
      </c>
      <c r="AI7" s="9">
        <v>11000000</v>
      </c>
      <c r="AJ7" s="9">
        <v>11000000</v>
      </c>
      <c r="AK7" s="9">
        <v>3600000</v>
      </c>
      <c r="AL7" s="9">
        <v>3600000</v>
      </c>
      <c r="AM7" s="9">
        <v>3600000</v>
      </c>
      <c r="AN7" s="9">
        <v>3600000</v>
      </c>
      <c r="AO7" s="9">
        <v>3600000</v>
      </c>
      <c r="AP7" s="9">
        <v>3600000</v>
      </c>
      <c r="AQ7" s="9">
        <v>3600000</v>
      </c>
      <c r="AR7" s="9">
        <v>3600000</v>
      </c>
      <c r="AS7" s="9">
        <v>3600000</v>
      </c>
      <c r="AT7" s="9">
        <v>3600000</v>
      </c>
      <c r="AU7" s="9">
        <v>3600000</v>
      </c>
      <c r="AV7" s="9">
        <v>3600000</v>
      </c>
      <c r="AW7" s="9">
        <v>5007600</v>
      </c>
      <c r="AX7" s="9">
        <v>5007600</v>
      </c>
      <c r="AY7" s="9">
        <v>5007600</v>
      </c>
      <c r="AZ7" s="9">
        <v>5007600</v>
      </c>
      <c r="BA7" s="9">
        <v>5007600</v>
      </c>
      <c r="BB7" s="9">
        <v>6000000</v>
      </c>
      <c r="BC7" s="9">
        <v>6000000</v>
      </c>
      <c r="BD7" s="9">
        <v>6000000</v>
      </c>
      <c r="BE7" s="9">
        <v>6000000</v>
      </c>
      <c r="BF7" s="9">
        <v>6000000</v>
      </c>
      <c r="BG7" s="9">
        <v>6000000</v>
      </c>
      <c r="BH7" s="9">
        <v>6000000</v>
      </c>
      <c r="BI7" s="9">
        <v>730000</v>
      </c>
      <c r="BJ7" s="9">
        <v>730000</v>
      </c>
      <c r="BK7" s="9">
        <v>730000</v>
      </c>
      <c r="BL7" s="9">
        <v>730000</v>
      </c>
      <c r="BM7" s="9">
        <v>730000</v>
      </c>
      <c r="BN7" s="9">
        <v>730000</v>
      </c>
      <c r="BO7" s="9">
        <v>730000</v>
      </c>
      <c r="BP7" s="9">
        <v>730000</v>
      </c>
      <c r="BQ7" s="9">
        <v>730000</v>
      </c>
      <c r="BR7" s="9">
        <v>730000</v>
      </c>
      <c r="BS7" s="9">
        <v>730000</v>
      </c>
      <c r="BT7" s="9">
        <v>730000</v>
      </c>
      <c r="BU7" s="9">
        <v>500000</v>
      </c>
      <c r="BV7" s="9">
        <v>500000</v>
      </c>
      <c r="BW7" s="9">
        <v>500000</v>
      </c>
      <c r="BX7" s="9">
        <v>500000</v>
      </c>
      <c r="BY7" s="9">
        <v>500000</v>
      </c>
      <c r="BZ7" s="9">
        <v>500000</v>
      </c>
      <c r="CA7" s="9">
        <v>500000</v>
      </c>
      <c r="CB7" s="9">
        <v>500000</v>
      </c>
      <c r="CC7" s="9">
        <v>500000</v>
      </c>
      <c r="CD7" s="9">
        <v>500000</v>
      </c>
      <c r="CE7" s="9">
        <v>500000</v>
      </c>
      <c r="CF7" s="9">
        <v>500000</v>
      </c>
      <c r="CG7" s="3">
        <v>0</v>
      </c>
      <c r="CH7" s="3">
        <v>0</v>
      </c>
      <c r="CI7" s="3">
        <v>0</v>
      </c>
      <c r="CJ7" s="3">
        <v>0</v>
      </c>
      <c r="CK7" s="3">
        <v>0</v>
      </c>
      <c r="CL7" s="3">
        <v>0</v>
      </c>
      <c r="CM7" s="3">
        <v>0</v>
      </c>
      <c r="CN7" s="3">
        <v>0</v>
      </c>
      <c r="CO7" s="3">
        <v>0</v>
      </c>
      <c r="CP7" s="3">
        <v>0</v>
      </c>
      <c r="CQ7" s="3">
        <v>0</v>
      </c>
      <c r="CR7" s="3">
        <v>0</v>
      </c>
      <c r="CS7" s="9">
        <v>1200000</v>
      </c>
      <c r="CT7" s="9">
        <v>1200000</v>
      </c>
      <c r="CU7" s="9">
        <v>1200000</v>
      </c>
      <c r="CV7" s="9">
        <v>1200000</v>
      </c>
      <c r="CW7" s="9">
        <v>1200000</v>
      </c>
      <c r="CX7" s="9">
        <v>1200000</v>
      </c>
      <c r="CY7" s="9">
        <v>1200000</v>
      </c>
      <c r="CZ7" s="9">
        <v>1200000</v>
      </c>
      <c r="DA7" s="9">
        <v>1200000</v>
      </c>
      <c r="DB7" s="9">
        <v>1200000</v>
      </c>
      <c r="DC7" s="9">
        <v>1200000</v>
      </c>
      <c r="DD7" s="9">
        <v>1200000</v>
      </c>
      <c r="DE7" s="9">
        <v>3500000</v>
      </c>
      <c r="DF7" s="9">
        <v>3500000</v>
      </c>
      <c r="DG7" s="9">
        <v>3500000</v>
      </c>
      <c r="DH7" s="9">
        <v>3500000</v>
      </c>
      <c r="DI7" s="9">
        <v>3500000</v>
      </c>
      <c r="DJ7" s="9">
        <v>3500000</v>
      </c>
      <c r="DK7" s="9">
        <v>3500000</v>
      </c>
      <c r="DL7" s="9">
        <v>3500000</v>
      </c>
      <c r="DM7" s="9">
        <v>3500000</v>
      </c>
      <c r="DN7" s="9">
        <v>3500000</v>
      </c>
      <c r="DO7" s="9">
        <v>3500000</v>
      </c>
      <c r="DP7" s="9">
        <v>3500000</v>
      </c>
    </row>
    <row r="8" spans="1:120" x14ac:dyDescent="0.3">
      <c r="A8" s="5">
        <f t="shared" si="0"/>
        <v>4</v>
      </c>
      <c r="B8" s="3" t="s">
        <v>24</v>
      </c>
      <c r="C8" s="3" t="s">
        <v>25</v>
      </c>
      <c r="D8" s="3" t="s">
        <v>26</v>
      </c>
      <c r="E8" s="3" t="s">
        <v>439</v>
      </c>
      <c r="F8" s="7">
        <v>8481561673</v>
      </c>
      <c r="G8" s="7" t="s">
        <v>28</v>
      </c>
      <c r="H8" s="55" t="s">
        <v>345</v>
      </c>
      <c r="I8" s="148">
        <v>31107</v>
      </c>
      <c r="J8" s="5" t="s">
        <v>559</v>
      </c>
      <c r="K8" s="148">
        <v>45061</v>
      </c>
      <c r="L8" s="5" t="s">
        <v>559</v>
      </c>
      <c r="M8" s="9">
        <v>5007600</v>
      </c>
      <c r="N8" s="9">
        <v>5007600</v>
      </c>
      <c r="O8" s="9">
        <v>5007600</v>
      </c>
      <c r="P8" s="9">
        <v>5007600</v>
      </c>
      <c r="Q8" s="9">
        <v>5007600</v>
      </c>
      <c r="R8" s="9">
        <v>5007600</v>
      </c>
      <c r="S8" s="9">
        <v>5007600</v>
      </c>
      <c r="T8" s="9">
        <v>5007600</v>
      </c>
      <c r="U8" s="9">
        <v>5007600</v>
      </c>
      <c r="V8" s="9">
        <v>5007600</v>
      </c>
      <c r="W8" s="9">
        <v>5007600</v>
      </c>
      <c r="X8" s="9">
        <v>5007600</v>
      </c>
      <c r="Y8" s="9">
        <v>11000000</v>
      </c>
      <c r="Z8" s="9">
        <v>11000000</v>
      </c>
      <c r="AA8" s="9">
        <v>11000000</v>
      </c>
      <c r="AB8" s="9">
        <v>11000000</v>
      </c>
      <c r="AC8" s="9">
        <v>11000000</v>
      </c>
      <c r="AD8" s="9">
        <v>11000000</v>
      </c>
      <c r="AE8" s="9">
        <v>11000000</v>
      </c>
      <c r="AF8" s="9">
        <v>11000000</v>
      </c>
      <c r="AG8" s="9">
        <v>11000000</v>
      </c>
      <c r="AH8" s="9">
        <v>11000000</v>
      </c>
      <c r="AI8" s="9">
        <v>11000000</v>
      </c>
      <c r="AJ8" s="9">
        <v>11000000</v>
      </c>
      <c r="AK8" s="9">
        <v>3600000</v>
      </c>
      <c r="AL8" s="9">
        <v>3600000</v>
      </c>
      <c r="AM8" s="9">
        <v>3600000</v>
      </c>
      <c r="AN8" s="9">
        <v>3600000</v>
      </c>
      <c r="AO8" s="9">
        <v>3600000</v>
      </c>
      <c r="AP8" s="9">
        <v>3600000</v>
      </c>
      <c r="AQ8" s="9">
        <v>3600000</v>
      </c>
      <c r="AR8" s="9">
        <v>3600000</v>
      </c>
      <c r="AS8" s="9">
        <v>3600000</v>
      </c>
      <c r="AT8" s="9">
        <v>3600000</v>
      </c>
      <c r="AU8" s="9">
        <v>3600000</v>
      </c>
      <c r="AV8" s="9">
        <v>3600000</v>
      </c>
      <c r="AW8" s="9">
        <v>5007600</v>
      </c>
      <c r="AX8" s="9">
        <v>5007600</v>
      </c>
      <c r="AY8" s="9">
        <v>5007600</v>
      </c>
      <c r="AZ8" s="9">
        <v>5007600</v>
      </c>
      <c r="BA8" s="9">
        <v>5007600</v>
      </c>
      <c r="BB8" s="9">
        <v>6000000</v>
      </c>
      <c r="BC8" s="9">
        <v>6000000</v>
      </c>
      <c r="BD8" s="9">
        <v>6000000</v>
      </c>
      <c r="BE8" s="9">
        <v>6000000</v>
      </c>
      <c r="BF8" s="9">
        <v>6000000</v>
      </c>
      <c r="BG8" s="9">
        <v>6000000</v>
      </c>
      <c r="BH8" s="9">
        <v>6000000</v>
      </c>
      <c r="BI8" s="9">
        <v>730000</v>
      </c>
      <c r="BJ8" s="9">
        <v>730000</v>
      </c>
      <c r="BK8" s="9">
        <v>730000</v>
      </c>
      <c r="BL8" s="9">
        <v>730000</v>
      </c>
      <c r="BM8" s="9">
        <v>730000</v>
      </c>
      <c r="BN8" s="9">
        <v>730000</v>
      </c>
      <c r="BO8" s="9">
        <v>730000</v>
      </c>
      <c r="BP8" s="9">
        <v>730000</v>
      </c>
      <c r="BQ8" s="9">
        <v>730000</v>
      </c>
      <c r="BR8" s="9">
        <v>730000</v>
      </c>
      <c r="BS8" s="9">
        <v>730000</v>
      </c>
      <c r="BT8" s="9">
        <v>730000</v>
      </c>
      <c r="BU8" s="9">
        <v>500000</v>
      </c>
      <c r="BV8" s="9">
        <v>500000</v>
      </c>
      <c r="BW8" s="9">
        <v>500000</v>
      </c>
      <c r="BX8" s="9">
        <v>500000</v>
      </c>
      <c r="BY8" s="9">
        <v>500000</v>
      </c>
      <c r="BZ8" s="9">
        <v>500000</v>
      </c>
      <c r="CA8" s="9">
        <v>500000</v>
      </c>
      <c r="CB8" s="9">
        <v>500000</v>
      </c>
      <c r="CC8" s="9">
        <v>500000</v>
      </c>
      <c r="CD8" s="9">
        <v>500000</v>
      </c>
      <c r="CE8" s="9">
        <v>500000</v>
      </c>
      <c r="CF8" s="9">
        <v>500000</v>
      </c>
      <c r="CG8" s="3">
        <v>0</v>
      </c>
      <c r="CH8" s="3">
        <v>0</v>
      </c>
      <c r="CI8" s="3">
        <v>0</v>
      </c>
      <c r="CJ8" s="3">
        <v>0</v>
      </c>
      <c r="CK8" s="3">
        <v>0</v>
      </c>
      <c r="CL8" s="3">
        <v>0</v>
      </c>
      <c r="CM8" s="3">
        <v>0</v>
      </c>
      <c r="CN8" s="3">
        <v>0</v>
      </c>
      <c r="CO8" s="3">
        <v>0</v>
      </c>
      <c r="CP8" s="3">
        <v>0</v>
      </c>
      <c r="CQ8" s="3">
        <v>0</v>
      </c>
      <c r="CR8" s="3">
        <v>0</v>
      </c>
      <c r="CS8" s="9">
        <v>1200000</v>
      </c>
      <c r="CT8" s="9">
        <v>1200000</v>
      </c>
      <c r="CU8" s="9">
        <v>1200000</v>
      </c>
      <c r="CV8" s="9">
        <v>1200000</v>
      </c>
      <c r="CW8" s="9">
        <v>1200000</v>
      </c>
      <c r="CX8" s="9">
        <v>1200000</v>
      </c>
      <c r="CY8" s="9">
        <v>1200000</v>
      </c>
      <c r="CZ8" s="9">
        <v>1200000</v>
      </c>
      <c r="DA8" s="9">
        <v>1200000</v>
      </c>
      <c r="DB8" s="9">
        <v>1200000</v>
      </c>
      <c r="DC8" s="9">
        <v>1200000</v>
      </c>
      <c r="DD8" s="9">
        <v>1200000</v>
      </c>
      <c r="DE8" s="9">
        <v>3500000</v>
      </c>
      <c r="DF8" s="9">
        <v>3500000</v>
      </c>
      <c r="DG8" s="9">
        <v>3500000</v>
      </c>
      <c r="DH8" s="9">
        <v>3500000</v>
      </c>
      <c r="DI8" s="9">
        <v>3500000</v>
      </c>
      <c r="DJ8" s="9">
        <v>3500000</v>
      </c>
      <c r="DK8" s="9">
        <v>3500000</v>
      </c>
      <c r="DL8" s="9">
        <v>3500000</v>
      </c>
      <c r="DM8" s="9">
        <v>3500000</v>
      </c>
      <c r="DN8" s="9">
        <v>3500000</v>
      </c>
      <c r="DO8" s="9">
        <v>3500000</v>
      </c>
      <c r="DP8" s="9">
        <v>3500000</v>
      </c>
    </row>
    <row r="9" spans="1:120" x14ac:dyDescent="0.3">
      <c r="A9" s="5">
        <f t="shared" si="0"/>
        <v>5</v>
      </c>
      <c r="B9" s="3" t="s">
        <v>29</v>
      </c>
      <c r="C9" s="3" t="s">
        <v>30</v>
      </c>
      <c r="D9" s="3" t="s">
        <v>26</v>
      </c>
      <c r="E9" s="3" t="s">
        <v>439</v>
      </c>
      <c r="F9" s="7">
        <v>8485445999</v>
      </c>
      <c r="G9" s="7" t="s">
        <v>31</v>
      </c>
      <c r="H9" s="55" t="s">
        <v>345</v>
      </c>
      <c r="I9" s="148">
        <v>31681</v>
      </c>
      <c r="J9" s="5" t="s">
        <v>561</v>
      </c>
      <c r="K9" s="148">
        <v>45061</v>
      </c>
      <c r="L9" s="5" t="s">
        <v>561</v>
      </c>
      <c r="M9" s="9">
        <v>5007600</v>
      </c>
      <c r="N9" s="9">
        <v>5007600</v>
      </c>
      <c r="O9" s="9">
        <v>5007600</v>
      </c>
      <c r="P9" s="9">
        <v>5007600</v>
      </c>
      <c r="Q9" s="9">
        <v>5007600</v>
      </c>
      <c r="R9" s="9">
        <v>5007600</v>
      </c>
      <c r="S9" s="9">
        <v>5007600</v>
      </c>
      <c r="T9" s="9">
        <v>5007600</v>
      </c>
      <c r="U9" s="9">
        <v>5007600</v>
      </c>
      <c r="V9" s="9">
        <v>5007600</v>
      </c>
      <c r="W9" s="9">
        <v>5007600</v>
      </c>
      <c r="X9" s="9">
        <v>5007600</v>
      </c>
      <c r="Y9" s="9">
        <v>11000000</v>
      </c>
      <c r="Z9" s="9">
        <v>11000000</v>
      </c>
      <c r="AA9" s="9">
        <v>11000000</v>
      </c>
      <c r="AB9" s="9">
        <v>11000000</v>
      </c>
      <c r="AC9" s="9">
        <v>11000000</v>
      </c>
      <c r="AD9" s="9">
        <v>11000000</v>
      </c>
      <c r="AE9" s="9">
        <v>11000000</v>
      </c>
      <c r="AF9" s="9">
        <v>11000000</v>
      </c>
      <c r="AG9" s="9">
        <v>11000000</v>
      </c>
      <c r="AH9" s="9">
        <v>11000000</v>
      </c>
      <c r="AI9" s="9">
        <v>11000000</v>
      </c>
      <c r="AJ9" s="9">
        <v>11000000</v>
      </c>
      <c r="AK9" s="9">
        <v>3600000</v>
      </c>
      <c r="AL9" s="9">
        <v>3600000</v>
      </c>
      <c r="AM9" s="9">
        <v>3600000</v>
      </c>
      <c r="AN9" s="9">
        <v>3600000</v>
      </c>
      <c r="AO9" s="9">
        <v>3600000</v>
      </c>
      <c r="AP9" s="9">
        <v>3600000</v>
      </c>
      <c r="AQ9" s="9">
        <v>3600000</v>
      </c>
      <c r="AR9" s="9">
        <v>3600000</v>
      </c>
      <c r="AS9" s="9">
        <v>3600000</v>
      </c>
      <c r="AT9" s="9">
        <v>3600000</v>
      </c>
      <c r="AU9" s="9">
        <v>3600000</v>
      </c>
      <c r="AV9" s="9">
        <v>3600000</v>
      </c>
      <c r="AW9" s="9">
        <v>5007600</v>
      </c>
      <c r="AX9" s="9">
        <v>5007600</v>
      </c>
      <c r="AY9" s="9">
        <v>5007600</v>
      </c>
      <c r="AZ9" s="9">
        <v>5007600</v>
      </c>
      <c r="BA9" s="9">
        <v>5007600</v>
      </c>
      <c r="BB9" s="9">
        <v>6000000</v>
      </c>
      <c r="BC9" s="9">
        <v>6000000</v>
      </c>
      <c r="BD9" s="9">
        <v>6000000</v>
      </c>
      <c r="BE9" s="9">
        <v>6000000</v>
      </c>
      <c r="BF9" s="9">
        <v>6000000</v>
      </c>
      <c r="BG9" s="9">
        <v>6000000</v>
      </c>
      <c r="BH9" s="9">
        <v>6000000</v>
      </c>
      <c r="BI9" s="9">
        <v>730000</v>
      </c>
      <c r="BJ9" s="9">
        <v>730000</v>
      </c>
      <c r="BK9" s="9">
        <v>730000</v>
      </c>
      <c r="BL9" s="9">
        <v>730000</v>
      </c>
      <c r="BM9" s="9">
        <v>730000</v>
      </c>
      <c r="BN9" s="9">
        <v>730000</v>
      </c>
      <c r="BO9" s="9">
        <v>730000</v>
      </c>
      <c r="BP9" s="9">
        <v>730000</v>
      </c>
      <c r="BQ9" s="9">
        <v>730000</v>
      </c>
      <c r="BR9" s="9">
        <v>730000</v>
      </c>
      <c r="BS9" s="9">
        <v>730000</v>
      </c>
      <c r="BT9" s="9">
        <v>730000</v>
      </c>
      <c r="BU9" s="9">
        <v>500000</v>
      </c>
      <c r="BV9" s="9">
        <v>500000</v>
      </c>
      <c r="BW9" s="9">
        <v>500000</v>
      </c>
      <c r="BX9" s="9">
        <v>500000</v>
      </c>
      <c r="BY9" s="9">
        <v>500000</v>
      </c>
      <c r="BZ9" s="9">
        <v>500000</v>
      </c>
      <c r="CA9" s="9">
        <v>500000</v>
      </c>
      <c r="CB9" s="9">
        <v>500000</v>
      </c>
      <c r="CC9" s="9">
        <v>500000</v>
      </c>
      <c r="CD9" s="9">
        <v>500000</v>
      </c>
      <c r="CE9" s="9">
        <v>500000</v>
      </c>
      <c r="CF9" s="9">
        <v>500000</v>
      </c>
      <c r="CG9" s="3">
        <v>0</v>
      </c>
      <c r="CH9" s="3">
        <v>0</v>
      </c>
      <c r="CI9" s="3">
        <v>0</v>
      </c>
      <c r="CJ9" s="3">
        <v>0</v>
      </c>
      <c r="CK9" s="3">
        <v>0</v>
      </c>
      <c r="CL9" s="3">
        <v>0</v>
      </c>
      <c r="CM9" s="3">
        <v>0</v>
      </c>
      <c r="CN9" s="3">
        <v>0</v>
      </c>
      <c r="CO9" s="3">
        <v>0</v>
      </c>
      <c r="CP9" s="3">
        <v>0</v>
      </c>
      <c r="CQ9" s="3">
        <v>0</v>
      </c>
      <c r="CR9" s="3">
        <v>0</v>
      </c>
      <c r="CS9" s="9">
        <v>1200000</v>
      </c>
      <c r="CT9" s="9">
        <v>1200000</v>
      </c>
      <c r="CU9" s="9">
        <v>1200000</v>
      </c>
      <c r="CV9" s="9">
        <v>1200000</v>
      </c>
      <c r="CW9" s="9">
        <v>1200000</v>
      </c>
      <c r="CX9" s="9">
        <v>1200000</v>
      </c>
      <c r="CY9" s="9">
        <v>1200000</v>
      </c>
      <c r="CZ9" s="9">
        <v>1200000</v>
      </c>
      <c r="DA9" s="9">
        <v>1200000</v>
      </c>
      <c r="DB9" s="9">
        <v>1200000</v>
      </c>
      <c r="DC9" s="9">
        <v>1200000</v>
      </c>
      <c r="DD9" s="9">
        <v>1200000</v>
      </c>
      <c r="DE9" s="9">
        <v>3500000</v>
      </c>
      <c r="DF9" s="9">
        <v>3500000</v>
      </c>
      <c r="DG9" s="9">
        <v>3500000</v>
      </c>
      <c r="DH9" s="9">
        <v>3500000</v>
      </c>
      <c r="DI9" s="9">
        <v>3500000</v>
      </c>
      <c r="DJ9" s="9">
        <v>3500000</v>
      </c>
      <c r="DK9" s="9">
        <v>3500000</v>
      </c>
      <c r="DL9" s="9">
        <v>3500000</v>
      </c>
      <c r="DM9" s="9">
        <v>3500000</v>
      </c>
      <c r="DN9" s="9">
        <v>3500000</v>
      </c>
      <c r="DO9" s="9">
        <v>3500000</v>
      </c>
      <c r="DP9" s="9">
        <v>3500000</v>
      </c>
    </row>
    <row r="10" spans="1:120" x14ac:dyDescent="0.3">
      <c r="A10" s="5">
        <f t="shared" si="0"/>
        <v>6</v>
      </c>
      <c r="B10" s="3" t="s">
        <v>32</v>
      </c>
      <c r="C10" s="3" t="s">
        <v>33</v>
      </c>
      <c r="D10" s="3" t="s">
        <v>26</v>
      </c>
      <c r="E10" s="3" t="s">
        <v>439</v>
      </c>
      <c r="F10" s="7">
        <v>8111578577</v>
      </c>
      <c r="G10" s="7" t="s">
        <v>34</v>
      </c>
      <c r="H10" s="55" t="s">
        <v>345</v>
      </c>
      <c r="I10" s="148">
        <v>35843</v>
      </c>
      <c r="J10" s="5" t="s">
        <v>561</v>
      </c>
      <c r="K10" s="148">
        <v>45061</v>
      </c>
      <c r="L10" s="5" t="s">
        <v>561</v>
      </c>
      <c r="M10" s="9">
        <v>5007600</v>
      </c>
      <c r="N10" s="9">
        <v>5007600</v>
      </c>
      <c r="O10" s="9">
        <v>5007600</v>
      </c>
      <c r="P10" s="9">
        <v>5007600</v>
      </c>
      <c r="Q10" s="9">
        <v>5007600</v>
      </c>
      <c r="R10" s="9">
        <v>5007600</v>
      </c>
      <c r="S10" s="9">
        <v>5007600</v>
      </c>
      <c r="T10" s="9">
        <v>5007600</v>
      </c>
      <c r="U10" s="9">
        <v>5007600</v>
      </c>
      <c r="V10" s="9">
        <v>5007600</v>
      </c>
      <c r="W10" s="9">
        <v>5007600</v>
      </c>
      <c r="X10" s="9">
        <v>5007600</v>
      </c>
      <c r="Y10" s="9">
        <v>11000000</v>
      </c>
      <c r="Z10" s="9">
        <v>11000000</v>
      </c>
      <c r="AA10" s="9">
        <v>11000000</v>
      </c>
      <c r="AB10" s="9">
        <v>11000000</v>
      </c>
      <c r="AC10" s="9">
        <v>11000000</v>
      </c>
      <c r="AD10" s="9">
        <v>11000000</v>
      </c>
      <c r="AE10" s="9">
        <v>11000000</v>
      </c>
      <c r="AF10" s="9">
        <v>11000000</v>
      </c>
      <c r="AG10" s="9">
        <v>11000000</v>
      </c>
      <c r="AH10" s="9">
        <v>11000000</v>
      </c>
      <c r="AI10" s="9">
        <v>11000000</v>
      </c>
      <c r="AJ10" s="9">
        <v>11000000</v>
      </c>
      <c r="AK10" s="9">
        <v>3600000</v>
      </c>
      <c r="AL10" s="9">
        <v>3600000</v>
      </c>
      <c r="AM10" s="9">
        <v>3600000</v>
      </c>
      <c r="AN10" s="9">
        <v>3600000</v>
      </c>
      <c r="AO10" s="9">
        <v>3600000</v>
      </c>
      <c r="AP10" s="9">
        <v>3600000</v>
      </c>
      <c r="AQ10" s="9">
        <v>3600000</v>
      </c>
      <c r="AR10" s="9">
        <v>3600000</v>
      </c>
      <c r="AS10" s="9">
        <v>3600000</v>
      </c>
      <c r="AT10" s="9">
        <v>3600000</v>
      </c>
      <c r="AU10" s="9">
        <v>3600000</v>
      </c>
      <c r="AV10" s="9">
        <v>3600000</v>
      </c>
      <c r="AW10" s="9">
        <v>5007600</v>
      </c>
      <c r="AX10" s="9">
        <v>5007600</v>
      </c>
      <c r="AY10" s="9">
        <v>5007600</v>
      </c>
      <c r="AZ10" s="9">
        <v>5007600</v>
      </c>
      <c r="BA10" s="9">
        <v>5007600</v>
      </c>
      <c r="BB10" s="9">
        <v>6000000</v>
      </c>
      <c r="BC10" s="9">
        <v>6000000</v>
      </c>
      <c r="BD10" s="9">
        <v>6000000</v>
      </c>
      <c r="BE10" s="9">
        <v>6000000</v>
      </c>
      <c r="BF10" s="9">
        <v>6000000</v>
      </c>
      <c r="BG10" s="9">
        <v>6000000</v>
      </c>
      <c r="BH10" s="9">
        <v>6000000</v>
      </c>
      <c r="BI10" s="9">
        <v>730000</v>
      </c>
      <c r="BJ10" s="9">
        <v>730000</v>
      </c>
      <c r="BK10" s="9">
        <v>730000</v>
      </c>
      <c r="BL10" s="9">
        <v>730000</v>
      </c>
      <c r="BM10" s="9">
        <v>730000</v>
      </c>
      <c r="BN10" s="9">
        <v>730000</v>
      </c>
      <c r="BO10" s="9">
        <v>730000</v>
      </c>
      <c r="BP10" s="9">
        <v>730000</v>
      </c>
      <c r="BQ10" s="9">
        <v>730000</v>
      </c>
      <c r="BR10" s="9">
        <v>730000</v>
      </c>
      <c r="BS10" s="9">
        <v>730000</v>
      </c>
      <c r="BT10" s="9">
        <v>730000</v>
      </c>
      <c r="BU10" s="9">
        <v>500000</v>
      </c>
      <c r="BV10" s="9">
        <v>500000</v>
      </c>
      <c r="BW10" s="9">
        <v>500000</v>
      </c>
      <c r="BX10" s="9">
        <v>500000</v>
      </c>
      <c r="BY10" s="9">
        <v>500000</v>
      </c>
      <c r="BZ10" s="9">
        <v>500000</v>
      </c>
      <c r="CA10" s="9">
        <v>500000</v>
      </c>
      <c r="CB10" s="9">
        <v>500000</v>
      </c>
      <c r="CC10" s="9">
        <v>500000</v>
      </c>
      <c r="CD10" s="9">
        <v>500000</v>
      </c>
      <c r="CE10" s="9">
        <v>500000</v>
      </c>
      <c r="CF10" s="9">
        <v>500000</v>
      </c>
      <c r="CG10" s="3">
        <v>0</v>
      </c>
      <c r="CH10" s="3">
        <v>0</v>
      </c>
      <c r="CI10" s="3">
        <v>0</v>
      </c>
      <c r="CJ10" s="3">
        <v>0</v>
      </c>
      <c r="CK10" s="3">
        <v>0</v>
      </c>
      <c r="CL10" s="3">
        <v>0</v>
      </c>
      <c r="CM10" s="3">
        <v>0</v>
      </c>
      <c r="CN10" s="3">
        <v>0</v>
      </c>
      <c r="CO10" s="3">
        <v>0</v>
      </c>
      <c r="CP10" s="3">
        <v>0</v>
      </c>
      <c r="CQ10" s="3">
        <v>0</v>
      </c>
      <c r="CR10" s="3">
        <v>0</v>
      </c>
      <c r="CS10" s="9">
        <v>1200000</v>
      </c>
      <c r="CT10" s="9">
        <v>1200000</v>
      </c>
      <c r="CU10" s="9">
        <v>1200000</v>
      </c>
      <c r="CV10" s="9">
        <v>1200000</v>
      </c>
      <c r="CW10" s="9">
        <v>1200000</v>
      </c>
      <c r="CX10" s="9">
        <v>1200000</v>
      </c>
      <c r="CY10" s="9">
        <v>1200000</v>
      </c>
      <c r="CZ10" s="9">
        <v>1200000</v>
      </c>
      <c r="DA10" s="9">
        <v>1200000</v>
      </c>
      <c r="DB10" s="9">
        <v>1200000</v>
      </c>
      <c r="DC10" s="9">
        <v>1200000</v>
      </c>
      <c r="DD10" s="9">
        <v>1200000</v>
      </c>
      <c r="DE10" s="9">
        <v>3500000</v>
      </c>
      <c r="DF10" s="9">
        <v>3500000</v>
      </c>
      <c r="DG10" s="9">
        <v>3500000</v>
      </c>
      <c r="DH10" s="9">
        <v>3500000</v>
      </c>
      <c r="DI10" s="9">
        <v>3500000</v>
      </c>
      <c r="DJ10" s="9">
        <v>3500000</v>
      </c>
      <c r="DK10" s="9">
        <v>3500000</v>
      </c>
      <c r="DL10" s="9">
        <v>3500000</v>
      </c>
      <c r="DM10" s="9">
        <v>3500000</v>
      </c>
      <c r="DN10" s="9">
        <v>3500000</v>
      </c>
      <c r="DO10" s="9">
        <v>3500000</v>
      </c>
      <c r="DP10" s="9">
        <v>3500000</v>
      </c>
    </row>
    <row r="11" spans="1:120" x14ac:dyDescent="0.3">
      <c r="A11" s="5">
        <f t="shared" si="0"/>
        <v>7</v>
      </c>
      <c r="B11" s="3" t="s">
        <v>35</v>
      </c>
      <c r="C11" s="3" t="s">
        <v>36</v>
      </c>
      <c r="D11" s="3" t="s">
        <v>26</v>
      </c>
      <c r="E11" s="3" t="s">
        <v>439</v>
      </c>
      <c r="F11" s="7">
        <v>8506572285</v>
      </c>
      <c r="G11" s="7" t="s">
        <v>37</v>
      </c>
      <c r="H11" s="55" t="s">
        <v>345</v>
      </c>
      <c r="I11" s="148">
        <v>32414</v>
      </c>
      <c r="J11" s="5" t="s">
        <v>562</v>
      </c>
      <c r="K11" s="148">
        <v>44793</v>
      </c>
      <c r="L11" s="5" t="s">
        <v>562</v>
      </c>
      <c r="M11" s="9">
        <v>5007600</v>
      </c>
      <c r="N11" s="9">
        <v>5007600</v>
      </c>
      <c r="O11" s="9">
        <v>5007600</v>
      </c>
      <c r="P11" s="9">
        <v>5007600</v>
      </c>
      <c r="Q11" s="9">
        <v>5007600</v>
      </c>
      <c r="R11" s="9">
        <v>5007600</v>
      </c>
      <c r="S11" s="9">
        <v>5007600</v>
      </c>
      <c r="T11" s="9">
        <v>5007600</v>
      </c>
      <c r="U11" s="9">
        <v>5007600</v>
      </c>
      <c r="V11" s="9">
        <v>5007600</v>
      </c>
      <c r="W11" s="9">
        <v>5007600</v>
      </c>
      <c r="X11" s="9">
        <v>5007600</v>
      </c>
      <c r="Y11" s="9">
        <v>11000000</v>
      </c>
      <c r="Z11" s="9">
        <v>11000000</v>
      </c>
      <c r="AA11" s="9">
        <v>11000000</v>
      </c>
      <c r="AB11" s="9">
        <v>11000000</v>
      </c>
      <c r="AC11" s="9">
        <v>11000000</v>
      </c>
      <c r="AD11" s="9">
        <v>11000000</v>
      </c>
      <c r="AE11" s="9">
        <v>11000000</v>
      </c>
      <c r="AF11" s="9">
        <v>11000000</v>
      </c>
      <c r="AG11" s="9">
        <v>11000000</v>
      </c>
      <c r="AH11" s="9">
        <v>11000000</v>
      </c>
      <c r="AI11" s="9">
        <v>11000000</v>
      </c>
      <c r="AJ11" s="9">
        <v>11000000</v>
      </c>
      <c r="AK11" s="9">
        <v>3600000</v>
      </c>
      <c r="AL11" s="9">
        <v>3600000</v>
      </c>
      <c r="AM11" s="9">
        <v>3600000</v>
      </c>
      <c r="AN11" s="9">
        <v>3600000</v>
      </c>
      <c r="AO11" s="9">
        <v>3600000</v>
      </c>
      <c r="AP11" s="9">
        <v>3600000</v>
      </c>
      <c r="AQ11" s="9">
        <v>3600000</v>
      </c>
      <c r="AR11" s="9">
        <v>3600000</v>
      </c>
      <c r="AS11" s="9">
        <v>3600000</v>
      </c>
      <c r="AT11" s="9">
        <v>3600000</v>
      </c>
      <c r="AU11" s="9">
        <v>3600000</v>
      </c>
      <c r="AV11" s="9">
        <v>3600000</v>
      </c>
      <c r="AW11" s="9">
        <v>5007600</v>
      </c>
      <c r="AX11" s="9">
        <v>5007600</v>
      </c>
      <c r="AY11" s="9">
        <v>5007600</v>
      </c>
      <c r="AZ11" s="9">
        <v>5007600</v>
      </c>
      <c r="BA11" s="9">
        <v>5007600</v>
      </c>
      <c r="BB11" s="9">
        <v>6000000</v>
      </c>
      <c r="BC11" s="9">
        <v>6000000</v>
      </c>
      <c r="BD11" s="9">
        <v>6000000</v>
      </c>
      <c r="BE11" s="9">
        <v>6000000</v>
      </c>
      <c r="BF11" s="9">
        <v>6000000</v>
      </c>
      <c r="BG11" s="9">
        <v>6000000</v>
      </c>
      <c r="BH11" s="9">
        <v>6000000</v>
      </c>
      <c r="BI11" s="9">
        <v>730000</v>
      </c>
      <c r="BJ11" s="9">
        <v>730000</v>
      </c>
      <c r="BK11" s="9">
        <v>730000</v>
      </c>
      <c r="BL11" s="9">
        <v>730000</v>
      </c>
      <c r="BM11" s="9">
        <v>730000</v>
      </c>
      <c r="BN11" s="9">
        <v>730000</v>
      </c>
      <c r="BO11" s="9">
        <v>730000</v>
      </c>
      <c r="BP11" s="9">
        <v>730000</v>
      </c>
      <c r="BQ11" s="9">
        <v>730000</v>
      </c>
      <c r="BR11" s="9">
        <v>730000</v>
      </c>
      <c r="BS11" s="9">
        <v>730000</v>
      </c>
      <c r="BT11" s="9">
        <v>730000</v>
      </c>
      <c r="BU11" s="9">
        <v>500000</v>
      </c>
      <c r="BV11" s="9">
        <v>500000</v>
      </c>
      <c r="BW11" s="9">
        <v>500000</v>
      </c>
      <c r="BX11" s="9">
        <v>500000</v>
      </c>
      <c r="BY11" s="9">
        <v>500000</v>
      </c>
      <c r="BZ11" s="9">
        <v>500000</v>
      </c>
      <c r="CA11" s="9">
        <v>500000</v>
      </c>
      <c r="CB11" s="9">
        <v>500000</v>
      </c>
      <c r="CC11" s="9">
        <v>500000</v>
      </c>
      <c r="CD11" s="9">
        <v>500000</v>
      </c>
      <c r="CE11" s="9">
        <v>500000</v>
      </c>
      <c r="CF11" s="9">
        <v>500000</v>
      </c>
      <c r="CG11" s="3">
        <v>0</v>
      </c>
      <c r="CH11" s="3">
        <v>0</v>
      </c>
      <c r="CI11" s="3">
        <v>0</v>
      </c>
      <c r="CJ11" s="3">
        <v>0</v>
      </c>
      <c r="CK11" s="3">
        <v>0</v>
      </c>
      <c r="CL11" s="3">
        <v>0</v>
      </c>
      <c r="CM11" s="3">
        <v>0</v>
      </c>
      <c r="CN11" s="3">
        <v>0</v>
      </c>
      <c r="CO11" s="3">
        <v>0</v>
      </c>
      <c r="CP11" s="3">
        <v>0</v>
      </c>
      <c r="CQ11" s="3">
        <v>0</v>
      </c>
      <c r="CR11" s="3">
        <v>0</v>
      </c>
      <c r="CS11" s="9">
        <v>1200000</v>
      </c>
      <c r="CT11" s="9">
        <v>1200000</v>
      </c>
      <c r="CU11" s="9">
        <v>1200000</v>
      </c>
      <c r="CV11" s="9">
        <v>1200000</v>
      </c>
      <c r="CW11" s="9">
        <v>1200000</v>
      </c>
      <c r="CX11" s="9">
        <v>1200000</v>
      </c>
      <c r="CY11" s="9">
        <v>1200000</v>
      </c>
      <c r="CZ11" s="9">
        <v>1200000</v>
      </c>
      <c r="DA11" s="9">
        <v>1200000</v>
      </c>
      <c r="DB11" s="9">
        <v>1200000</v>
      </c>
      <c r="DC11" s="9">
        <v>1200000</v>
      </c>
      <c r="DD11" s="9">
        <v>1200000</v>
      </c>
      <c r="DE11" s="9">
        <v>3500000</v>
      </c>
      <c r="DF11" s="9">
        <v>3500000</v>
      </c>
      <c r="DG11" s="9">
        <v>3500000</v>
      </c>
      <c r="DH11" s="9">
        <v>3500000</v>
      </c>
      <c r="DI11" s="9">
        <v>3500000</v>
      </c>
      <c r="DJ11" s="9">
        <v>3500000</v>
      </c>
      <c r="DK11" s="9">
        <v>3500000</v>
      </c>
      <c r="DL11" s="9">
        <v>3500000</v>
      </c>
      <c r="DM11" s="9">
        <v>3500000</v>
      </c>
      <c r="DN11" s="9">
        <v>3500000</v>
      </c>
      <c r="DO11" s="9">
        <v>3500000</v>
      </c>
      <c r="DP11" s="9">
        <v>3500000</v>
      </c>
    </row>
    <row r="12" spans="1:120" x14ac:dyDescent="0.3">
      <c r="A12" s="5">
        <f t="shared" si="0"/>
        <v>8</v>
      </c>
      <c r="B12" s="3" t="s">
        <v>38</v>
      </c>
      <c r="C12" s="3" t="s">
        <v>39</v>
      </c>
      <c r="D12" s="3" t="s">
        <v>26</v>
      </c>
      <c r="E12" s="3" t="s">
        <v>439</v>
      </c>
      <c r="F12" s="7">
        <v>8112553180</v>
      </c>
      <c r="G12" s="7" t="s">
        <v>40</v>
      </c>
      <c r="H12" s="55" t="s">
        <v>345</v>
      </c>
      <c r="I12" s="148">
        <v>33164</v>
      </c>
      <c r="J12" s="5" t="s">
        <v>559</v>
      </c>
      <c r="K12" s="148">
        <v>44793</v>
      </c>
      <c r="L12" s="5" t="s">
        <v>559</v>
      </c>
      <c r="M12" s="9">
        <v>5007600</v>
      </c>
      <c r="N12" s="9">
        <v>5007600</v>
      </c>
      <c r="O12" s="9">
        <v>5007600</v>
      </c>
      <c r="P12" s="9">
        <v>5007600</v>
      </c>
      <c r="Q12" s="9">
        <v>5007600</v>
      </c>
      <c r="R12" s="9">
        <v>5007600</v>
      </c>
      <c r="S12" s="9">
        <v>5007600</v>
      </c>
      <c r="T12" s="9">
        <v>5007600</v>
      </c>
      <c r="U12" s="9">
        <v>5007600</v>
      </c>
      <c r="V12" s="9">
        <v>5007600</v>
      </c>
      <c r="W12" s="9">
        <v>5007600</v>
      </c>
      <c r="X12" s="9">
        <v>5007600</v>
      </c>
      <c r="Y12" s="9">
        <v>11000000</v>
      </c>
      <c r="Z12" s="9">
        <v>11000000</v>
      </c>
      <c r="AA12" s="9">
        <v>11000000</v>
      </c>
      <c r="AB12" s="9">
        <v>11000000</v>
      </c>
      <c r="AC12" s="9">
        <v>11000000</v>
      </c>
      <c r="AD12" s="9">
        <v>11000000</v>
      </c>
      <c r="AE12" s="9">
        <v>11000000</v>
      </c>
      <c r="AF12" s="9">
        <v>11000000</v>
      </c>
      <c r="AG12" s="9">
        <v>11000000</v>
      </c>
      <c r="AH12" s="9">
        <v>11000000</v>
      </c>
      <c r="AI12" s="9">
        <v>11000000</v>
      </c>
      <c r="AJ12" s="9">
        <v>11000000</v>
      </c>
      <c r="AK12" s="9">
        <v>3600000</v>
      </c>
      <c r="AL12" s="9">
        <v>3600000</v>
      </c>
      <c r="AM12" s="9">
        <v>3600000</v>
      </c>
      <c r="AN12" s="9">
        <v>3600000</v>
      </c>
      <c r="AO12" s="9">
        <v>3600000</v>
      </c>
      <c r="AP12" s="9">
        <v>3600000</v>
      </c>
      <c r="AQ12" s="9">
        <v>3600000</v>
      </c>
      <c r="AR12" s="9">
        <v>3600000</v>
      </c>
      <c r="AS12" s="9">
        <v>3600000</v>
      </c>
      <c r="AT12" s="9">
        <v>3600000</v>
      </c>
      <c r="AU12" s="9">
        <v>3600000</v>
      </c>
      <c r="AV12" s="9">
        <v>3600000</v>
      </c>
      <c r="AW12" s="9">
        <v>5007600</v>
      </c>
      <c r="AX12" s="9">
        <v>5007600</v>
      </c>
      <c r="AY12" s="9">
        <v>5007600</v>
      </c>
      <c r="AZ12" s="9">
        <v>5007600</v>
      </c>
      <c r="BA12" s="9">
        <v>5007600</v>
      </c>
      <c r="BB12" s="9">
        <v>6000000</v>
      </c>
      <c r="BC12" s="9">
        <v>6000000</v>
      </c>
      <c r="BD12" s="9">
        <v>6000000</v>
      </c>
      <c r="BE12" s="9">
        <v>6000000</v>
      </c>
      <c r="BF12" s="9">
        <v>6000000</v>
      </c>
      <c r="BG12" s="9">
        <v>6000000</v>
      </c>
      <c r="BH12" s="9">
        <v>6000000</v>
      </c>
      <c r="BI12" s="9">
        <v>730000</v>
      </c>
      <c r="BJ12" s="9">
        <v>730000</v>
      </c>
      <c r="BK12" s="9">
        <v>730000</v>
      </c>
      <c r="BL12" s="9">
        <v>730000</v>
      </c>
      <c r="BM12" s="9">
        <v>730000</v>
      </c>
      <c r="BN12" s="9">
        <v>730000</v>
      </c>
      <c r="BO12" s="9">
        <v>730000</v>
      </c>
      <c r="BP12" s="9">
        <v>730000</v>
      </c>
      <c r="BQ12" s="9">
        <v>730000</v>
      </c>
      <c r="BR12" s="9">
        <v>730000</v>
      </c>
      <c r="BS12" s="9">
        <v>730000</v>
      </c>
      <c r="BT12" s="9">
        <v>730000</v>
      </c>
      <c r="BU12" s="9">
        <v>500000</v>
      </c>
      <c r="BV12" s="9">
        <v>500000</v>
      </c>
      <c r="BW12" s="9">
        <v>500000</v>
      </c>
      <c r="BX12" s="9">
        <v>500000</v>
      </c>
      <c r="BY12" s="9">
        <v>500000</v>
      </c>
      <c r="BZ12" s="9">
        <v>500000</v>
      </c>
      <c r="CA12" s="9">
        <v>500000</v>
      </c>
      <c r="CB12" s="9">
        <v>500000</v>
      </c>
      <c r="CC12" s="9">
        <v>500000</v>
      </c>
      <c r="CD12" s="9">
        <v>500000</v>
      </c>
      <c r="CE12" s="9">
        <v>500000</v>
      </c>
      <c r="CF12" s="9">
        <v>500000</v>
      </c>
      <c r="CG12" s="3">
        <v>0</v>
      </c>
      <c r="CH12" s="3">
        <v>0</v>
      </c>
      <c r="CI12" s="3">
        <v>0</v>
      </c>
      <c r="CJ12" s="3">
        <v>0</v>
      </c>
      <c r="CK12" s="3">
        <v>0</v>
      </c>
      <c r="CL12" s="3">
        <v>0</v>
      </c>
      <c r="CM12" s="3">
        <v>0</v>
      </c>
      <c r="CN12" s="3">
        <v>0</v>
      </c>
      <c r="CO12" s="3">
        <v>0</v>
      </c>
      <c r="CP12" s="3">
        <v>0</v>
      </c>
      <c r="CQ12" s="3">
        <v>0</v>
      </c>
      <c r="CR12" s="3">
        <v>0</v>
      </c>
      <c r="CS12" s="9">
        <v>1200000</v>
      </c>
      <c r="CT12" s="9">
        <v>1200000</v>
      </c>
      <c r="CU12" s="9">
        <v>1200000</v>
      </c>
      <c r="CV12" s="9">
        <v>1200000</v>
      </c>
      <c r="CW12" s="9">
        <v>1200000</v>
      </c>
      <c r="CX12" s="9">
        <v>1200000</v>
      </c>
      <c r="CY12" s="9">
        <v>1200000</v>
      </c>
      <c r="CZ12" s="9">
        <v>1200000</v>
      </c>
      <c r="DA12" s="9">
        <v>1200000</v>
      </c>
      <c r="DB12" s="9">
        <v>1200000</v>
      </c>
      <c r="DC12" s="9">
        <v>1200000</v>
      </c>
      <c r="DD12" s="9">
        <v>1200000</v>
      </c>
      <c r="DE12" s="9">
        <v>3500000</v>
      </c>
      <c r="DF12" s="9">
        <v>3500000</v>
      </c>
      <c r="DG12" s="9">
        <v>3500000</v>
      </c>
      <c r="DH12" s="9">
        <v>3500000</v>
      </c>
      <c r="DI12" s="9">
        <v>3500000</v>
      </c>
      <c r="DJ12" s="9">
        <v>3500000</v>
      </c>
      <c r="DK12" s="9">
        <v>3500000</v>
      </c>
      <c r="DL12" s="9">
        <v>3500000</v>
      </c>
      <c r="DM12" s="9">
        <v>3500000</v>
      </c>
      <c r="DN12" s="9">
        <v>3500000</v>
      </c>
      <c r="DO12" s="9">
        <v>3500000</v>
      </c>
      <c r="DP12" s="9">
        <v>3500000</v>
      </c>
    </row>
    <row r="13" spans="1:120" x14ac:dyDescent="0.3">
      <c r="A13" s="5">
        <f t="shared" si="0"/>
        <v>9</v>
      </c>
      <c r="B13" s="3" t="s">
        <v>41</v>
      </c>
      <c r="C13" s="3" t="s">
        <v>42</v>
      </c>
      <c r="D13" s="3" t="s">
        <v>26</v>
      </c>
      <c r="E13" s="3" t="s">
        <v>439</v>
      </c>
      <c r="F13" s="7">
        <v>8444465474</v>
      </c>
      <c r="G13" s="7" t="s">
        <v>43</v>
      </c>
      <c r="H13" s="55" t="s">
        <v>345</v>
      </c>
      <c r="I13" s="148">
        <v>34294</v>
      </c>
      <c r="J13" s="5" t="s">
        <v>560</v>
      </c>
      <c r="K13" s="148">
        <v>44793</v>
      </c>
      <c r="L13" s="5" t="s">
        <v>560</v>
      </c>
      <c r="M13" s="9">
        <v>5007600</v>
      </c>
      <c r="N13" s="9">
        <v>5007600</v>
      </c>
      <c r="O13" s="9">
        <v>5007600</v>
      </c>
      <c r="P13" s="9">
        <v>5007600</v>
      </c>
      <c r="Q13" s="9">
        <v>5007600</v>
      </c>
      <c r="R13" s="9">
        <v>5007600</v>
      </c>
      <c r="S13" s="9">
        <v>5007600</v>
      </c>
      <c r="T13" s="9">
        <v>5007600</v>
      </c>
      <c r="U13" s="9">
        <v>5007600</v>
      </c>
      <c r="V13" s="9">
        <v>5007600</v>
      </c>
      <c r="W13" s="9">
        <v>5007600</v>
      </c>
      <c r="X13" s="9">
        <v>5007600</v>
      </c>
      <c r="Y13" s="9">
        <v>11000000</v>
      </c>
      <c r="Z13" s="9">
        <v>11000000</v>
      </c>
      <c r="AA13" s="9">
        <v>11000000</v>
      </c>
      <c r="AB13" s="9">
        <v>11000000</v>
      </c>
      <c r="AC13" s="9">
        <v>11000000</v>
      </c>
      <c r="AD13" s="9">
        <v>11000000</v>
      </c>
      <c r="AE13" s="9">
        <v>11000000</v>
      </c>
      <c r="AF13" s="9">
        <v>11000000</v>
      </c>
      <c r="AG13" s="9">
        <v>11000000</v>
      </c>
      <c r="AH13" s="9">
        <v>11000000</v>
      </c>
      <c r="AI13" s="9">
        <v>11000000</v>
      </c>
      <c r="AJ13" s="9">
        <v>11000000</v>
      </c>
      <c r="AK13" s="9">
        <v>3600000</v>
      </c>
      <c r="AL13" s="9">
        <v>3600000</v>
      </c>
      <c r="AM13" s="9">
        <v>3600000</v>
      </c>
      <c r="AN13" s="9">
        <v>3600000</v>
      </c>
      <c r="AO13" s="9">
        <v>3600000</v>
      </c>
      <c r="AP13" s="9">
        <v>3600000</v>
      </c>
      <c r="AQ13" s="9">
        <v>3600000</v>
      </c>
      <c r="AR13" s="9">
        <v>3600000</v>
      </c>
      <c r="AS13" s="9">
        <v>3600000</v>
      </c>
      <c r="AT13" s="9">
        <v>3600000</v>
      </c>
      <c r="AU13" s="9">
        <v>3600000</v>
      </c>
      <c r="AV13" s="9">
        <v>3600000</v>
      </c>
      <c r="AW13" s="9">
        <v>5007600</v>
      </c>
      <c r="AX13" s="9">
        <v>5007600</v>
      </c>
      <c r="AY13" s="9">
        <v>5007600</v>
      </c>
      <c r="AZ13" s="9">
        <v>5007600</v>
      </c>
      <c r="BA13" s="9">
        <v>5007600</v>
      </c>
      <c r="BB13" s="9">
        <v>6000000</v>
      </c>
      <c r="BC13" s="9">
        <v>6000000</v>
      </c>
      <c r="BD13" s="9">
        <v>6000000</v>
      </c>
      <c r="BE13" s="9">
        <v>6000000</v>
      </c>
      <c r="BF13" s="9">
        <v>6000000</v>
      </c>
      <c r="BG13" s="9">
        <v>6000000</v>
      </c>
      <c r="BH13" s="9">
        <v>6000000</v>
      </c>
      <c r="BI13" s="9">
        <v>730000</v>
      </c>
      <c r="BJ13" s="9">
        <v>730000</v>
      </c>
      <c r="BK13" s="9">
        <v>730000</v>
      </c>
      <c r="BL13" s="9">
        <v>730000</v>
      </c>
      <c r="BM13" s="9">
        <v>730000</v>
      </c>
      <c r="BN13" s="9">
        <v>730000</v>
      </c>
      <c r="BO13" s="9">
        <v>730000</v>
      </c>
      <c r="BP13" s="9">
        <v>730000</v>
      </c>
      <c r="BQ13" s="9">
        <v>730000</v>
      </c>
      <c r="BR13" s="9">
        <v>730000</v>
      </c>
      <c r="BS13" s="9">
        <v>730000</v>
      </c>
      <c r="BT13" s="9">
        <v>730000</v>
      </c>
      <c r="BU13" s="9">
        <v>500000</v>
      </c>
      <c r="BV13" s="9">
        <v>500000</v>
      </c>
      <c r="BW13" s="9">
        <v>500000</v>
      </c>
      <c r="BX13" s="9">
        <v>500000</v>
      </c>
      <c r="BY13" s="9">
        <v>500000</v>
      </c>
      <c r="BZ13" s="9">
        <v>500000</v>
      </c>
      <c r="CA13" s="9">
        <v>500000</v>
      </c>
      <c r="CB13" s="9">
        <v>500000</v>
      </c>
      <c r="CC13" s="9">
        <v>500000</v>
      </c>
      <c r="CD13" s="9">
        <v>500000</v>
      </c>
      <c r="CE13" s="9">
        <v>500000</v>
      </c>
      <c r="CF13" s="9">
        <v>500000</v>
      </c>
      <c r="CG13" s="3">
        <v>0</v>
      </c>
      <c r="CH13" s="3">
        <v>0</v>
      </c>
      <c r="CI13" s="3">
        <v>0</v>
      </c>
      <c r="CJ13" s="3">
        <v>0</v>
      </c>
      <c r="CK13" s="3">
        <v>0</v>
      </c>
      <c r="CL13" s="3">
        <v>0</v>
      </c>
      <c r="CM13" s="3">
        <v>0</v>
      </c>
      <c r="CN13" s="3">
        <v>0</v>
      </c>
      <c r="CO13" s="3">
        <v>0</v>
      </c>
      <c r="CP13" s="3">
        <v>0</v>
      </c>
      <c r="CQ13" s="3">
        <v>0</v>
      </c>
      <c r="CR13" s="3">
        <v>0</v>
      </c>
      <c r="CS13" s="9">
        <v>1200000</v>
      </c>
      <c r="CT13" s="9">
        <v>1200000</v>
      </c>
      <c r="CU13" s="9">
        <v>1200000</v>
      </c>
      <c r="CV13" s="9">
        <v>1200000</v>
      </c>
      <c r="CW13" s="9">
        <v>1200000</v>
      </c>
      <c r="CX13" s="9">
        <v>1200000</v>
      </c>
      <c r="CY13" s="9">
        <v>1200000</v>
      </c>
      <c r="CZ13" s="9">
        <v>1200000</v>
      </c>
      <c r="DA13" s="9">
        <v>1200000</v>
      </c>
      <c r="DB13" s="9">
        <v>1200000</v>
      </c>
      <c r="DC13" s="9">
        <v>1200000</v>
      </c>
      <c r="DD13" s="9">
        <v>1200000</v>
      </c>
      <c r="DE13" s="9">
        <v>3500000</v>
      </c>
      <c r="DF13" s="9">
        <v>3500000</v>
      </c>
      <c r="DG13" s="9">
        <v>3500000</v>
      </c>
      <c r="DH13" s="9">
        <v>3500000</v>
      </c>
      <c r="DI13" s="9">
        <v>3500000</v>
      </c>
      <c r="DJ13" s="9">
        <v>3500000</v>
      </c>
      <c r="DK13" s="9">
        <v>3500000</v>
      </c>
      <c r="DL13" s="9">
        <v>3500000</v>
      </c>
      <c r="DM13" s="9">
        <v>3500000</v>
      </c>
      <c r="DN13" s="9">
        <v>3500000</v>
      </c>
      <c r="DO13" s="9">
        <v>3500000</v>
      </c>
      <c r="DP13" s="9">
        <v>3500000</v>
      </c>
    </row>
    <row r="14" spans="1:120" x14ac:dyDescent="0.3">
      <c r="A14" s="5">
        <f t="shared" si="0"/>
        <v>10</v>
      </c>
      <c r="B14" s="3" t="s">
        <v>44</v>
      </c>
      <c r="C14" s="3" t="s">
        <v>45</v>
      </c>
      <c r="D14" s="3" t="s">
        <v>26</v>
      </c>
      <c r="E14" s="3" t="s">
        <v>439</v>
      </c>
      <c r="F14" s="7">
        <v>8024957459</v>
      </c>
      <c r="G14" s="7" t="s">
        <v>46</v>
      </c>
      <c r="H14" s="55" t="s">
        <v>345</v>
      </c>
      <c r="I14" s="148">
        <v>32501</v>
      </c>
      <c r="J14" s="5" t="s">
        <v>563</v>
      </c>
      <c r="K14" s="148">
        <v>44793</v>
      </c>
      <c r="L14" s="5" t="s">
        <v>563</v>
      </c>
      <c r="M14" s="9">
        <v>5007600</v>
      </c>
      <c r="N14" s="9">
        <v>5007600</v>
      </c>
      <c r="O14" s="9">
        <v>5007600</v>
      </c>
      <c r="P14" s="9">
        <v>5007600</v>
      </c>
      <c r="Q14" s="9">
        <v>5007600</v>
      </c>
      <c r="R14" s="9">
        <v>5007600</v>
      </c>
      <c r="S14" s="9">
        <v>5007600</v>
      </c>
      <c r="T14" s="9">
        <v>5007600</v>
      </c>
      <c r="U14" s="9">
        <v>5007600</v>
      </c>
      <c r="V14" s="9">
        <v>5007600</v>
      </c>
      <c r="W14" s="9">
        <v>5007600</v>
      </c>
      <c r="X14" s="9">
        <v>5007600</v>
      </c>
      <c r="Y14" s="9">
        <v>11000000</v>
      </c>
      <c r="Z14" s="9">
        <v>11000000</v>
      </c>
      <c r="AA14" s="9">
        <v>11000000</v>
      </c>
      <c r="AB14" s="9">
        <v>11000000</v>
      </c>
      <c r="AC14" s="9">
        <v>11000000</v>
      </c>
      <c r="AD14" s="9">
        <v>11000000</v>
      </c>
      <c r="AE14" s="9">
        <v>11000000</v>
      </c>
      <c r="AF14" s="9">
        <v>11000000</v>
      </c>
      <c r="AG14" s="9">
        <v>11000000</v>
      </c>
      <c r="AH14" s="9">
        <v>11000000</v>
      </c>
      <c r="AI14" s="9">
        <v>11000000</v>
      </c>
      <c r="AJ14" s="9">
        <v>11000000</v>
      </c>
      <c r="AK14" s="9">
        <v>3600000</v>
      </c>
      <c r="AL14" s="9">
        <v>3600000</v>
      </c>
      <c r="AM14" s="9">
        <v>3600000</v>
      </c>
      <c r="AN14" s="9">
        <v>3600000</v>
      </c>
      <c r="AO14" s="9">
        <v>3600000</v>
      </c>
      <c r="AP14" s="9">
        <v>3600000</v>
      </c>
      <c r="AQ14" s="9">
        <v>3600000</v>
      </c>
      <c r="AR14" s="9">
        <v>3600000</v>
      </c>
      <c r="AS14" s="9">
        <v>3600000</v>
      </c>
      <c r="AT14" s="9">
        <v>3600000</v>
      </c>
      <c r="AU14" s="9">
        <v>3600000</v>
      </c>
      <c r="AV14" s="9">
        <v>3600000</v>
      </c>
      <c r="AW14" s="9">
        <v>5007600</v>
      </c>
      <c r="AX14" s="9">
        <v>5007600</v>
      </c>
      <c r="AY14" s="9">
        <v>5007600</v>
      </c>
      <c r="AZ14" s="9">
        <v>5007600</v>
      </c>
      <c r="BA14" s="9">
        <v>5007600</v>
      </c>
      <c r="BB14" s="9">
        <v>6000000</v>
      </c>
      <c r="BC14" s="9">
        <v>6000000</v>
      </c>
      <c r="BD14" s="9">
        <v>6000000</v>
      </c>
      <c r="BE14" s="9">
        <v>6000000</v>
      </c>
      <c r="BF14" s="9">
        <v>6000000</v>
      </c>
      <c r="BG14" s="9">
        <v>6000000</v>
      </c>
      <c r="BH14" s="9">
        <v>6000000</v>
      </c>
      <c r="BI14" s="9">
        <v>730000</v>
      </c>
      <c r="BJ14" s="9">
        <v>730000</v>
      </c>
      <c r="BK14" s="9">
        <v>730000</v>
      </c>
      <c r="BL14" s="9">
        <v>730000</v>
      </c>
      <c r="BM14" s="9">
        <v>730000</v>
      </c>
      <c r="BN14" s="9">
        <v>730000</v>
      </c>
      <c r="BO14" s="9">
        <v>730000</v>
      </c>
      <c r="BP14" s="9">
        <v>730000</v>
      </c>
      <c r="BQ14" s="9">
        <v>730000</v>
      </c>
      <c r="BR14" s="9">
        <v>730000</v>
      </c>
      <c r="BS14" s="9">
        <v>730000</v>
      </c>
      <c r="BT14" s="9">
        <v>730000</v>
      </c>
      <c r="BU14" s="9">
        <v>500000</v>
      </c>
      <c r="BV14" s="9">
        <v>500000</v>
      </c>
      <c r="BW14" s="9">
        <v>500000</v>
      </c>
      <c r="BX14" s="9">
        <v>500000</v>
      </c>
      <c r="BY14" s="9">
        <v>500000</v>
      </c>
      <c r="BZ14" s="9">
        <v>500000</v>
      </c>
      <c r="CA14" s="9">
        <v>500000</v>
      </c>
      <c r="CB14" s="9">
        <v>500000</v>
      </c>
      <c r="CC14" s="9">
        <v>500000</v>
      </c>
      <c r="CD14" s="9">
        <v>500000</v>
      </c>
      <c r="CE14" s="9">
        <v>500000</v>
      </c>
      <c r="CF14" s="9">
        <v>500000</v>
      </c>
      <c r="CG14" s="3">
        <v>0</v>
      </c>
      <c r="CH14" s="3">
        <v>0</v>
      </c>
      <c r="CI14" s="3">
        <v>0</v>
      </c>
      <c r="CJ14" s="3">
        <v>0</v>
      </c>
      <c r="CK14" s="3">
        <v>0</v>
      </c>
      <c r="CL14" s="3">
        <v>0</v>
      </c>
      <c r="CM14" s="3">
        <v>0</v>
      </c>
      <c r="CN14" s="3">
        <v>0</v>
      </c>
      <c r="CO14" s="3">
        <v>0</v>
      </c>
      <c r="CP14" s="3">
        <v>0</v>
      </c>
      <c r="CQ14" s="3">
        <v>0</v>
      </c>
      <c r="CR14" s="3">
        <v>0</v>
      </c>
      <c r="CS14" s="9">
        <v>1200000</v>
      </c>
      <c r="CT14" s="9">
        <v>1200000</v>
      </c>
      <c r="CU14" s="9">
        <v>1200000</v>
      </c>
      <c r="CV14" s="9">
        <v>1200000</v>
      </c>
      <c r="CW14" s="9">
        <v>1200000</v>
      </c>
      <c r="CX14" s="9">
        <v>1200000</v>
      </c>
      <c r="CY14" s="9">
        <v>1200000</v>
      </c>
      <c r="CZ14" s="9">
        <v>1200000</v>
      </c>
      <c r="DA14" s="9">
        <v>1200000</v>
      </c>
      <c r="DB14" s="9">
        <v>1200000</v>
      </c>
      <c r="DC14" s="9">
        <v>1200000</v>
      </c>
      <c r="DD14" s="9">
        <v>1200000</v>
      </c>
      <c r="DE14" s="9">
        <v>3500000</v>
      </c>
      <c r="DF14" s="9">
        <v>3500000</v>
      </c>
      <c r="DG14" s="9">
        <v>3500000</v>
      </c>
      <c r="DH14" s="9">
        <v>3500000</v>
      </c>
      <c r="DI14" s="9">
        <v>3500000</v>
      </c>
      <c r="DJ14" s="9">
        <v>3500000</v>
      </c>
      <c r="DK14" s="9">
        <v>3500000</v>
      </c>
      <c r="DL14" s="9">
        <v>3500000</v>
      </c>
      <c r="DM14" s="9">
        <v>3500000</v>
      </c>
      <c r="DN14" s="9">
        <v>3500000</v>
      </c>
      <c r="DO14" s="9">
        <v>3500000</v>
      </c>
      <c r="DP14" s="9">
        <v>3500000</v>
      </c>
    </row>
    <row r="15" spans="1:120" x14ac:dyDescent="0.3">
      <c r="A15" s="5">
        <f t="shared" si="0"/>
        <v>11</v>
      </c>
      <c r="B15" s="3" t="s">
        <v>47</v>
      </c>
      <c r="C15" s="3" t="s">
        <v>48</v>
      </c>
      <c r="D15" s="3" t="s">
        <v>26</v>
      </c>
      <c r="E15" s="3" t="s">
        <v>439</v>
      </c>
      <c r="F15" s="7" t="s">
        <v>591</v>
      </c>
      <c r="G15" s="7" t="s">
        <v>594</v>
      </c>
      <c r="H15" s="55" t="s">
        <v>345</v>
      </c>
      <c r="I15" s="148">
        <v>35322</v>
      </c>
      <c r="J15" s="5" t="s">
        <v>563</v>
      </c>
      <c r="K15" s="148">
        <v>44793</v>
      </c>
      <c r="L15" s="5" t="s">
        <v>563</v>
      </c>
      <c r="M15" s="9">
        <v>5050000</v>
      </c>
      <c r="N15" s="9">
        <v>5050000</v>
      </c>
      <c r="O15" s="9">
        <v>5050000</v>
      </c>
      <c r="P15" s="9">
        <v>5050000</v>
      </c>
      <c r="Q15" s="9">
        <v>5050000</v>
      </c>
      <c r="R15" s="9">
        <v>5050000</v>
      </c>
      <c r="S15" s="9">
        <v>5050000</v>
      </c>
      <c r="T15" s="9">
        <v>5050000</v>
      </c>
      <c r="U15" s="9">
        <v>5050000</v>
      </c>
      <c r="V15" s="9">
        <v>5050000</v>
      </c>
      <c r="W15" s="9">
        <v>5050000</v>
      </c>
      <c r="X15" s="9">
        <v>5050000</v>
      </c>
      <c r="Y15" s="9">
        <v>11000000</v>
      </c>
      <c r="Z15" s="9">
        <v>11000000</v>
      </c>
      <c r="AA15" s="9">
        <v>11000000</v>
      </c>
      <c r="AB15" s="9">
        <v>11000000</v>
      </c>
      <c r="AC15" s="9">
        <v>11000000</v>
      </c>
      <c r="AD15" s="9">
        <v>11000000</v>
      </c>
      <c r="AE15" s="9">
        <v>11000000</v>
      </c>
      <c r="AF15" s="9">
        <v>11000000</v>
      </c>
      <c r="AG15" s="9">
        <v>11000000</v>
      </c>
      <c r="AH15" s="9">
        <v>11000000</v>
      </c>
      <c r="AI15" s="9">
        <v>11000000</v>
      </c>
      <c r="AJ15" s="9">
        <v>11000000</v>
      </c>
      <c r="AK15" s="9">
        <v>0</v>
      </c>
      <c r="AL15" s="9">
        <v>0</v>
      </c>
      <c r="AM15" s="9">
        <v>0</v>
      </c>
      <c r="AN15" s="9">
        <v>0</v>
      </c>
      <c r="AO15" s="9">
        <v>0</v>
      </c>
      <c r="AP15" s="9">
        <v>0</v>
      </c>
      <c r="AQ15" s="9">
        <v>0</v>
      </c>
      <c r="AR15" s="9">
        <v>0</v>
      </c>
      <c r="AS15" s="9">
        <v>0</v>
      </c>
      <c r="AT15" s="9">
        <v>0</v>
      </c>
      <c r="AU15" s="9">
        <v>0</v>
      </c>
      <c r="AV15" s="9">
        <v>0</v>
      </c>
      <c r="AW15" s="9"/>
      <c r="AX15" s="9">
        <v>5050000</v>
      </c>
      <c r="AY15" s="9">
        <v>5050000</v>
      </c>
      <c r="AZ15" s="9">
        <v>5050000</v>
      </c>
      <c r="BA15" s="9">
        <v>5050000</v>
      </c>
      <c r="BB15" s="9">
        <v>6000000</v>
      </c>
      <c r="BC15" s="9">
        <v>6000000</v>
      </c>
      <c r="BD15" s="9">
        <v>6000000</v>
      </c>
      <c r="BE15" s="9">
        <v>6000000</v>
      </c>
      <c r="BF15" s="9">
        <v>6000000</v>
      </c>
      <c r="BG15" s="9">
        <v>6000000</v>
      </c>
      <c r="BH15" s="9">
        <v>6000000</v>
      </c>
      <c r="BI15" s="9">
        <v>730000</v>
      </c>
      <c r="BJ15" s="9">
        <v>730000</v>
      </c>
      <c r="BK15" s="9">
        <v>730000</v>
      </c>
      <c r="BL15" s="9">
        <v>730000</v>
      </c>
      <c r="BM15" s="9">
        <v>730000</v>
      </c>
      <c r="BN15" s="9">
        <v>730000</v>
      </c>
      <c r="BO15" s="9">
        <v>730000</v>
      </c>
      <c r="BP15" s="9">
        <v>730000</v>
      </c>
      <c r="BQ15" s="9">
        <v>730000</v>
      </c>
      <c r="BR15" s="9">
        <v>730000</v>
      </c>
      <c r="BS15" s="9">
        <v>730000</v>
      </c>
      <c r="BT15" s="9">
        <v>730000</v>
      </c>
      <c r="BU15" s="9">
        <v>500000</v>
      </c>
      <c r="BV15" s="9">
        <v>500000</v>
      </c>
      <c r="BW15" s="9">
        <v>500000</v>
      </c>
      <c r="BX15" s="9">
        <v>500000</v>
      </c>
      <c r="BY15" s="9">
        <v>500000</v>
      </c>
      <c r="BZ15" s="9">
        <v>500000</v>
      </c>
      <c r="CA15" s="9">
        <v>500000</v>
      </c>
      <c r="CB15" s="9">
        <v>500000</v>
      </c>
      <c r="CC15" s="9">
        <v>500000</v>
      </c>
      <c r="CD15" s="9">
        <v>500000</v>
      </c>
      <c r="CE15" s="9">
        <v>500000</v>
      </c>
      <c r="CF15" s="9">
        <v>500000</v>
      </c>
      <c r="CG15" s="3">
        <v>0</v>
      </c>
      <c r="CH15" s="3">
        <v>0</v>
      </c>
      <c r="CI15" s="3">
        <v>0</v>
      </c>
      <c r="CJ15" s="3">
        <v>0</v>
      </c>
      <c r="CK15" s="3">
        <v>0</v>
      </c>
      <c r="CL15" s="3">
        <v>0</v>
      </c>
      <c r="CM15" s="3">
        <v>0</v>
      </c>
      <c r="CN15" s="3">
        <v>0</v>
      </c>
      <c r="CO15" s="3">
        <v>0</v>
      </c>
      <c r="CP15" s="3">
        <v>0</v>
      </c>
      <c r="CQ15" s="3">
        <v>0</v>
      </c>
      <c r="CR15" s="3">
        <v>0</v>
      </c>
      <c r="CS15" s="9">
        <v>1200000</v>
      </c>
      <c r="CT15" s="9">
        <v>1200000</v>
      </c>
      <c r="CU15" s="9">
        <v>1200000</v>
      </c>
      <c r="CV15" s="9">
        <v>1200000</v>
      </c>
      <c r="CW15" s="9">
        <v>1200000</v>
      </c>
      <c r="CX15" s="9">
        <v>1200000</v>
      </c>
      <c r="CY15" s="9">
        <v>1200000</v>
      </c>
      <c r="CZ15" s="9">
        <v>1200000</v>
      </c>
      <c r="DA15" s="9">
        <v>1200000</v>
      </c>
      <c r="DB15" s="9">
        <v>1200000</v>
      </c>
      <c r="DC15" s="9">
        <v>1200000</v>
      </c>
      <c r="DD15" s="9">
        <v>1200000</v>
      </c>
      <c r="DE15" s="9">
        <v>3500000</v>
      </c>
      <c r="DF15" s="9">
        <v>3500000</v>
      </c>
      <c r="DG15" s="9">
        <v>3500000</v>
      </c>
      <c r="DH15" s="9">
        <v>3500000</v>
      </c>
      <c r="DI15" s="9">
        <v>3500000</v>
      </c>
      <c r="DJ15" s="9">
        <v>3500000</v>
      </c>
      <c r="DK15" s="9">
        <v>3500000</v>
      </c>
      <c r="DL15" s="9">
        <v>3500000</v>
      </c>
      <c r="DM15" s="9">
        <v>3500000</v>
      </c>
      <c r="DN15" s="9">
        <v>3500000</v>
      </c>
      <c r="DO15" s="9">
        <v>3500000</v>
      </c>
      <c r="DP15" s="9">
        <v>3500000</v>
      </c>
    </row>
    <row r="16" spans="1:120" x14ac:dyDescent="0.3">
      <c r="A16" s="5">
        <f t="shared" si="0"/>
        <v>12</v>
      </c>
      <c r="B16" s="3" t="s">
        <v>49</v>
      </c>
      <c r="C16" s="3" t="s">
        <v>50</v>
      </c>
      <c r="D16" s="3" t="s">
        <v>26</v>
      </c>
      <c r="E16" s="3" t="s">
        <v>439</v>
      </c>
      <c r="F16" s="7" t="s">
        <v>592</v>
      </c>
      <c r="G16" s="7" t="s">
        <v>595</v>
      </c>
      <c r="H16" s="55" t="s">
        <v>345</v>
      </c>
      <c r="I16" s="148">
        <v>34595</v>
      </c>
      <c r="J16" s="5" t="s">
        <v>560</v>
      </c>
      <c r="K16" s="148">
        <v>44793</v>
      </c>
      <c r="L16" s="5" t="s">
        <v>560</v>
      </c>
      <c r="M16" s="9">
        <v>5050000</v>
      </c>
      <c r="N16" s="9">
        <v>5050000</v>
      </c>
      <c r="O16" s="9">
        <v>5050000</v>
      </c>
      <c r="P16" s="9">
        <v>5050000</v>
      </c>
      <c r="Q16" s="9">
        <v>5050000</v>
      </c>
      <c r="R16" s="9">
        <v>5050000</v>
      </c>
      <c r="S16" s="9">
        <v>5050000</v>
      </c>
      <c r="T16" s="9">
        <v>5050000</v>
      </c>
      <c r="U16" s="9">
        <v>5050000</v>
      </c>
      <c r="V16" s="9">
        <v>5050000</v>
      </c>
      <c r="W16" s="9">
        <v>5050000</v>
      </c>
      <c r="X16" s="9">
        <v>5050000</v>
      </c>
      <c r="Y16" s="9">
        <v>11000000</v>
      </c>
      <c r="Z16" s="9">
        <v>11000000</v>
      </c>
      <c r="AA16" s="9">
        <v>11000000</v>
      </c>
      <c r="AB16" s="9">
        <v>11000000</v>
      </c>
      <c r="AC16" s="9">
        <v>11000000</v>
      </c>
      <c r="AD16" s="9">
        <v>11000000</v>
      </c>
      <c r="AE16" s="9">
        <v>11000000</v>
      </c>
      <c r="AF16" s="9">
        <v>11000000</v>
      </c>
      <c r="AG16" s="9">
        <v>11000000</v>
      </c>
      <c r="AH16" s="9">
        <v>11000000</v>
      </c>
      <c r="AI16" s="9">
        <v>11000000</v>
      </c>
      <c r="AJ16" s="9">
        <v>11000000</v>
      </c>
      <c r="AK16" s="9">
        <v>0</v>
      </c>
      <c r="AL16" s="9">
        <v>0</v>
      </c>
      <c r="AM16" s="9">
        <v>0</v>
      </c>
      <c r="AN16" s="9">
        <v>0</v>
      </c>
      <c r="AO16" s="9">
        <v>0</v>
      </c>
      <c r="AP16" s="9">
        <v>0</v>
      </c>
      <c r="AQ16" s="9">
        <v>0</v>
      </c>
      <c r="AR16" s="9">
        <v>0</v>
      </c>
      <c r="AS16" s="9">
        <v>0</v>
      </c>
      <c r="AT16" s="9">
        <v>0</v>
      </c>
      <c r="AU16" s="9">
        <v>0</v>
      </c>
      <c r="AV16" s="9">
        <v>0</v>
      </c>
      <c r="AW16" s="9"/>
      <c r="AX16" s="9">
        <v>5050000</v>
      </c>
      <c r="AY16" s="9">
        <v>5050000</v>
      </c>
      <c r="AZ16" s="9">
        <v>5050000</v>
      </c>
      <c r="BA16" s="9">
        <v>5050000</v>
      </c>
      <c r="BB16" s="9">
        <v>6000000</v>
      </c>
      <c r="BC16" s="9">
        <v>6000000</v>
      </c>
      <c r="BD16" s="9">
        <v>6000000</v>
      </c>
      <c r="BE16" s="9">
        <v>6000000</v>
      </c>
      <c r="BF16" s="9">
        <v>6000000</v>
      </c>
      <c r="BG16" s="9">
        <v>6000000</v>
      </c>
      <c r="BH16" s="9">
        <v>6000000</v>
      </c>
      <c r="BI16" s="9">
        <v>730000</v>
      </c>
      <c r="BJ16" s="9">
        <v>730000</v>
      </c>
      <c r="BK16" s="9">
        <v>730000</v>
      </c>
      <c r="BL16" s="9">
        <v>730000</v>
      </c>
      <c r="BM16" s="9">
        <v>730000</v>
      </c>
      <c r="BN16" s="9">
        <v>730000</v>
      </c>
      <c r="BO16" s="9">
        <v>730000</v>
      </c>
      <c r="BP16" s="9">
        <v>730000</v>
      </c>
      <c r="BQ16" s="9">
        <v>730000</v>
      </c>
      <c r="BR16" s="9">
        <v>730000</v>
      </c>
      <c r="BS16" s="9">
        <v>730000</v>
      </c>
      <c r="BT16" s="9">
        <v>730000</v>
      </c>
      <c r="BU16" s="9">
        <v>500000</v>
      </c>
      <c r="BV16" s="9">
        <v>500000</v>
      </c>
      <c r="BW16" s="9">
        <v>500000</v>
      </c>
      <c r="BX16" s="9">
        <v>500000</v>
      </c>
      <c r="BY16" s="9">
        <v>500000</v>
      </c>
      <c r="BZ16" s="9">
        <v>500000</v>
      </c>
      <c r="CA16" s="9">
        <v>500000</v>
      </c>
      <c r="CB16" s="9">
        <v>500000</v>
      </c>
      <c r="CC16" s="9">
        <v>500000</v>
      </c>
      <c r="CD16" s="9">
        <v>500000</v>
      </c>
      <c r="CE16" s="9">
        <v>500000</v>
      </c>
      <c r="CF16" s="9">
        <v>500000</v>
      </c>
      <c r="CG16" s="3">
        <v>0</v>
      </c>
      <c r="CH16" s="3">
        <v>0</v>
      </c>
      <c r="CI16" s="3">
        <v>0</v>
      </c>
      <c r="CJ16" s="3">
        <v>0</v>
      </c>
      <c r="CK16" s="3">
        <v>0</v>
      </c>
      <c r="CL16" s="3">
        <v>0</v>
      </c>
      <c r="CM16" s="3">
        <v>0</v>
      </c>
      <c r="CN16" s="3">
        <v>0</v>
      </c>
      <c r="CO16" s="3">
        <v>0</v>
      </c>
      <c r="CP16" s="3">
        <v>0</v>
      </c>
      <c r="CQ16" s="3">
        <v>0</v>
      </c>
      <c r="CR16" s="3">
        <v>0</v>
      </c>
      <c r="CS16" s="9">
        <v>1200000</v>
      </c>
      <c r="CT16" s="9">
        <v>1200000</v>
      </c>
      <c r="CU16" s="9">
        <v>1200000</v>
      </c>
      <c r="CV16" s="9">
        <v>1200000</v>
      </c>
      <c r="CW16" s="9">
        <v>1200000</v>
      </c>
      <c r="CX16" s="9">
        <v>1200000</v>
      </c>
      <c r="CY16" s="9">
        <v>1200000</v>
      </c>
      <c r="CZ16" s="9">
        <v>1200000</v>
      </c>
      <c r="DA16" s="9">
        <v>1200000</v>
      </c>
      <c r="DB16" s="9">
        <v>1200000</v>
      </c>
      <c r="DC16" s="9">
        <v>1200000</v>
      </c>
      <c r="DD16" s="9">
        <v>1200000</v>
      </c>
      <c r="DE16" s="9">
        <v>3500000</v>
      </c>
      <c r="DF16" s="9">
        <v>3500000</v>
      </c>
      <c r="DG16" s="9">
        <v>3500000</v>
      </c>
      <c r="DH16" s="9">
        <v>3500000</v>
      </c>
      <c r="DI16" s="9">
        <v>3500000</v>
      </c>
      <c r="DJ16" s="9">
        <v>3500000</v>
      </c>
      <c r="DK16" s="9">
        <v>3500000</v>
      </c>
      <c r="DL16" s="9">
        <v>3500000</v>
      </c>
      <c r="DM16" s="9">
        <v>3500000</v>
      </c>
      <c r="DN16" s="9">
        <v>3500000</v>
      </c>
      <c r="DO16" s="9">
        <v>3500000</v>
      </c>
      <c r="DP16" s="9">
        <v>3500000</v>
      </c>
    </row>
    <row r="17" spans="1:120" x14ac:dyDescent="0.3">
      <c r="A17" s="5">
        <f t="shared" si="0"/>
        <v>13</v>
      </c>
      <c r="B17" s="3" t="s">
        <v>51</v>
      </c>
      <c r="C17" s="3" t="s">
        <v>52</v>
      </c>
      <c r="D17" s="3" t="s">
        <v>26</v>
      </c>
      <c r="E17" s="3" t="s">
        <v>439</v>
      </c>
      <c r="F17" s="7" t="s">
        <v>593</v>
      </c>
      <c r="G17" s="7" t="s">
        <v>596</v>
      </c>
      <c r="H17" s="55" t="s">
        <v>345</v>
      </c>
      <c r="I17" s="148">
        <v>35285</v>
      </c>
      <c r="J17" s="5" t="s">
        <v>560</v>
      </c>
      <c r="K17" s="148">
        <v>44793</v>
      </c>
      <c r="L17" s="5" t="s">
        <v>560</v>
      </c>
      <c r="M17" s="9">
        <v>5050000</v>
      </c>
      <c r="N17" s="9">
        <v>5050000</v>
      </c>
      <c r="O17" s="9">
        <v>5050000</v>
      </c>
      <c r="P17" s="9">
        <v>5050000</v>
      </c>
      <c r="Q17" s="9">
        <v>5050000</v>
      </c>
      <c r="R17" s="9">
        <v>5050000</v>
      </c>
      <c r="S17" s="9">
        <v>5050000</v>
      </c>
      <c r="T17" s="9">
        <v>5050000</v>
      </c>
      <c r="U17" s="9">
        <v>5050000</v>
      </c>
      <c r="V17" s="9">
        <v>5050000</v>
      </c>
      <c r="W17" s="9">
        <v>5050000</v>
      </c>
      <c r="X17" s="9">
        <v>5050000</v>
      </c>
      <c r="Y17" s="9">
        <v>11000000</v>
      </c>
      <c r="Z17" s="9">
        <v>11000000</v>
      </c>
      <c r="AA17" s="9">
        <v>11000000</v>
      </c>
      <c r="AB17" s="9">
        <v>11000000</v>
      </c>
      <c r="AC17" s="9">
        <v>11000000</v>
      </c>
      <c r="AD17" s="9">
        <v>11000000</v>
      </c>
      <c r="AE17" s="9">
        <v>11000000</v>
      </c>
      <c r="AF17" s="9">
        <v>11000000</v>
      </c>
      <c r="AG17" s="9">
        <v>11000000</v>
      </c>
      <c r="AH17" s="9">
        <v>11000000</v>
      </c>
      <c r="AI17" s="9">
        <v>11000000</v>
      </c>
      <c r="AJ17" s="9">
        <v>11000000</v>
      </c>
      <c r="AK17" s="9">
        <v>0</v>
      </c>
      <c r="AL17" s="9">
        <v>0</v>
      </c>
      <c r="AM17" s="9">
        <v>0</v>
      </c>
      <c r="AN17" s="9">
        <v>0</v>
      </c>
      <c r="AO17" s="9">
        <v>0</v>
      </c>
      <c r="AP17" s="9">
        <v>0</v>
      </c>
      <c r="AQ17" s="9">
        <v>0</v>
      </c>
      <c r="AR17" s="9">
        <v>0</v>
      </c>
      <c r="AS17" s="9">
        <v>0</v>
      </c>
      <c r="AT17" s="9">
        <v>0</v>
      </c>
      <c r="AU17" s="9">
        <v>0</v>
      </c>
      <c r="AV17" s="9">
        <v>0</v>
      </c>
      <c r="AW17" s="9"/>
      <c r="AX17" s="9">
        <v>5050000</v>
      </c>
      <c r="AY17" s="9">
        <v>5050000</v>
      </c>
      <c r="AZ17" s="9">
        <v>5050000</v>
      </c>
      <c r="BA17" s="9">
        <v>5050000</v>
      </c>
      <c r="BB17" s="9">
        <v>6000000</v>
      </c>
      <c r="BC17" s="9">
        <v>6000000</v>
      </c>
      <c r="BD17" s="9">
        <v>6000000</v>
      </c>
      <c r="BE17" s="9">
        <v>6000000</v>
      </c>
      <c r="BF17" s="9">
        <v>6000000</v>
      </c>
      <c r="BG17" s="9">
        <v>6000000</v>
      </c>
      <c r="BH17" s="9">
        <v>6000000</v>
      </c>
      <c r="BI17" s="9">
        <v>730000</v>
      </c>
      <c r="BJ17" s="9">
        <v>730000</v>
      </c>
      <c r="BK17" s="9">
        <v>730000</v>
      </c>
      <c r="BL17" s="9">
        <v>730000</v>
      </c>
      <c r="BM17" s="9">
        <v>730000</v>
      </c>
      <c r="BN17" s="9">
        <v>730000</v>
      </c>
      <c r="BO17" s="9">
        <v>730000</v>
      </c>
      <c r="BP17" s="9">
        <v>730000</v>
      </c>
      <c r="BQ17" s="9">
        <v>730000</v>
      </c>
      <c r="BR17" s="9">
        <v>730000</v>
      </c>
      <c r="BS17" s="9">
        <v>730000</v>
      </c>
      <c r="BT17" s="9">
        <v>730000</v>
      </c>
      <c r="BU17" s="9">
        <v>500000</v>
      </c>
      <c r="BV17" s="9">
        <v>500000</v>
      </c>
      <c r="BW17" s="9">
        <v>500000</v>
      </c>
      <c r="BX17" s="9">
        <v>500000</v>
      </c>
      <c r="BY17" s="9">
        <v>500000</v>
      </c>
      <c r="BZ17" s="9">
        <v>500000</v>
      </c>
      <c r="CA17" s="9">
        <v>500000</v>
      </c>
      <c r="CB17" s="9">
        <v>500000</v>
      </c>
      <c r="CC17" s="9">
        <v>500000</v>
      </c>
      <c r="CD17" s="9">
        <v>500000</v>
      </c>
      <c r="CE17" s="9">
        <v>500000</v>
      </c>
      <c r="CF17" s="9">
        <v>500000</v>
      </c>
      <c r="CG17" s="3">
        <v>0</v>
      </c>
      <c r="CH17" s="3">
        <v>0</v>
      </c>
      <c r="CI17" s="3">
        <v>0</v>
      </c>
      <c r="CJ17" s="3">
        <v>0</v>
      </c>
      <c r="CK17" s="3">
        <v>0</v>
      </c>
      <c r="CL17" s="3">
        <v>0</v>
      </c>
      <c r="CM17" s="3">
        <v>0</v>
      </c>
      <c r="CN17" s="3">
        <v>0</v>
      </c>
      <c r="CO17" s="3">
        <v>0</v>
      </c>
      <c r="CP17" s="3">
        <v>0</v>
      </c>
      <c r="CQ17" s="3">
        <v>0</v>
      </c>
      <c r="CR17" s="3">
        <v>0</v>
      </c>
      <c r="CS17" s="9">
        <v>1200000</v>
      </c>
      <c r="CT17" s="9">
        <v>1200000</v>
      </c>
      <c r="CU17" s="9">
        <v>1200000</v>
      </c>
      <c r="CV17" s="9">
        <v>1200000</v>
      </c>
      <c r="CW17" s="9">
        <v>1200000</v>
      </c>
      <c r="CX17" s="9">
        <v>1200000</v>
      </c>
      <c r="CY17" s="9">
        <v>1200000</v>
      </c>
      <c r="CZ17" s="9">
        <v>1200000</v>
      </c>
      <c r="DA17" s="9">
        <v>1200000</v>
      </c>
      <c r="DB17" s="9">
        <v>1200000</v>
      </c>
      <c r="DC17" s="9">
        <v>1200000</v>
      </c>
      <c r="DD17" s="9">
        <v>1200000</v>
      </c>
      <c r="DE17" s="9">
        <v>3500000</v>
      </c>
      <c r="DF17" s="9">
        <v>3500000</v>
      </c>
      <c r="DG17" s="9">
        <v>3500000</v>
      </c>
      <c r="DH17" s="9">
        <v>3500000</v>
      </c>
      <c r="DI17" s="9">
        <v>3500000</v>
      </c>
      <c r="DJ17" s="9">
        <v>3500000</v>
      </c>
      <c r="DK17" s="9">
        <v>3500000</v>
      </c>
      <c r="DL17" s="9">
        <v>3500000</v>
      </c>
      <c r="DM17" s="9">
        <v>3500000</v>
      </c>
      <c r="DN17" s="9">
        <v>3500000</v>
      </c>
      <c r="DO17" s="9">
        <v>3500000</v>
      </c>
      <c r="DP17" s="9">
        <v>3500000</v>
      </c>
    </row>
    <row r="18" spans="1:120" x14ac:dyDescent="0.3">
      <c r="A18" s="5">
        <f t="shared" si="0"/>
        <v>14</v>
      </c>
      <c r="B18" s="3" t="s">
        <v>53</v>
      </c>
      <c r="C18" s="3" t="s">
        <v>54</v>
      </c>
      <c r="D18" s="3" t="s">
        <v>26</v>
      </c>
      <c r="E18" s="3" t="s">
        <v>439</v>
      </c>
      <c r="F18" s="7" t="s">
        <v>461</v>
      </c>
      <c r="G18" s="7" t="s">
        <v>463</v>
      </c>
      <c r="I18" s="148">
        <v>33761</v>
      </c>
      <c r="J18" s="5" t="s">
        <v>560</v>
      </c>
      <c r="K18" s="148">
        <v>44793</v>
      </c>
      <c r="L18" s="5" t="s">
        <v>560</v>
      </c>
      <c r="M18" s="9">
        <v>5050000</v>
      </c>
      <c r="N18" s="9">
        <v>5050000</v>
      </c>
      <c r="O18" s="9">
        <v>5050000</v>
      </c>
      <c r="P18" s="9">
        <v>5050000</v>
      </c>
      <c r="Q18" s="9">
        <v>5050000</v>
      </c>
      <c r="R18" s="9">
        <v>5050000</v>
      </c>
      <c r="S18" s="9">
        <v>5050000</v>
      </c>
      <c r="T18" s="9">
        <v>5050000</v>
      </c>
      <c r="U18" s="9">
        <v>5050000</v>
      </c>
      <c r="V18" s="9">
        <v>5050000</v>
      </c>
      <c r="W18" s="9"/>
      <c r="X18" s="9"/>
      <c r="Y18" s="9">
        <v>11000000</v>
      </c>
      <c r="Z18" s="9">
        <v>11000000</v>
      </c>
      <c r="AA18" s="9">
        <v>11000000</v>
      </c>
      <c r="AB18" s="9">
        <v>11000000</v>
      </c>
      <c r="AC18" s="9">
        <v>11000000</v>
      </c>
      <c r="AD18" s="9">
        <v>11000000</v>
      </c>
      <c r="AE18" s="9">
        <v>11000000</v>
      </c>
      <c r="AF18" s="9">
        <v>11000000</v>
      </c>
      <c r="AG18" s="9">
        <v>11000000</v>
      </c>
      <c r="AH18" s="9">
        <v>11000000</v>
      </c>
      <c r="AI18" s="9"/>
      <c r="AJ18" s="9"/>
      <c r="AK18" s="9">
        <v>0</v>
      </c>
      <c r="AL18" s="9">
        <v>0</v>
      </c>
      <c r="AM18" s="9">
        <v>0</v>
      </c>
      <c r="AN18" s="9">
        <v>0</v>
      </c>
      <c r="AO18" s="9">
        <v>0</v>
      </c>
      <c r="AP18" s="9">
        <v>0</v>
      </c>
      <c r="AQ18" s="9">
        <v>0</v>
      </c>
      <c r="AR18" s="9">
        <v>0</v>
      </c>
      <c r="AS18" s="9">
        <v>0</v>
      </c>
      <c r="AT18" s="9">
        <v>0</v>
      </c>
      <c r="AU18" s="9">
        <v>0</v>
      </c>
      <c r="AV18" s="9">
        <v>0</v>
      </c>
      <c r="AW18" s="9"/>
      <c r="AX18" s="9">
        <v>5050000</v>
      </c>
      <c r="AY18" s="9">
        <v>5050000</v>
      </c>
      <c r="AZ18" s="9">
        <v>5050000</v>
      </c>
      <c r="BA18" s="9">
        <v>5050000</v>
      </c>
      <c r="BB18" s="9">
        <v>5800000</v>
      </c>
      <c r="BC18" s="9">
        <v>5800000</v>
      </c>
      <c r="BD18" s="9">
        <v>5800000</v>
      </c>
      <c r="BE18" s="9">
        <v>5800000</v>
      </c>
      <c r="BF18" s="9">
        <v>5800000</v>
      </c>
      <c r="BG18" s="9"/>
      <c r="BH18" s="9"/>
      <c r="BI18" s="9">
        <v>730000</v>
      </c>
      <c r="BJ18" s="9">
        <v>730000</v>
      </c>
      <c r="BK18" s="9">
        <v>730000</v>
      </c>
      <c r="BL18" s="9">
        <v>730000</v>
      </c>
      <c r="BM18" s="9">
        <v>730000</v>
      </c>
      <c r="BN18" s="9">
        <v>730000</v>
      </c>
      <c r="BO18" s="9">
        <v>730000</v>
      </c>
      <c r="BP18" s="9">
        <v>730000</v>
      </c>
      <c r="BQ18" s="9">
        <v>730000</v>
      </c>
      <c r="BR18" s="9">
        <v>730000</v>
      </c>
      <c r="BS18" s="9"/>
      <c r="BT18" s="9"/>
      <c r="BU18" s="9">
        <v>500000</v>
      </c>
      <c r="BV18" s="9">
        <v>500000</v>
      </c>
      <c r="BW18" s="9">
        <v>500000</v>
      </c>
      <c r="BX18" s="9">
        <v>500000</v>
      </c>
      <c r="BY18" s="9">
        <v>500000</v>
      </c>
      <c r="BZ18" s="9">
        <v>500000</v>
      </c>
      <c r="CA18" s="9">
        <v>500000</v>
      </c>
      <c r="CB18" s="9">
        <v>500000</v>
      </c>
      <c r="CC18" s="9">
        <v>500000</v>
      </c>
      <c r="CD18" s="9">
        <v>500000</v>
      </c>
      <c r="CE18" s="9"/>
      <c r="CF18" s="9"/>
      <c r="CG18" s="3">
        <v>0</v>
      </c>
      <c r="CH18" s="3">
        <v>0</v>
      </c>
      <c r="CI18" s="3">
        <v>0</v>
      </c>
      <c r="CJ18" s="3">
        <v>0</v>
      </c>
      <c r="CK18" s="3">
        <v>0</v>
      </c>
      <c r="CL18" s="3">
        <v>0</v>
      </c>
      <c r="CM18" s="3">
        <v>0</v>
      </c>
      <c r="CN18" s="3">
        <v>0</v>
      </c>
      <c r="CO18" s="3">
        <v>0</v>
      </c>
      <c r="CP18" s="3">
        <v>0</v>
      </c>
      <c r="CS18" s="9">
        <v>1200000</v>
      </c>
      <c r="CT18" s="9">
        <v>1200000</v>
      </c>
      <c r="CU18" s="9">
        <v>1200000</v>
      </c>
      <c r="CV18" s="9">
        <v>1200000</v>
      </c>
      <c r="CW18" s="9">
        <v>1200000</v>
      </c>
      <c r="CX18" s="9">
        <v>1200000</v>
      </c>
      <c r="CY18" s="9">
        <v>1200000</v>
      </c>
      <c r="CZ18" s="9">
        <v>1200000</v>
      </c>
      <c r="DA18" s="9">
        <v>1200000</v>
      </c>
      <c r="DB18" s="9">
        <v>1200000</v>
      </c>
      <c r="DC18" s="9"/>
      <c r="DD18" s="9"/>
      <c r="DE18" s="9">
        <v>3500000</v>
      </c>
      <c r="DF18" s="9">
        <v>3500000</v>
      </c>
      <c r="DG18" s="9">
        <v>3500000</v>
      </c>
      <c r="DH18" s="9">
        <v>3500000</v>
      </c>
      <c r="DI18" s="9">
        <v>3500000</v>
      </c>
      <c r="DJ18" s="9">
        <v>3500000</v>
      </c>
      <c r="DK18" s="9">
        <v>3500000</v>
      </c>
      <c r="DL18" s="9">
        <v>3500000</v>
      </c>
      <c r="DM18" s="9">
        <v>3500000</v>
      </c>
      <c r="DN18" s="9">
        <v>3500000</v>
      </c>
      <c r="DO18" s="9"/>
      <c r="DP18" s="9"/>
    </row>
    <row r="19" spans="1:120" x14ac:dyDescent="0.3">
      <c r="A19" s="5">
        <f t="shared" si="0"/>
        <v>15</v>
      </c>
      <c r="B19" s="3" t="s">
        <v>55</v>
      </c>
      <c r="C19" s="3" t="s">
        <v>56</v>
      </c>
      <c r="D19" s="3" t="s">
        <v>26</v>
      </c>
      <c r="E19" s="3" t="s">
        <v>439</v>
      </c>
      <c r="F19" s="7" t="s">
        <v>462</v>
      </c>
      <c r="G19" s="7" t="s">
        <v>464</v>
      </c>
      <c r="I19" s="148">
        <v>31499</v>
      </c>
      <c r="J19" s="5" t="s">
        <v>563</v>
      </c>
      <c r="K19" s="148">
        <v>44793</v>
      </c>
      <c r="L19" s="5" t="s">
        <v>563</v>
      </c>
      <c r="M19" s="9">
        <v>5050000</v>
      </c>
      <c r="N19" s="9">
        <v>5050000</v>
      </c>
      <c r="O19" s="9">
        <v>5050000</v>
      </c>
      <c r="P19" s="9">
        <v>5050000</v>
      </c>
      <c r="Q19" s="9">
        <v>5050000</v>
      </c>
      <c r="R19" s="9">
        <v>5050000</v>
      </c>
      <c r="S19" s="9">
        <v>5050000</v>
      </c>
      <c r="T19" s="9">
        <v>5050000</v>
      </c>
      <c r="U19" s="9">
        <v>5050000</v>
      </c>
      <c r="V19" s="9">
        <v>5050000</v>
      </c>
      <c r="W19" s="9"/>
      <c r="X19" s="9"/>
      <c r="Y19" s="9">
        <v>11000000</v>
      </c>
      <c r="Z19" s="9">
        <v>11000000</v>
      </c>
      <c r="AA19" s="9">
        <v>11000000</v>
      </c>
      <c r="AB19" s="9">
        <v>11000000</v>
      </c>
      <c r="AC19" s="9">
        <v>11000000</v>
      </c>
      <c r="AD19" s="9">
        <v>11000000</v>
      </c>
      <c r="AE19" s="9">
        <v>11000000</v>
      </c>
      <c r="AF19" s="9">
        <v>11000000</v>
      </c>
      <c r="AG19" s="9">
        <v>11000000</v>
      </c>
      <c r="AH19" s="9">
        <v>11000000</v>
      </c>
      <c r="AI19" s="9"/>
      <c r="AJ19" s="9"/>
      <c r="AK19" s="9">
        <v>0</v>
      </c>
      <c r="AL19" s="9">
        <v>0</v>
      </c>
      <c r="AM19" s="9">
        <v>0</v>
      </c>
      <c r="AN19" s="9">
        <v>0</v>
      </c>
      <c r="AO19" s="9">
        <v>0</v>
      </c>
      <c r="AP19" s="9">
        <v>0</v>
      </c>
      <c r="AQ19" s="9">
        <v>0</v>
      </c>
      <c r="AR19" s="9">
        <v>0</v>
      </c>
      <c r="AS19" s="9">
        <v>0</v>
      </c>
      <c r="AT19" s="9">
        <v>0</v>
      </c>
      <c r="AU19" s="9">
        <v>0</v>
      </c>
      <c r="AV19" s="9">
        <v>0</v>
      </c>
      <c r="AW19" s="9"/>
      <c r="AX19" s="9">
        <v>5050000</v>
      </c>
      <c r="AY19" s="9">
        <v>5050000</v>
      </c>
      <c r="AZ19" s="9">
        <v>5050000</v>
      </c>
      <c r="BA19" s="9">
        <v>5050000</v>
      </c>
      <c r="BB19" s="9">
        <v>5800000</v>
      </c>
      <c r="BC19" s="9">
        <v>5800000</v>
      </c>
      <c r="BD19" s="9">
        <v>5800000</v>
      </c>
      <c r="BE19" s="9">
        <v>5800000</v>
      </c>
      <c r="BF19" s="9">
        <v>5800000</v>
      </c>
      <c r="BG19" s="9"/>
      <c r="BH19" s="9"/>
      <c r="BI19" s="9">
        <v>730000</v>
      </c>
      <c r="BJ19" s="9">
        <v>730000</v>
      </c>
      <c r="BK19" s="9">
        <v>730000</v>
      </c>
      <c r="BL19" s="9">
        <v>730000</v>
      </c>
      <c r="BM19" s="9">
        <v>730000</v>
      </c>
      <c r="BN19" s="9">
        <v>730000</v>
      </c>
      <c r="BO19" s="9">
        <v>730000</v>
      </c>
      <c r="BP19" s="9">
        <v>730000</v>
      </c>
      <c r="BQ19" s="9">
        <v>730000</v>
      </c>
      <c r="BR19" s="9">
        <v>730000</v>
      </c>
      <c r="BS19" s="9"/>
      <c r="BT19" s="9"/>
      <c r="BU19" s="9">
        <v>500000</v>
      </c>
      <c r="BV19" s="9">
        <v>500000</v>
      </c>
      <c r="BW19" s="9">
        <v>500000</v>
      </c>
      <c r="BX19" s="9">
        <v>500000</v>
      </c>
      <c r="BY19" s="9">
        <v>500000</v>
      </c>
      <c r="BZ19" s="9">
        <v>500000</v>
      </c>
      <c r="CA19" s="9">
        <v>500000</v>
      </c>
      <c r="CB19" s="9">
        <v>500000</v>
      </c>
      <c r="CC19" s="9">
        <v>500000</v>
      </c>
      <c r="CD19" s="9">
        <v>500000</v>
      </c>
      <c r="CE19" s="9"/>
      <c r="CF19" s="9"/>
      <c r="CG19" s="3">
        <v>0</v>
      </c>
      <c r="CH19" s="3">
        <v>0</v>
      </c>
      <c r="CI19" s="3">
        <v>0</v>
      </c>
      <c r="CJ19" s="3">
        <v>0</v>
      </c>
      <c r="CK19" s="3">
        <v>0</v>
      </c>
      <c r="CL19" s="3">
        <v>0</v>
      </c>
      <c r="CM19" s="3">
        <v>0</v>
      </c>
      <c r="CN19" s="3">
        <v>0</v>
      </c>
      <c r="CO19" s="3">
        <v>0</v>
      </c>
      <c r="CP19" s="3">
        <v>0</v>
      </c>
      <c r="CS19" s="9">
        <v>1200000</v>
      </c>
      <c r="CT19" s="9">
        <v>1200000</v>
      </c>
      <c r="CU19" s="9">
        <v>1200000</v>
      </c>
      <c r="CV19" s="9">
        <v>1200000</v>
      </c>
      <c r="CW19" s="9">
        <v>1200000</v>
      </c>
      <c r="CX19" s="9">
        <v>1200000</v>
      </c>
      <c r="CY19" s="9">
        <v>1200000</v>
      </c>
      <c r="CZ19" s="9">
        <v>1200000</v>
      </c>
      <c r="DA19" s="9">
        <v>1200000</v>
      </c>
      <c r="DB19" s="9">
        <v>1200000</v>
      </c>
      <c r="DC19" s="9"/>
      <c r="DD19" s="9"/>
      <c r="DE19" s="9">
        <v>3500000</v>
      </c>
      <c r="DF19" s="9">
        <v>3500000</v>
      </c>
      <c r="DG19" s="9">
        <v>3500000</v>
      </c>
      <c r="DH19" s="9">
        <v>3500000</v>
      </c>
      <c r="DI19" s="9">
        <v>3500000</v>
      </c>
      <c r="DJ19" s="9">
        <v>3500000</v>
      </c>
      <c r="DK19" s="9">
        <v>3500000</v>
      </c>
      <c r="DL19" s="9">
        <v>3500000</v>
      </c>
      <c r="DM19" s="9">
        <v>3500000</v>
      </c>
      <c r="DN19" s="9">
        <v>3500000</v>
      </c>
      <c r="DO19" s="9"/>
      <c r="DP19" s="9"/>
    </row>
    <row r="20" spans="1:120" x14ac:dyDescent="0.3">
      <c r="AU20" s="9"/>
      <c r="AV20" s="9"/>
    </row>
  </sheetData>
  <mergeCells count="1">
    <mergeCell ref="M2:R2"/>
  </mergeCells>
  <phoneticPr fontId="1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F8DA7-D9DE-40C7-BE47-AA50936F5696}">
  <sheetPr codeName="Sheet21">
    <tabColor rgb="FF92D050"/>
  </sheetPr>
  <dimension ref="A1:H17"/>
  <sheetViews>
    <sheetView workbookViewId="0">
      <selection activeCell="J29" sqref="J29"/>
    </sheetView>
  </sheetViews>
  <sheetFormatPr defaultRowHeight="14.4" x14ac:dyDescent="0.3"/>
  <cols>
    <col min="1" max="2" width="8.88671875" style="3"/>
    <col min="3" max="4" width="14.6640625" style="3" customWidth="1"/>
    <col min="5" max="8" width="12.77734375" style="3" customWidth="1"/>
    <col min="9" max="16384" width="8.88671875" style="3"/>
  </cols>
  <sheetData>
    <row r="1" spans="1:8" x14ac:dyDescent="0.3">
      <c r="A1" s="30" t="s">
        <v>121</v>
      </c>
      <c r="B1" s="30" t="s">
        <v>122</v>
      </c>
      <c r="C1" s="30" t="s">
        <v>365</v>
      </c>
      <c r="D1"/>
      <c r="E1"/>
      <c r="F1"/>
      <c r="G1"/>
      <c r="H1"/>
    </row>
    <row r="2" spans="1:8" x14ac:dyDescent="0.3">
      <c r="A2" s="23">
        <v>1</v>
      </c>
      <c r="B2" s="23">
        <v>2023</v>
      </c>
      <c r="C2" s="56">
        <v>3600000</v>
      </c>
      <c r="D2"/>
      <c r="E2"/>
      <c r="F2"/>
      <c r="G2"/>
      <c r="H2"/>
    </row>
    <row r="3" spans="1:8" x14ac:dyDescent="0.3">
      <c r="A3" s="23">
        <v>2</v>
      </c>
      <c r="B3" s="23">
        <v>2023</v>
      </c>
      <c r="C3" s="56">
        <v>3600000</v>
      </c>
      <c r="D3"/>
      <c r="E3"/>
      <c r="F3"/>
      <c r="G3"/>
      <c r="H3"/>
    </row>
    <row r="4" spans="1:8" x14ac:dyDescent="0.3">
      <c r="A4" s="23">
        <v>3</v>
      </c>
      <c r="B4" s="23">
        <v>2023</v>
      </c>
      <c r="C4" s="56">
        <v>3600000</v>
      </c>
      <c r="D4"/>
      <c r="E4"/>
      <c r="F4"/>
      <c r="G4"/>
      <c r="H4"/>
    </row>
    <row r="5" spans="1:8" x14ac:dyDescent="0.3">
      <c r="A5" s="23">
        <v>4</v>
      </c>
      <c r="B5" s="23">
        <v>2023</v>
      </c>
      <c r="C5" s="56">
        <v>3600000</v>
      </c>
      <c r="D5"/>
      <c r="E5"/>
      <c r="F5"/>
      <c r="G5"/>
      <c r="H5"/>
    </row>
    <row r="6" spans="1:8" x14ac:dyDescent="0.3">
      <c r="A6" s="23">
        <v>5</v>
      </c>
      <c r="B6" s="23">
        <v>2023</v>
      </c>
      <c r="C6" s="56">
        <v>3600000</v>
      </c>
      <c r="D6"/>
      <c r="E6"/>
      <c r="F6"/>
      <c r="G6"/>
      <c r="H6"/>
    </row>
    <row r="7" spans="1:8" x14ac:dyDescent="0.3">
      <c r="A7" s="23">
        <v>6</v>
      </c>
      <c r="B7" s="23">
        <v>2023</v>
      </c>
      <c r="C7" s="56">
        <v>3600000</v>
      </c>
      <c r="D7"/>
      <c r="E7"/>
      <c r="F7"/>
      <c r="G7"/>
      <c r="H7"/>
    </row>
    <row r="8" spans="1:8" x14ac:dyDescent="0.3">
      <c r="A8" s="23">
        <v>7</v>
      </c>
      <c r="B8" s="23">
        <v>2023</v>
      </c>
      <c r="C8" s="56">
        <v>3600000</v>
      </c>
      <c r="D8"/>
      <c r="E8"/>
      <c r="F8"/>
      <c r="G8"/>
      <c r="H8"/>
    </row>
    <row r="9" spans="1:8" x14ac:dyDescent="0.3">
      <c r="A9" s="23">
        <v>8</v>
      </c>
      <c r="B9" s="23">
        <v>2023</v>
      </c>
      <c r="C9" s="56">
        <v>3600000</v>
      </c>
      <c r="D9"/>
      <c r="E9"/>
      <c r="F9"/>
      <c r="G9"/>
      <c r="H9"/>
    </row>
    <row r="10" spans="1:8" x14ac:dyDescent="0.3">
      <c r="A10" s="23">
        <v>9</v>
      </c>
      <c r="B10" s="23">
        <v>2023</v>
      </c>
      <c r="C10" s="56">
        <v>3600000</v>
      </c>
      <c r="D10"/>
      <c r="E10"/>
      <c r="F10"/>
      <c r="G10"/>
      <c r="H10"/>
    </row>
    <row r="11" spans="1:8" x14ac:dyDescent="0.3">
      <c r="A11" s="23">
        <v>10</v>
      </c>
      <c r="B11" s="23">
        <v>2023</v>
      </c>
      <c r="C11" s="56">
        <v>3600000</v>
      </c>
      <c r="D11"/>
      <c r="E11"/>
      <c r="F11"/>
      <c r="G11"/>
      <c r="H11"/>
    </row>
    <row r="12" spans="1:8" x14ac:dyDescent="0.3">
      <c r="A12" s="23">
        <v>11</v>
      </c>
      <c r="B12" s="23">
        <v>2023</v>
      </c>
      <c r="C12" s="56">
        <v>3600000</v>
      </c>
      <c r="D12"/>
      <c r="E12"/>
      <c r="F12"/>
      <c r="G12"/>
      <c r="H12"/>
    </row>
    <row r="13" spans="1:8" x14ac:dyDescent="0.3">
      <c r="A13" s="23">
        <v>12</v>
      </c>
      <c r="B13" s="23">
        <v>2023</v>
      </c>
      <c r="C13" s="56">
        <v>3600000</v>
      </c>
      <c r="D13"/>
      <c r="E13"/>
      <c r="F13"/>
      <c r="G13"/>
      <c r="H13"/>
    </row>
    <row r="14" spans="1:8" x14ac:dyDescent="0.3">
      <c r="C14"/>
      <c r="D14"/>
      <c r="E14"/>
      <c r="F14"/>
      <c r="G14"/>
      <c r="H14"/>
    </row>
    <row r="15" spans="1:8" x14ac:dyDescent="0.3">
      <c r="C15"/>
      <c r="D15"/>
      <c r="E15"/>
      <c r="F15"/>
      <c r="G15"/>
      <c r="H15"/>
    </row>
    <row r="16" spans="1:8" x14ac:dyDescent="0.3">
      <c r="C16"/>
      <c r="D16"/>
      <c r="E16"/>
      <c r="F16"/>
      <c r="G16"/>
      <c r="H16"/>
    </row>
    <row r="17" spans="3:8" x14ac:dyDescent="0.3">
      <c r="C17"/>
      <c r="D17"/>
      <c r="E17"/>
      <c r="F17"/>
      <c r="G17"/>
      <c r="H17"/>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0FAC7-5245-46FF-8570-6F5F71F53932}">
  <sheetPr codeName="Sheet9">
    <tabColor theme="1"/>
  </sheetPr>
  <dimension ref="A1:R37"/>
  <sheetViews>
    <sheetView workbookViewId="0">
      <selection sqref="A1:B2"/>
    </sheetView>
  </sheetViews>
  <sheetFormatPr defaultColWidth="9.109375" defaultRowHeight="17.399999999999999" x14ac:dyDescent="0.35"/>
  <cols>
    <col min="1" max="1" width="10.88671875" style="143" customWidth="1"/>
    <col min="2" max="2" width="11.109375" style="103" customWidth="1"/>
    <col min="3" max="3" width="15" style="144" customWidth="1"/>
    <col min="4" max="4" width="22.44140625" style="102" customWidth="1"/>
    <col min="5" max="5" width="16.44140625" style="149" customWidth="1"/>
    <col min="6" max="6" width="12.77734375" style="102" bestFit="1" customWidth="1"/>
    <col min="7" max="7" width="19" style="144" customWidth="1"/>
    <col min="8" max="8" width="15.44140625" style="144" customWidth="1"/>
    <col min="9" max="9" width="12.88671875" style="149" customWidth="1"/>
    <col min="10" max="10" width="12.6640625" style="144" customWidth="1"/>
    <col min="11" max="11" width="12.6640625" style="145" customWidth="1"/>
    <col min="12" max="14" width="12.33203125" style="146" customWidth="1"/>
    <col min="15" max="16" width="12.33203125" style="104" bestFit="1" customWidth="1"/>
    <col min="17" max="17" width="23.44140625" style="102" customWidth="1"/>
    <col min="18" max="16384" width="9.109375" style="102"/>
  </cols>
  <sheetData>
    <row r="1" spans="1:18" x14ac:dyDescent="0.35">
      <c r="A1" s="174" t="s">
        <v>547</v>
      </c>
      <c r="B1" s="172" t="s">
        <v>548</v>
      </c>
      <c r="C1" s="171" t="s">
        <v>549</v>
      </c>
      <c r="D1" s="177" t="s">
        <v>550</v>
      </c>
      <c r="E1" s="179" t="s">
        <v>551</v>
      </c>
      <c r="F1" s="177" t="s">
        <v>3</v>
      </c>
      <c r="G1" s="181" t="s">
        <v>552</v>
      </c>
      <c r="H1" s="183" t="s">
        <v>373</v>
      </c>
      <c r="I1" s="185" t="s">
        <v>553</v>
      </c>
      <c r="J1" s="181" t="s">
        <v>554</v>
      </c>
      <c r="K1" s="187" t="s">
        <v>113</v>
      </c>
      <c r="L1" s="169" t="s">
        <v>182</v>
      </c>
      <c r="M1" s="169" t="s">
        <v>447</v>
      </c>
      <c r="N1" s="169" t="s">
        <v>446</v>
      </c>
      <c r="O1" s="171" t="s">
        <v>555</v>
      </c>
      <c r="P1" s="171"/>
      <c r="Q1" s="172" t="s">
        <v>556</v>
      </c>
      <c r="R1" s="168"/>
    </row>
    <row r="2" spans="1:18" ht="18" thickBot="1" x14ac:dyDescent="0.4">
      <c r="A2" s="175"/>
      <c r="B2" s="173"/>
      <c r="C2" s="176"/>
      <c r="D2" s="178"/>
      <c r="E2" s="180"/>
      <c r="F2" s="178"/>
      <c r="G2" s="182"/>
      <c r="H2" s="184"/>
      <c r="I2" s="186"/>
      <c r="J2" s="182"/>
      <c r="K2" s="188"/>
      <c r="L2" s="170"/>
      <c r="M2" s="170"/>
      <c r="N2" s="170"/>
      <c r="O2" s="147" t="s">
        <v>432</v>
      </c>
      <c r="P2" s="147" t="s">
        <v>433</v>
      </c>
      <c r="Q2" s="173"/>
      <c r="R2" s="168"/>
    </row>
    <row r="3" spans="1:18" x14ac:dyDescent="0.35">
      <c r="A3" s="143" t="str">
        <f t="shared" ref="A3:A37" si="0">"HD"&amp;ROW(A1)</f>
        <v>HD1</v>
      </c>
      <c r="B3" s="103" t="s">
        <v>567</v>
      </c>
      <c r="D3" s="102" t="s">
        <v>10</v>
      </c>
      <c r="E3" s="149">
        <v>31952</v>
      </c>
      <c r="F3" s="102" t="s">
        <v>560</v>
      </c>
      <c r="G3" s="144" t="s">
        <v>13</v>
      </c>
      <c r="H3" s="144" t="s">
        <v>465</v>
      </c>
      <c r="I3" s="149">
        <v>45061</v>
      </c>
      <c r="J3" s="144" t="s">
        <v>560</v>
      </c>
      <c r="K3" s="145">
        <v>5007600</v>
      </c>
      <c r="L3" s="146">
        <v>730000</v>
      </c>
      <c r="M3" s="146">
        <v>1200000</v>
      </c>
      <c r="N3" s="146">
        <v>500000</v>
      </c>
      <c r="O3" s="104" t="s">
        <v>566</v>
      </c>
      <c r="P3" s="104" t="s">
        <v>569</v>
      </c>
      <c r="Q3" s="102" t="s">
        <v>11</v>
      </c>
    </row>
    <row r="4" spans="1:18" x14ac:dyDescent="0.35">
      <c r="A4" s="143" t="str">
        <f t="shared" si="0"/>
        <v>HD2</v>
      </c>
      <c r="B4" s="103" t="s">
        <v>567</v>
      </c>
      <c r="D4" s="102" t="s">
        <v>10</v>
      </c>
      <c r="E4" s="149">
        <v>31952</v>
      </c>
      <c r="F4" s="102" t="s">
        <v>560</v>
      </c>
      <c r="G4" s="144" t="s">
        <v>13</v>
      </c>
      <c r="H4" s="144" t="s">
        <v>465</v>
      </c>
      <c r="I4" s="149">
        <v>45061</v>
      </c>
      <c r="J4" s="144" t="s">
        <v>560</v>
      </c>
      <c r="K4" s="145">
        <v>6000000</v>
      </c>
      <c r="L4" s="146">
        <v>730000</v>
      </c>
      <c r="M4" s="146">
        <v>1200000</v>
      </c>
      <c r="N4" s="146">
        <v>500000</v>
      </c>
      <c r="O4" s="104" t="s">
        <v>570</v>
      </c>
      <c r="P4" s="104" t="s">
        <v>572</v>
      </c>
      <c r="Q4" s="102" t="s">
        <v>11</v>
      </c>
    </row>
    <row r="5" spans="1:18" x14ac:dyDescent="0.35">
      <c r="A5" s="143" t="str">
        <f t="shared" si="0"/>
        <v>HD3</v>
      </c>
      <c r="B5" s="103" t="s">
        <v>567</v>
      </c>
      <c r="D5" s="102" t="s">
        <v>15</v>
      </c>
      <c r="E5" s="149">
        <v>36091</v>
      </c>
      <c r="F5" s="102" t="s">
        <v>560</v>
      </c>
      <c r="G5" s="144" t="s">
        <v>18</v>
      </c>
      <c r="H5" s="144" t="s">
        <v>466</v>
      </c>
      <c r="I5" s="149">
        <v>45061</v>
      </c>
      <c r="J5" s="144" t="s">
        <v>560</v>
      </c>
      <c r="K5" s="145">
        <v>5007600</v>
      </c>
      <c r="L5" s="146">
        <v>730000</v>
      </c>
      <c r="M5" s="146">
        <v>1200000</v>
      </c>
      <c r="N5" s="146">
        <v>500000</v>
      </c>
      <c r="O5" s="104" t="s">
        <v>566</v>
      </c>
      <c r="P5" s="104" t="s">
        <v>569</v>
      </c>
      <c r="Q5" s="102" t="s">
        <v>16</v>
      </c>
    </row>
    <row r="6" spans="1:18" x14ac:dyDescent="0.35">
      <c r="A6" s="143" t="str">
        <f t="shared" si="0"/>
        <v>HD4</v>
      </c>
      <c r="B6" s="103" t="s">
        <v>567</v>
      </c>
      <c r="D6" s="102" t="s">
        <v>15</v>
      </c>
      <c r="E6" s="149">
        <v>36091</v>
      </c>
      <c r="F6" s="102" t="s">
        <v>560</v>
      </c>
      <c r="G6" s="144" t="s">
        <v>18</v>
      </c>
      <c r="H6" s="144" t="s">
        <v>466</v>
      </c>
      <c r="I6" s="149">
        <v>45061</v>
      </c>
      <c r="J6" s="144" t="s">
        <v>560</v>
      </c>
      <c r="K6" s="145">
        <v>6000000</v>
      </c>
      <c r="L6" s="146">
        <v>730000</v>
      </c>
      <c r="M6" s="146">
        <v>1200000</v>
      </c>
      <c r="N6" s="146">
        <v>500000</v>
      </c>
      <c r="O6" s="104" t="s">
        <v>570</v>
      </c>
      <c r="P6" s="104" t="s">
        <v>572</v>
      </c>
      <c r="Q6" s="102" t="s">
        <v>16</v>
      </c>
    </row>
    <row r="7" spans="1:18" x14ac:dyDescent="0.35">
      <c r="A7" s="143" t="str">
        <f t="shared" si="0"/>
        <v>HD5</v>
      </c>
      <c r="B7" s="103" t="s">
        <v>567</v>
      </c>
      <c r="D7" s="102" t="s">
        <v>20</v>
      </c>
      <c r="E7" s="149">
        <v>31713</v>
      </c>
      <c r="F7" s="102" t="s">
        <v>559</v>
      </c>
      <c r="G7" s="144" t="s">
        <v>23</v>
      </c>
      <c r="H7" s="144" t="s">
        <v>467</v>
      </c>
      <c r="I7" s="149">
        <v>45061</v>
      </c>
      <c r="J7" s="144" t="s">
        <v>559</v>
      </c>
      <c r="K7" s="145">
        <v>5007600</v>
      </c>
      <c r="L7" s="146">
        <v>730000</v>
      </c>
      <c r="M7" s="146">
        <v>1200000</v>
      </c>
      <c r="N7" s="146">
        <v>500000</v>
      </c>
      <c r="O7" s="104" t="s">
        <v>566</v>
      </c>
      <c r="P7" s="104" t="s">
        <v>569</v>
      </c>
      <c r="Q7" s="102" t="s">
        <v>21</v>
      </c>
    </row>
    <row r="8" spans="1:18" x14ac:dyDescent="0.35">
      <c r="A8" s="143" t="str">
        <f t="shared" si="0"/>
        <v>HD6</v>
      </c>
      <c r="B8" s="103" t="s">
        <v>567</v>
      </c>
      <c r="D8" s="102" t="s">
        <v>20</v>
      </c>
      <c r="E8" s="149">
        <v>31713</v>
      </c>
      <c r="F8" s="102" t="s">
        <v>559</v>
      </c>
      <c r="G8" s="144" t="s">
        <v>23</v>
      </c>
      <c r="H8" s="144" t="s">
        <v>467</v>
      </c>
      <c r="I8" s="149">
        <v>45061</v>
      </c>
      <c r="J8" s="144" t="s">
        <v>559</v>
      </c>
      <c r="K8" s="145">
        <v>6000000</v>
      </c>
      <c r="L8" s="146">
        <v>730000</v>
      </c>
      <c r="M8" s="146">
        <v>1200000</v>
      </c>
      <c r="N8" s="146">
        <v>500000</v>
      </c>
      <c r="O8" s="104" t="s">
        <v>570</v>
      </c>
      <c r="P8" s="104" t="s">
        <v>572</v>
      </c>
      <c r="Q8" s="102" t="s">
        <v>21</v>
      </c>
    </row>
    <row r="9" spans="1:18" x14ac:dyDescent="0.35">
      <c r="A9" s="143" t="str">
        <f t="shared" si="0"/>
        <v>HD7</v>
      </c>
      <c r="B9" s="103" t="s">
        <v>567</v>
      </c>
      <c r="D9" s="102" t="s">
        <v>25</v>
      </c>
      <c r="E9" s="149">
        <v>31107</v>
      </c>
      <c r="F9" s="102" t="s">
        <v>559</v>
      </c>
      <c r="G9" s="144" t="s">
        <v>28</v>
      </c>
      <c r="H9" s="144" t="s">
        <v>468</v>
      </c>
      <c r="I9" s="149">
        <v>45061</v>
      </c>
      <c r="J9" s="144" t="s">
        <v>559</v>
      </c>
      <c r="K9" s="145">
        <v>5007600</v>
      </c>
      <c r="L9" s="146">
        <v>730000</v>
      </c>
      <c r="M9" s="146">
        <v>1200000</v>
      </c>
      <c r="N9" s="146">
        <v>500000</v>
      </c>
      <c r="O9" s="104" t="s">
        <v>566</v>
      </c>
      <c r="P9" s="104" t="s">
        <v>569</v>
      </c>
      <c r="Q9" s="102" t="s">
        <v>26</v>
      </c>
    </row>
    <row r="10" spans="1:18" x14ac:dyDescent="0.35">
      <c r="A10" s="143" t="str">
        <f t="shared" si="0"/>
        <v>HD8</v>
      </c>
      <c r="B10" s="103" t="s">
        <v>567</v>
      </c>
      <c r="D10" s="102" t="s">
        <v>25</v>
      </c>
      <c r="E10" s="149">
        <v>31107</v>
      </c>
      <c r="F10" s="102" t="s">
        <v>559</v>
      </c>
      <c r="G10" s="144" t="s">
        <v>28</v>
      </c>
      <c r="H10" s="144" t="s">
        <v>468</v>
      </c>
      <c r="I10" s="149">
        <v>45061</v>
      </c>
      <c r="J10" s="144" t="s">
        <v>559</v>
      </c>
      <c r="K10" s="145">
        <v>6000000</v>
      </c>
      <c r="L10" s="146">
        <v>730000</v>
      </c>
      <c r="M10" s="146">
        <v>1200000</v>
      </c>
      <c r="N10" s="146">
        <v>500000</v>
      </c>
      <c r="O10" s="104" t="s">
        <v>570</v>
      </c>
      <c r="P10" s="104" t="s">
        <v>572</v>
      </c>
      <c r="Q10" s="102" t="s">
        <v>26</v>
      </c>
    </row>
    <row r="11" spans="1:18" x14ac:dyDescent="0.35">
      <c r="A11" s="143" t="str">
        <f t="shared" si="0"/>
        <v>HD9</v>
      </c>
      <c r="B11" s="103" t="s">
        <v>567</v>
      </c>
      <c r="D11" s="102" t="s">
        <v>30</v>
      </c>
      <c r="E11" s="149">
        <v>31681</v>
      </c>
      <c r="F11" s="102" t="s">
        <v>561</v>
      </c>
      <c r="G11" s="144" t="s">
        <v>31</v>
      </c>
      <c r="H11" s="144" t="s">
        <v>469</v>
      </c>
      <c r="I11" s="149">
        <v>45061</v>
      </c>
      <c r="J11" s="144" t="s">
        <v>561</v>
      </c>
      <c r="K11" s="145">
        <v>5007600</v>
      </c>
      <c r="L11" s="146">
        <v>730000</v>
      </c>
      <c r="M11" s="146">
        <v>1200000</v>
      </c>
      <c r="N11" s="146">
        <v>500000</v>
      </c>
      <c r="O11" s="104" t="s">
        <v>566</v>
      </c>
      <c r="P11" s="104" t="s">
        <v>569</v>
      </c>
      <c r="Q11" s="102" t="s">
        <v>26</v>
      </c>
    </row>
    <row r="12" spans="1:18" x14ac:dyDescent="0.35">
      <c r="A12" s="143" t="str">
        <f t="shared" si="0"/>
        <v>HD10</v>
      </c>
      <c r="B12" s="103" t="s">
        <v>567</v>
      </c>
      <c r="D12" s="102" t="s">
        <v>30</v>
      </c>
      <c r="E12" s="149">
        <v>31681</v>
      </c>
      <c r="F12" s="102" t="s">
        <v>561</v>
      </c>
      <c r="G12" s="144" t="s">
        <v>31</v>
      </c>
      <c r="H12" s="144" t="s">
        <v>469</v>
      </c>
      <c r="I12" s="149">
        <v>45061</v>
      </c>
      <c r="J12" s="144" t="s">
        <v>561</v>
      </c>
      <c r="K12" s="145">
        <v>6000000</v>
      </c>
      <c r="L12" s="146">
        <v>730000</v>
      </c>
      <c r="M12" s="146">
        <v>1200000</v>
      </c>
      <c r="N12" s="146">
        <v>500000</v>
      </c>
      <c r="O12" s="104" t="s">
        <v>570</v>
      </c>
      <c r="P12" s="104" t="s">
        <v>572</v>
      </c>
      <c r="Q12" s="102" t="s">
        <v>26</v>
      </c>
    </row>
    <row r="13" spans="1:18" x14ac:dyDescent="0.35">
      <c r="A13" s="143" t="str">
        <f t="shared" si="0"/>
        <v>HD11</v>
      </c>
      <c r="B13" s="103" t="s">
        <v>567</v>
      </c>
      <c r="D13" s="102" t="s">
        <v>33</v>
      </c>
      <c r="E13" s="149">
        <v>35843</v>
      </c>
      <c r="F13" s="102" t="s">
        <v>561</v>
      </c>
      <c r="G13" s="144" t="s">
        <v>34</v>
      </c>
      <c r="H13" s="144" t="s">
        <v>470</v>
      </c>
      <c r="I13" s="149">
        <v>45061</v>
      </c>
      <c r="J13" s="144" t="s">
        <v>561</v>
      </c>
      <c r="K13" s="145">
        <v>5007600</v>
      </c>
      <c r="L13" s="146">
        <v>730000</v>
      </c>
      <c r="M13" s="146">
        <v>1200000</v>
      </c>
      <c r="N13" s="146">
        <v>500000</v>
      </c>
      <c r="O13" s="104" t="s">
        <v>566</v>
      </c>
      <c r="P13" s="104" t="s">
        <v>569</v>
      </c>
      <c r="Q13" s="102" t="s">
        <v>26</v>
      </c>
    </row>
    <row r="14" spans="1:18" x14ac:dyDescent="0.35">
      <c r="A14" s="143" t="str">
        <f t="shared" si="0"/>
        <v>HD12</v>
      </c>
      <c r="B14" s="103" t="s">
        <v>567</v>
      </c>
      <c r="D14" s="102" t="s">
        <v>33</v>
      </c>
      <c r="E14" s="149">
        <v>35843</v>
      </c>
      <c r="F14" s="102" t="s">
        <v>561</v>
      </c>
      <c r="G14" s="144" t="s">
        <v>34</v>
      </c>
      <c r="H14" s="144" t="s">
        <v>470</v>
      </c>
      <c r="I14" s="149">
        <v>45061</v>
      </c>
      <c r="J14" s="144" t="s">
        <v>561</v>
      </c>
      <c r="K14" s="145">
        <v>6000000</v>
      </c>
      <c r="L14" s="146">
        <v>730000</v>
      </c>
      <c r="M14" s="146">
        <v>1200000</v>
      </c>
      <c r="N14" s="146">
        <v>500000</v>
      </c>
      <c r="O14" s="104" t="s">
        <v>570</v>
      </c>
      <c r="P14" s="104" t="s">
        <v>572</v>
      </c>
      <c r="Q14" s="102" t="s">
        <v>26</v>
      </c>
    </row>
    <row r="15" spans="1:18" x14ac:dyDescent="0.35">
      <c r="A15" s="143" t="str">
        <f t="shared" si="0"/>
        <v>HD13</v>
      </c>
      <c r="B15" s="103" t="s">
        <v>567</v>
      </c>
      <c r="D15" s="102" t="s">
        <v>36</v>
      </c>
      <c r="E15" s="149">
        <v>32414</v>
      </c>
      <c r="F15" s="102" t="s">
        <v>562</v>
      </c>
      <c r="G15" s="144" t="s">
        <v>37</v>
      </c>
      <c r="H15" s="144" t="s">
        <v>471</v>
      </c>
      <c r="I15" s="149">
        <v>44793</v>
      </c>
      <c r="J15" s="144" t="s">
        <v>562</v>
      </c>
      <c r="K15" s="145">
        <v>5007600</v>
      </c>
      <c r="L15" s="146">
        <v>730000</v>
      </c>
      <c r="M15" s="146">
        <v>1200000</v>
      </c>
      <c r="N15" s="146">
        <v>500000</v>
      </c>
      <c r="O15" s="104" t="s">
        <v>566</v>
      </c>
      <c r="P15" s="104" t="s">
        <v>569</v>
      </c>
      <c r="Q15" s="102" t="s">
        <v>26</v>
      </c>
    </row>
    <row r="16" spans="1:18" x14ac:dyDescent="0.35">
      <c r="A16" s="143" t="str">
        <f t="shared" si="0"/>
        <v>HD14</v>
      </c>
      <c r="B16" s="103" t="s">
        <v>567</v>
      </c>
      <c r="D16" s="102" t="s">
        <v>36</v>
      </c>
      <c r="E16" s="149">
        <v>32414</v>
      </c>
      <c r="F16" s="102" t="s">
        <v>562</v>
      </c>
      <c r="G16" s="144" t="s">
        <v>37</v>
      </c>
      <c r="H16" s="144" t="s">
        <v>471</v>
      </c>
      <c r="I16" s="149">
        <v>44793</v>
      </c>
      <c r="J16" s="144" t="s">
        <v>562</v>
      </c>
      <c r="K16" s="145">
        <v>6000000</v>
      </c>
      <c r="L16" s="146">
        <v>730000</v>
      </c>
      <c r="M16" s="146">
        <v>1200000</v>
      </c>
      <c r="N16" s="146">
        <v>500000</v>
      </c>
      <c r="O16" s="104" t="s">
        <v>570</v>
      </c>
      <c r="P16" s="104" t="s">
        <v>572</v>
      </c>
      <c r="Q16" s="102" t="s">
        <v>26</v>
      </c>
    </row>
    <row r="17" spans="1:17" x14ac:dyDescent="0.35">
      <c r="A17" s="143" t="str">
        <f t="shared" si="0"/>
        <v>HD15</v>
      </c>
      <c r="B17" s="103" t="s">
        <v>567</v>
      </c>
      <c r="D17" s="102" t="s">
        <v>39</v>
      </c>
      <c r="E17" s="149">
        <v>33164</v>
      </c>
      <c r="F17" s="102" t="s">
        <v>559</v>
      </c>
      <c r="G17" s="144" t="s">
        <v>40</v>
      </c>
      <c r="H17" s="144" t="s">
        <v>472</v>
      </c>
      <c r="I17" s="149">
        <v>44793</v>
      </c>
      <c r="J17" s="144" t="s">
        <v>559</v>
      </c>
      <c r="K17" s="145">
        <v>5007600</v>
      </c>
      <c r="L17" s="146">
        <v>730000</v>
      </c>
      <c r="M17" s="146">
        <v>1200000</v>
      </c>
      <c r="N17" s="146">
        <v>500000</v>
      </c>
      <c r="O17" s="104" t="s">
        <v>566</v>
      </c>
      <c r="P17" s="104" t="s">
        <v>569</v>
      </c>
      <c r="Q17" s="102" t="s">
        <v>26</v>
      </c>
    </row>
    <row r="18" spans="1:17" x14ac:dyDescent="0.35">
      <c r="A18" s="143" t="str">
        <f t="shared" si="0"/>
        <v>HD16</v>
      </c>
      <c r="B18" s="103" t="s">
        <v>567</v>
      </c>
      <c r="D18" s="102" t="s">
        <v>39</v>
      </c>
      <c r="E18" s="149">
        <v>33164</v>
      </c>
      <c r="F18" s="102" t="s">
        <v>559</v>
      </c>
      <c r="G18" s="144" t="s">
        <v>40</v>
      </c>
      <c r="H18" s="144" t="s">
        <v>472</v>
      </c>
      <c r="I18" s="149">
        <v>44793</v>
      </c>
      <c r="J18" s="144" t="s">
        <v>559</v>
      </c>
      <c r="K18" s="145">
        <v>6000000</v>
      </c>
      <c r="L18" s="146">
        <v>730000</v>
      </c>
      <c r="M18" s="146">
        <v>1200000</v>
      </c>
      <c r="N18" s="146">
        <v>500000</v>
      </c>
      <c r="O18" s="104" t="s">
        <v>570</v>
      </c>
      <c r="P18" s="104" t="s">
        <v>572</v>
      </c>
      <c r="Q18" s="102" t="s">
        <v>26</v>
      </c>
    </row>
    <row r="19" spans="1:17" x14ac:dyDescent="0.35">
      <c r="A19" s="143" t="str">
        <f t="shared" si="0"/>
        <v>HD17</v>
      </c>
      <c r="B19" s="103" t="s">
        <v>567</v>
      </c>
      <c r="D19" s="102" t="s">
        <v>42</v>
      </c>
      <c r="E19" s="149">
        <v>34294</v>
      </c>
      <c r="F19" s="102" t="s">
        <v>560</v>
      </c>
      <c r="G19" s="144" t="s">
        <v>43</v>
      </c>
      <c r="H19" s="144" t="s">
        <v>473</v>
      </c>
      <c r="I19" s="149">
        <v>44793</v>
      </c>
      <c r="J19" s="144" t="s">
        <v>560</v>
      </c>
      <c r="K19" s="145">
        <v>5007600</v>
      </c>
      <c r="L19" s="146">
        <v>730000</v>
      </c>
      <c r="M19" s="146">
        <v>1200000</v>
      </c>
      <c r="N19" s="146">
        <v>500000</v>
      </c>
      <c r="O19" s="104" t="s">
        <v>566</v>
      </c>
      <c r="P19" s="104" t="s">
        <v>569</v>
      </c>
      <c r="Q19" s="102" t="s">
        <v>26</v>
      </c>
    </row>
    <row r="20" spans="1:17" x14ac:dyDescent="0.35">
      <c r="A20" s="143" t="str">
        <f t="shared" si="0"/>
        <v>HD18</v>
      </c>
      <c r="B20" s="103" t="s">
        <v>567</v>
      </c>
      <c r="D20" s="102" t="s">
        <v>42</v>
      </c>
      <c r="E20" s="149">
        <v>34294</v>
      </c>
      <c r="F20" s="102" t="s">
        <v>560</v>
      </c>
      <c r="G20" s="144" t="s">
        <v>43</v>
      </c>
      <c r="H20" s="144" t="s">
        <v>473</v>
      </c>
      <c r="I20" s="149">
        <v>44793</v>
      </c>
      <c r="J20" s="144" t="s">
        <v>560</v>
      </c>
      <c r="K20" s="145">
        <v>6000000</v>
      </c>
      <c r="L20" s="146">
        <v>730000</v>
      </c>
      <c r="M20" s="146">
        <v>1200000</v>
      </c>
      <c r="N20" s="146">
        <v>500000</v>
      </c>
      <c r="O20" s="104" t="s">
        <v>570</v>
      </c>
      <c r="P20" s="104" t="s">
        <v>572</v>
      </c>
      <c r="Q20" s="102" t="s">
        <v>26</v>
      </c>
    </row>
    <row r="21" spans="1:17" x14ac:dyDescent="0.35">
      <c r="A21" s="143" t="str">
        <f t="shared" si="0"/>
        <v>HD19</v>
      </c>
      <c r="B21" s="103" t="s">
        <v>567</v>
      </c>
      <c r="D21" s="102" t="s">
        <v>45</v>
      </c>
      <c r="E21" s="149">
        <v>32501</v>
      </c>
      <c r="F21" s="102" t="s">
        <v>563</v>
      </c>
      <c r="G21" s="144" t="s">
        <v>46</v>
      </c>
      <c r="H21" s="144" t="s">
        <v>474</v>
      </c>
      <c r="I21" s="149">
        <v>44793</v>
      </c>
      <c r="J21" s="144" t="s">
        <v>563</v>
      </c>
      <c r="K21" s="145">
        <v>5007600</v>
      </c>
      <c r="L21" s="146">
        <v>730000</v>
      </c>
      <c r="M21" s="146">
        <v>1200000</v>
      </c>
      <c r="N21" s="146">
        <v>500000</v>
      </c>
      <c r="O21" s="104" t="s">
        <v>566</v>
      </c>
      <c r="P21" s="104" t="s">
        <v>569</v>
      </c>
      <c r="Q21" s="102" t="s">
        <v>26</v>
      </c>
    </row>
    <row r="22" spans="1:17" x14ac:dyDescent="0.35">
      <c r="A22" s="143" t="str">
        <f t="shared" si="0"/>
        <v>HD20</v>
      </c>
      <c r="B22" s="103" t="s">
        <v>567</v>
      </c>
      <c r="D22" s="102" t="s">
        <v>45</v>
      </c>
      <c r="E22" s="149">
        <v>32501</v>
      </c>
      <c r="F22" s="102" t="s">
        <v>563</v>
      </c>
      <c r="G22" s="144" t="s">
        <v>46</v>
      </c>
      <c r="H22" s="144" t="s">
        <v>474</v>
      </c>
      <c r="I22" s="149">
        <v>44793</v>
      </c>
      <c r="J22" s="144" t="s">
        <v>563</v>
      </c>
      <c r="K22" s="145">
        <v>6000000</v>
      </c>
      <c r="L22" s="146">
        <v>730000</v>
      </c>
      <c r="M22" s="146">
        <v>1200000</v>
      </c>
      <c r="N22" s="146">
        <v>500000</v>
      </c>
      <c r="O22" s="104" t="s">
        <v>570</v>
      </c>
      <c r="P22" s="104" t="s">
        <v>572</v>
      </c>
      <c r="Q22" s="102" t="s">
        <v>26</v>
      </c>
    </row>
    <row r="23" spans="1:17" x14ac:dyDescent="0.35">
      <c r="A23" s="143" t="str">
        <f t="shared" si="0"/>
        <v>HD21</v>
      </c>
      <c r="B23" s="103" t="s">
        <v>568</v>
      </c>
      <c r="D23" s="102" t="s">
        <v>48</v>
      </c>
      <c r="E23" s="149">
        <v>35322</v>
      </c>
      <c r="F23" s="102" t="s">
        <v>563</v>
      </c>
      <c r="G23" s="144" t="s">
        <v>436</v>
      </c>
      <c r="H23" s="144" t="s">
        <v>436</v>
      </c>
      <c r="I23" s="149">
        <v>44793</v>
      </c>
      <c r="J23" s="144" t="s">
        <v>563</v>
      </c>
      <c r="K23" s="145">
        <v>5050000</v>
      </c>
      <c r="L23" s="146">
        <v>730000</v>
      </c>
      <c r="M23" s="146">
        <v>1200000</v>
      </c>
      <c r="N23" s="146">
        <v>500000</v>
      </c>
      <c r="O23" s="104" t="s">
        <v>566</v>
      </c>
      <c r="P23" s="104" t="s">
        <v>566</v>
      </c>
      <c r="Q23" s="102" t="s">
        <v>26</v>
      </c>
    </row>
    <row r="24" spans="1:17" x14ac:dyDescent="0.35">
      <c r="A24" s="143" t="str">
        <f t="shared" si="0"/>
        <v>HD22</v>
      </c>
      <c r="B24" s="103" t="s">
        <v>567</v>
      </c>
      <c r="D24" s="102" t="s">
        <v>48</v>
      </c>
      <c r="E24" s="149">
        <v>35322</v>
      </c>
      <c r="F24" s="102" t="s">
        <v>563</v>
      </c>
      <c r="G24" s="144" t="s">
        <v>436</v>
      </c>
      <c r="H24" s="144" t="s">
        <v>436</v>
      </c>
      <c r="I24" s="149">
        <v>44793</v>
      </c>
      <c r="J24" s="144" t="s">
        <v>563</v>
      </c>
      <c r="K24" s="145">
        <v>5050000</v>
      </c>
      <c r="L24" s="146">
        <v>730000</v>
      </c>
      <c r="M24" s="146">
        <v>1200000</v>
      </c>
      <c r="N24" s="146">
        <v>500000</v>
      </c>
      <c r="O24" s="104" t="s">
        <v>571</v>
      </c>
      <c r="P24" s="104" t="s">
        <v>569</v>
      </c>
      <c r="Q24" s="102" t="s">
        <v>26</v>
      </c>
    </row>
    <row r="25" spans="1:17" x14ac:dyDescent="0.35">
      <c r="A25" s="143" t="str">
        <f t="shared" si="0"/>
        <v>HD23</v>
      </c>
      <c r="B25" s="103" t="s">
        <v>567</v>
      </c>
      <c r="D25" s="102" t="s">
        <v>48</v>
      </c>
      <c r="E25" s="149">
        <v>35322</v>
      </c>
      <c r="F25" s="102" t="s">
        <v>563</v>
      </c>
      <c r="G25" s="144" t="s">
        <v>436</v>
      </c>
      <c r="H25" s="144" t="s">
        <v>436</v>
      </c>
      <c r="I25" s="149">
        <v>44793</v>
      </c>
      <c r="J25" s="144" t="s">
        <v>563</v>
      </c>
      <c r="K25" s="145">
        <v>6000000</v>
      </c>
      <c r="L25" s="146">
        <v>730000</v>
      </c>
      <c r="M25" s="146">
        <v>1200000</v>
      </c>
      <c r="N25" s="146">
        <v>500000</v>
      </c>
      <c r="O25" s="104" t="s">
        <v>570</v>
      </c>
      <c r="P25" s="104" t="s">
        <v>572</v>
      </c>
      <c r="Q25" s="102" t="s">
        <v>26</v>
      </c>
    </row>
    <row r="26" spans="1:17" x14ac:dyDescent="0.35">
      <c r="A26" s="143" t="str">
        <f t="shared" si="0"/>
        <v>HD24</v>
      </c>
      <c r="B26" s="103" t="s">
        <v>568</v>
      </c>
      <c r="D26" s="102" t="s">
        <v>50</v>
      </c>
      <c r="E26" s="149">
        <v>34595</v>
      </c>
      <c r="F26" s="102" t="s">
        <v>560</v>
      </c>
      <c r="G26" s="144" t="s">
        <v>436</v>
      </c>
      <c r="H26" s="144" t="s">
        <v>436</v>
      </c>
      <c r="I26" s="149">
        <v>44793</v>
      </c>
      <c r="J26" s="144" t="s">
        <v>560</v>
      </c>
      <c r="K26" s="145">
        <v>5050000</v>
      </c>
      <c r="L26" s="146">
        <v>730000</v>
      </c>
      <c r="M26" s="146">
        <v>1200000</v>
      </c>
      <c r="N26" s="146">
        <v>500000</v>
      </c>
      <c r="O26" s="104" t="s">
        <v>566</v>
      </c>
      <c r="P26" s="104" t="s">
        <v>566</v>
      </c>
      <c r="Q26" s="102" t="s">
        <v>26</v>
      </c>
    </row>
    <row r="27" spans="1:17" x14ac:dyDescent="0.35">
      <c r="A27" s="143" t="str">
        <f t="shared" si="0"/>
        <v>HD25</v>
      </c>
      <c r="B27" s="103" t="s">
        <v>567</v>
      </c>
      <c r="D27" s="102" t="s">
        <v>50</v>
      </c>
      <c r="E27" s="149">
        <v>34595</v>
      </c>
      <c r="F27" s="102" t="s">
        <v>560</v>
      </c>
      <c r="G27" s="144" t="s">
        <v>436</v>
      </c>
      <c r="H27" s="144" t="s">
        <v>436</v>
      </c>
      <c r="I27" s="149">
        <v>44793</v>
      </c>
      <c r="J27" s="144" t="s">
        <v>560</v>
      </c>
      <c r="K27" s="145">
        <v>5050000</v>
      </c>
      <c r="L27" s="146">
        <v>730000</v>
      </c>
      <c r="M27" s="146">
        <v>1200000</v>
      </c>
      <c r="N27" s="146">
        <v>500000</v>
      </c>
      <c r="O27" s="104" t="s">
        <v>571</v>
      </c>
      <c r="P27" s="104" t="s">
        <v>569</v>
      </c>
      <c r="Q27" s="102" t="s">
        <v>26</v>
      </c>
    </row>
    <row r="28" spans="1:17" x14ac:dyDescent="0.35">
      <c r="A28" s="143" t="str">
        <f t="shared" si="0"/>
        <v>HD26</v>
      </c>
      <c r="B28" s="103" t="s">
        <v>567</v>
      </c>
      <c r="D28" s="102" t="s">
        <v>50</v>
      </c>
      <c r="E28" s="149">
        <v>34595</v>
      </c>
      <c r="F28" s="102" t="s">
        <v>560</v>
      </c>
      <c r="G28" s="144" t="s">
        <v>436</v>
      </c>
      <c r="H28" s="144" t="s">
        <v>436</v>
      </c>
      <c r="I28" s="149">
        <v>44793</v>
      </c>
      <c r="J28" s="144" t="s">
        <v>560</v>
      </c>
      <c r="K28" s="145">
        <v>6000000</v>
      </c>
      <c r="L28" s="146">
        <v>730000</v>
      </c>
      <c r="M28" s="146">
        <v>1200000</v>
      </c>
      <c r="N28" s="146">
        <v>500000</v>
      </c>
      <c r="O28" s="104" t="s">
        <v>570</v>
      </c>
      <c r="P28" s="104" t="s">
        <v>572</v>
      </c>
      <c r="Q28" s="102" t="s">
        <v>26</v>
      </c>
    </row>
    <row r="29" spans="1:17" x14ac:dyDescent="0.35">
      <c r="A29" s="143" t="str">
        <f t="shared" si="0"/>
        <v>HD27</v>
      </c>
      <c r="B29" s="103" t="s">
        <v>568</v>
      </c>
      <c r="D29" s="102" t="s">
        <v>52</v>
      </c>
      <c r="E29" s="149">
        <v>35285</v>
      </c>
      <c r="F29" s="102" t="s">
        <v>560</v>
      </c>
      <c r="G29" s="144" t="s">
        <v>436</v>
      </c>
      <c r="H29" s="144" t="s">
        <v>436</v>
      </c>
      <c r="I29" s="149">
        <v>44793</v>
      </c>
      <c r="J29" s="144" t="s">
        <v>560</v>
      </c>
      <c r="K29" s="145">
        <v>5050000</v>
      </c>
      <c r="L29" s="146">
        <v>730000</v>
      </c>
      <c r="M29" s="146">
        <v>1200000</v>
      </c>
      <c r="N29" s="146">
        <v>500000</v>
      </c>
      <c r="O29" s="104" t="s">
        <v>566</v>
      </c>
      <c r="P29" s="104" t="s">
        <v>566</v>
      </c>
      <c r="Q29" s="102" t="s">
        <v>26</v>
      </c>
    </row>
    <row r="30" spans="1:17" x14ac:dyDescent="0.35">
      <c r="A30" s="143" t="str">
        <f t="shared" si="0"/>
        <v>HD28</v>
      </c>
      <c r="B30" s="103" t="s">
        <v>567</v>
      </c>
      <c r="D30" s="102" t="s">
        <v>52</v>
      </c>
      <c r="E30" s="149">
        <v>35285</v>
      </c>
      <c r="F30" s="102" t="s">
        <v>560</v>
      </c>
      <c r="G30" s="144" t="s">
        <v>436</v>
      </c>
      <c r="H30" s="144" t="s">
        <v>436</v>
      </c>
      <c r="I30" s="149">
        <v>44793</v>
      </c>
      <c r="J30" s="144" t="s">
        <v>560</v>
      </c>
      <c r="K30" s="145">
        <v>5050000</v>
      </c>
      <c r="L30" s="146">
        <v>730000</v>
      </c>
      <c r="M30" s="146">
        <v>1200000</v>
      </c>
      <c r="N30" s="146">
        <v>500000</v>
      </c>
      <c r="O30" s="104" t="s">
        <v>571</v>
      </c>
      <c r="P30" s="104" t="s">
        <v>569</v>
      </c>
      <c r="Q30" s="102" t="s">
        <v>26</v>
      </c>
    </row>
    <row r="31" spans="1:17" x14ac:dyDescent="0.35">
      <c r="A31" s="143" t="str">
        <f t="shared" si="0"/>
        <v>HD29</v>
      </c>
      <c r="B31" s="103" t="s">
        <v>567</v>
      </c>
      <c r="D31" s="102" t="s">
        <v>52</v>
      </c>
      <c r="E31" s="149">
        <v>35285</v>
      </c>
      <c r="F31" s="102" t="s">
        <v>560</v>
      </c>
      <c r="G31" s="144" t="s">
        <v>436</v>
      </c>
      <c r="H31" s="144" t="s">
        <v>436</v>
      </c>
      <c r="I31" s="149">
        <v>44793</v>
      </c>
      <c r="J31" s="144" t="s">
        <v>560</v>
      </c>
      <c r="K31" s="145">
        <v>6000000</v>
      </c>
      <c r="L31" s="146">
        <v>730000</v>
      </c>
      <c r="M31" s="146">
        <v>1200000</v>
      </c>
      <c r="N31" s="146">
        <v>500000</v>
      </c>
      <c r="O31" s="104" t="s">
        <v>570</v>
      </c>
      <c r="P31" s="104" t="s">
        <v>572</v>
      </c>
      <c r="Q31" s="102" t="s">
        <v>26</v>
      </c>
    </row>
    <row r="32" spans="1:17" x14ac:dyDescent="0.35">
      <c r="A32" s="143" t="str">
        <f t="shared" si="0"/>
        <v>HD30</v>
      </c>
      <c r="B32" s="103" t="s">
        <v>568</v>
      </c>
      <c r="D32" s="102" t="s">
        <v>54</v>
      </c>
      <c r="E32" s="149">
        <v>33761</v>
      </c>
      <c r="F32" s="102" t="s">
        <v>560</v>
      </c>
      <c r="G32" s="144" t="s">
        <v>463</v>
      </c>
      <c r="H32" s="144" t="s">
        <v>461</v>
      </c>
      <c r="I32" s="149">
        <v>44793</v>
      </c>
      <c r="J32" s="144" t="s">
        <v>560</v>
      </c>
      <c r="K32" s="145">
        <v>5050000</v>
      </c>
      <c r="L32" s="146">
        <v>730000</v>
      </c>
      <c r="M32" s="146">
        <v>1200000</v>
      </c>
      <c r="N32" s="146">
        <v>500000</v>
      </c>
      <c r="O32" s="104" t="s">
        <v>566</v>
      </c>
      <c r="P32" s="104" t="s">
        <v>566</v>
      </c>
      <c r="Q32" s="102" t="s">
        <v>26</v>
      </c>
    </row>
    <row r="33" spans="1:17" x14ac:dyDescent="0.35">
      <c r="A33" s="143" t="str">
        <f t="shared" si="0"/>
        <v>HD31</v>
      </c>
      <c r="B33" s="103" t="s">
        <v>567</v>
      </c>
      <c r="D33" s="102" t="s">
        <v>54</v>
      </c>
      <c r="E33" s="149">
        <v>33761</v>
      </c>
      <c r="F33" s="102" t="s">
        <v>560</v>
      </c>
      <c r="G33" s="144" t="s">
        <v>463</v>
      </c>
      <c r="H33" s="144" t="s">
        <v>461</v>
      </c>
      <c r="I33" s="149">
        <v>44793</v>
      </c>
      <c r="J33" s="144" t="s">
        <v>560</v>
      </c>
      <c r="K33" s="145">
        <v>5050000</v>
      </c>
      <c r="L33" s="146">
        <v>730000</v>
      </c>
      <c r="M33" s="146">
        <v>1200000</v>
      </c>
      <c r="N33" s="146">
        <v>500000</v>
      </c>
      <c r="O33" s="104" t="s">
        <v>571</v>
      </c>
      <c r="P33" s="104" t="s">
        <v>569</v>
      </c>
      <c r="Q33" s="102" t="s">
        <v>26</v>
      </c>
    </row>
    <row r="34" spans="1:17" x14ac:dyDescent="0.35">
      <c r="A34" s="143" t="str">
        <f t="shared" si="0"/>
        <v>HD32</v>
      </c>
      <c r="B34" s="103" t="s">
        <v>567</v>
      </c>
      <c r="D34" s="102" t="s">
        <v>54</v>
      </c>
      <c r="E34" s="149">
        <v>33761</v>
      </c>
      <c r="F34" s="102" t="s">
        <v>560</v>
      </c>
      <c r="G34" s="144" t="s">
        <v>463</v>
      </c>
      <c r="H34" s="144" t="s">
        <v>461</v>
      </c>
      <c r="I34" s="149">
        <v>44793</v>
      </c>
      <c r="J34" s="144" t="s">
        <v>560</v>
      </c>
      <c r="K34" s="145">
        <v>5800000</v>
      </c>
      <c r="L34" s="146">
        <v>730000</v>
      </c>
      <c r="M34" s="146">
        <v>1200000</v>
      </c>
      <c r="N34" s="146">
        <v>500000</v>
      </c>
      <c r="O34" s="104" t="s">
        <v>570</v>
      </c>
      <c r="P34" s="104" t="s">
        <v>572</v>
      </c>
      <c r="Q34" s="102" t="s">
        <v>26</v>
      </c>
    </row>
    <row r="35" spans="1:17" x14ac:dyDescent="0.35">
      <c r="A35" s="143" t="str">
        <f t="shared" si="0"/>
        <v>HD33</v>
      </c>
      <c r="B35" s="103" t="s">
        <v>568</v>
      </c>
      <c r="D35" s="102" t="s">
        <v>56</v>
      </c>
      <c r="E35" s="149">
        <v>31499</v>
      </c>
      <c r="F35" s="102" t="s">
        <v>563</v>
      </c>
      <c r="G35" s="144" t="s">
        <v>464</v>
      </c>
      <c r="H35" s="144" t="s">
        <v>462</v>
      </c>
      <c r="I35" s="149">
        <v>44793</v>
      </c>
      <c r="J35" s="144" t="s">
        <v>563</v>
      </c>
      <c r="K35" s="145">
        <v>5050000</v>
      </c>
      <c r="L35" s="146">
        <v>730000</v>
      </c>
      <c r="M35" s="146">
        <v>1200000</v>
      </c>
      <c r="N35" s="146">
        <v>500000</v>
      </c>
      <c r="O35" s="104" t="s">
        <v>566</v>
      </c>
      <c r="P35" s="104" t="s">
        <v>566</v>
      </c>
      <c r="Q35" s="102" t="s">
        <v>26</v>
      </c>
    </row>
    <row r="36" spans="1:17" x14ac:dyDescent="0.35">
      <c r="A36" s="143" t="str">
        <f t="shared" si="0"/>
        <v>HD34</v>
      </c>
      <c r="B36" s="103" t="s">
        <v>567</v>
      </c>
      <c r="D36" s="102" t="s">
        <v>56</v>
      </c>
      <c r="E36" s="149">
        <v>31499</v>
      </c>
      <c r="F36" s="102" t="s">
        <v>563</v>
      </c>
      <c r="G36" s="144" t="s">
        <v>464</v>
      </c>
      <c r="H36" s="144" t="s">
        <v>462</v>
      </c>
      <c r="I36" s="149">
        <v>44793</v>
      </c>
      <c r="J36" s="144" t="s">
        <v>563</v>
      </c>
      <c r="K36" s="145">
        <v>5050000</v>
      </c>
      <c r="L36" s="146">
        <v>730000</v>
      </c>
      <c r="M36" s="146">
        <v>1200000</v>
      </c>
      <c r="N36" s="146">
        <v>500000</v>
      </c>
      <c r="O36" s="104" t="s">
        <v>571</v>
      </c>
      <c r="P36" s="104" t="s">
        <v>569</v>
      </c>
      <c r="Q36" s="102" t="s">
        <v>26</v>
      </c>
    </row>
    <row r="37" spans="1:17" x14ac:dyDescent="0.35">
      <c r="A37" s="143" t="str">
        <f t="shared" si="0"/>
        <v>HD35</v>
      </c>
      <c r="B37" s="103" t="s">
        <v>567</v>
      </c>
      <c r="D37" s="102" t="s">
        <v>56</v>
      </c>
      <c r="E37" s="149">
        <v>31499</v>
      </c>
      <c r="F37" s="102" t="s">
        <v>563</v>
      </c>
      <c r="G37" s="144" t="s">
        <v>464</v>
      </c>
      <c r="H37" s="144" t="s">
        <v>462</v>
      </c>
      <c r="I37" s="149">
        <v>44793</v>
      </c>
      <c r="J37" s="144" t="s">
        <v>563</v>
      </c>
      <c r="K37" s="145">
        <v>5800000</v>
      </c>
      <c r="L37" s="146">
        <v>730000</v>
      </c>
      <c r="M37" s="146">
        <v>1200000</v>
      </c>
      <c r="N37" s="146">
        <v>500000</v>
      </c>
      <c r="O37" s="104" t="s">
        <v>570</v>
      </c>
      <c r="P37" s="104" t="s">
        <v>572</v>
      </c>
      <c r="Q37" s="102" t="s">
        <v>26</v>
      </c>
    </row>
  </sheetData>
  <mergeCells count="17">
    <mergeCell ref="L1:L2"/>
    <mergeCell ref="A1:A2"/>
    <mergeCell ref="B1:B2"/>
    <mergeCell ref="C1:C2"/>
    <mergeCell ref="D1:D2"/>
    <mergeCell ref="E1:E2"/>
    <mergeCell ref="F1:F2"/>
    <mergeCell ref="G1:G2"/>
    <mergeCell ref="H1:H2"/>
    <mergeCell ref="I1:I2"/>
    <mergeCell ref="J1:J2"/>
    <mergeCell ref="K1:K2"/>
    <mergeCell ref="R1:R2"/>
    <mergeCell ref="M1:M2"/>
    <mergeCell ref="N1:N2"/>
    <mergeCell ref="O1:P1"/>
    <mergeCell ref="Q1:Q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D481-682B-4D06-AB00-F64D11962347}">
  <sheetPr codeName="Sheet38">
    <tabColor theme="1"/>
    <pageSetUpPr fitToPage="1"/>
  </sheetPr>
  <dimension ref="A2:X47"/>
  <sheetViews>
    <sheetView workbookViewId="0">
      <selection activeCell="T22" sqref="T22"/>
    </sheetView>
  </sheetViews>
  <sheetFormatPr defaultColWidth="9.109375" defaultRowHeight="13.8" x14ac:dyDescent="0.25"/>
  <cols>
    <col min="1" max="1" width="1.6640625" style="119" customWidth="1"/>
    <col min="2" max="2" width="6.33203125" style="119" customWidth="1"/>
    <col min="3" max="3" width="7.6640625" style="119" customWidth="1"/>
    <col min="4" max="4" width="5.6640625" style="119" customWidth="1"/>
    <col min="5" max="5" width="4.5546875" style="119" customWidth="1"/>
    <col min="6" max="14" width="4.88671875" style="119" customWidth="1"/>
    <col min="15" max="15" width="6.109375" style="119" customWidth="1"/>
    <col min="16" max="18" width="4.44140625" style="119" customWidth="1"/>
    <col min="19" max="19" width="10.5546875" style="119" customWidth="1"/>
    <col min="20" max="20" width="3.109375" style="119" customWidth="1"/>
    <col min="21" max="23" width="9.109375" style="119"/>
    <col min="24" max="24" width="11" style="119" bestFit="1" customWidth="1"/>
    <col min="25" max="16384" width="9.109375" style="119"/>
  </cols>
  <sheetData>
    <row r="2" spans="1:24" ht="17.399999999999999" x14ac:dyDescent="0.3">
      <c r="A2" s="154"/>
      <c r="B2" s="196" t="s">
        <v>475</v>
      </c>
      <c r="C2" s="196"/>
      <c r="D2" s="196"/>
      <c r="E2" s="196"/>
      <c r="F2" s="196"/>
      <c r="G2" s="196"/>
      <c r="H2" s="196"/>
      <c r="I2" s="196"/>
      <c r="J2" s="196"/>
      <c r="K2" s="196"/>
      <c r="L2" s="196"/>
      <c r="M2" s="196"/>
      <c r="N2" s="196"/>
      <c r="O2" s="196"/>
      <c r="P2" s="196"/>
      <c r="Q2" s="196"/>
      <c r="R2" s="196"/>
      <c r="V2" s="120" t="s">
        <v>576</v>
      </c>
      <c r="W2" s="120">
        <v>2023</v>
      </c>
      <c r="X2" s="119">
        <f>+VLOOKUP(V4,EMPLOYEE_DATA!$A$3:$Q$4996,6,0)</f>
        <v>8083172501</v>
      </c>
    </row>
    <row r="3" spans="1:24" ht="17.399999999999999" x14ac:dyDescent="0.3">
      <c r="A3" s="155"/>
      <c r="B3" s="155"/>
      <c r="C3" s="193" t="s">
        <v>476</v>
      </c>
      <c r="D3" s="193"/>
      <c r="E3" s="193"/>
      <c r="F3" s="193"/>
      <c r="G3" s="193"/>
      <c r="H3" s="193"/>
      <c r="I3" s="193"/>
      <c r="J3" s="193"/>
      <c r="K3" s="193"/>
      <c r="L3" s="193"/>
      <c r="M3" s="193"/>
      <c r="N3" s="193"/>
      <c r="O3" s="193"/>
      <c r="P3" s="193"/>
      <c r="Q3" s="156"/>
    </row>
    <row r="4" spans="1:24" ht="18" thickBot="1" x14ac:dyDescent="0.35">
      <c r="A4" s="155"/>
      <c r="B4" s="155"/>
      <c r="C4" s="155"/>
      <c r="D4" s="155"/>
      <c r="E4" s="155"/>
      <c r="G4" s="162"/>
      <c r="H4" s="162"/>
      <c r="I4" s="162"/>
      <c r="J4" s="162"/>
      <c r="K4" s="162"/>
      <c r="V4" s="163">
        <v>3</v>
      </c>
    </row>
    <row r="5" spans="1:24" ht="17.399999999999999" x14ac:dyDescent="0.3">
      <c r="A5" s="155"/>
      <c r="B5" s="155"/>
      <c r="C5" s="155"/>
      <c r="D5" s="155"/>
      <c r="E5" s="155"/>
      <c r="F5" s="155"/>
      <c r="G5" s="155"/>
      <c r="H5" s="155"/>
      <c r="I5" s="155"/>
      <c r="J5" s="155"/>
      <c r="U5" s="119" t="s">
        <v>573</v>
      </c>
      <c r="V5" s="119">
        <v>1</v>
      </c>
    </row>
    <row r="6" spans="1:24" ht="17.399999999999999" x14ac:dyDescent="0.3">
      <c r="A6" s="154"/>
      <c r="B6" s="154"/>
      <c r="C6" s="154"/>
      <c r="D6" s="154"/>
      <c r="E6" s="154"/>
      <c r="F6" s="154"/>
      <c r="G6" s="154"/>
      <c r="H6" s="154"/>
      <c r="I6" s="154"/>
      <c r="J6" s="154"/>
      <c r="K6" s="154"/>
      <c r="L6" s="154"/>
      <c r="M6" s="154"/>
      <c r="N6" s="154"/>
      <c r="O6" s="154"/>
      <c r="U6" s="119" t="s">
        <v>574</v>
      </c>
      <c r="V6" s="119">
        <v>3</v>
      </c>
    </row>
    <row r="7" spans="1:24" ht="75.599999999999994" customHeight="1" x14ac:dyDescent="0.25">
      <c r="A7" s="197" t="s">
        <v>577</v>
      </c>
      <c r="B7" s="197"/>
      <c r="C7" s="197"/>
      <c r="D7" s="197"/>
      <c r="E7" s="197"/>
      <c r="F7" s="197"/>
      <c r="G7" s="197"/>
      <c r="H7" s="197"/>
      <c r="I7" s="197"/>
      <c r="J7" s="197"/>
      <c r="K7" s="197"/>
      <c r="L7" s="197"/>
      <c r="M7" s="197"/>
      <c r="N7" s="197"/>
      <c r="O7" s="197"/>
      <c r="P7" s="197"/>
      <c r="Q7" s="197"/>
      <c r="R7" s="197"/>
      <c r="S7" s="197"/>
    </row>
    <row r="9" spans="1:24" ht="18" x14ac:dyDescent="0.35">
      <c r="A9" s="195" t="str">
        <f>" Kính gửi : "&amp;Company_Name</f>
        <v xml:space="preserve"> Kính gửi : CÔNG TY TNHH CƠ KHÍ SỬA CHỮA HOÀNG KIÊN</v>
      </c>
      <c r="B9" s="195"/>
      <c r="C9" s="195"/>
      <c r="D9" s="195"/>
      <c r="E9" s="195"/>
      <c r="F9" s="195"/>
      <c r="G9" s="195"/>
      <c r="H9" s="195"/>
      <c r="I9" s="195"/>
      <c r="J9" s="195"/>
      <c r="K9" s="195"/>
      <c r="L9" s="195"/>
      <c r="M9" s="195"/>
      <c r="N9" s="195"/>
      <c r="O9" s="195"/>
      <c r="P9" s="195"/>
      <c r="Q9" s="195"/>
      <c r="R9" s="195"/>
      <c r="S9" s="195"/>
    </row>
    <row r="10" spans="1:24" ht="18" x14ac:dyDescent="0.35">
      <c r="A10" s="157"/>
      <c r="B10" s="157"/>
      <c r="C10" s="157"/>
      <c r="D10" s="157"/>
      <c r="E10" s="157"/>
      <c r="F10" s="157"/>
      <c r="G10" s="157"/>
      <c r="H10" s="157"/>
      <c r="I10" s="157"/>
      <c r="J10" s="157"/>
      <c r="K10" s="157"/>
      <c r="L10" s="157"/>
      <c r="M10" s="157"/>
      <c r="N10" s="157"/>
      <c r="O10" s="157"/>
      <c r="P10" s="157"/>
      <c r="Q10" s="157"/>
      <c r="R10" s="157"/>
      <c r="S10" s="157"/>
    </row>
    <row r="11" spans="1:24" ht="18" x14ac:dyDescent="0.25">
      <c r="B11" s="158" t="s">
        <v>578</v>
      </c>
      <c r="C11" s="124"/>
      <c r="D11" s="124"/>
      <c r="E11" s="198" t="str">
        <f>+VLOOKUP(V4,EMPLOYEE_DATA!$A$3:$Q$4996,3,0)</f>
        <v>Trần Trung Kiên</v>
      </c>
      <c r="F11" s="198"/>
      <c r="G11" s="198"/>
      <c r="H11" s="198"/>
      <c r="I11" s="198"/>
      <c r="J11" s="198"/>
      <c r="K11" s="198"/>
      <c r="L11" s="198"/>
      <c r="M11" s="198"/>
      <c r="N11" s="198"/>
      <c r="O11" s="198"/>
      <c r="P11" s="198"/>
      <c r="Q11" s="198"/>
      <c r="R11" s="198"/>
      <c r="S11" s="124"/>
    </row>
    <row r="12" spans="1:24" x14ac:dyDescent="0.25">
      <c r="B12" s="124"/>
      <c r="C12" s="124"/>
      <c r="D12" s="124"/>
      <c r="E12" s="124"/>
      <c r="F12" s="124"/>
      <c r="G12" s="124"/>
      <c r="H12" s="124"/>
      <c r="I12" s="124"/>
      <c r="J12" s="124"/>
      <c r="K12" s="124"/>
      <c r="L12" s="124"/>
      <c r="M12" s="124"/>
      <c r="N12" s="124"/>
      <c r="O12" s="124"/>
      <c r="P12" s="124"/>
      <c r="Q12" s="124"/>
      <c r="R12" s="124"/>
      <c r="S12" s="124"/>
    </row>
    <row r="13" spans="1:24" ht="18" x14ac:dyDescent="0.25">
      <c r="B13" s="158" t="s">
        <v>579</v>
      </c>
      <c r="C13" s="124"/>
      <c r="D13" s="124"/>
      <c r="E13" s="159" t="str">
        <f>LEFT($X$2,1)</f>
        <v>8</v>
      </c>
      <c r="F13" s="159" t="str">
        <f>MID($X$2,2,1)</f>
        <v>0</v>
      </c>
      <c r="G13" s="159" t="str">
        <f>MID($X$2,3,1)</f>
        <v>8</v>
      </c>
      <c r="H13" s="159" t="str">
        <f>MID($X$2,4,1)</f>
        <v>3</v>
      </c>
      <c r="I13" s="159" t="str">
        <f>MID($X$2,5,1)</f>
        <v>1</v>
      </c>
      <c r="J13" s="159" t="str">
        <f>MID($X$2,6,1)</f>
        <v>7</v>
      </c>
      <c r="K13" s="159" t="str">
        <f>MID($X$2,7,1)</f>
        <v>2</v>
      </c>
      <c r="L13" s="159" t="str">
        <f>MID($X$2,8,1)</f>
        <v>5</v>
      </c>
      <c r="M13" s="159" t="str">
        <f>MID($X$2,9,1)</f>
        <v>0</v>
      </c>
      <c r="N13" s="159" t="str">
        <f>RIGHT($X$2,1)</f>
        <v>1</v>
      </c>
      <c r="O13" s="160"/>
      <c r="P13" s="159" t="s">
        <v>585</v>
      </c>
      <c r="Q13" s="159" t="s">
        <v>585</v>
      </c>
      <c r="R13" s="159" t="s">
        <v>585</v>
      </c>
      <c r="S13" s="158"/>
    </row>
    <row r="14" spans="1:24" x14ac:dyDescent="0.25">
      <c r="B14" s="124"/>
      <c r="C14" s="124"/>
      <c r="D14" s="124"/>
      <c r="E14" s="124"/>
      <c r="F14" s="124"/>
      <c r="G14" s="124"/>
      <c r="H14" s="124"/>
      <c r="I14" s="124"/>
      <c r="J14" s="124"/>
      <c r="K14" s="124"/>
      <c r="L14" s="124"/>
      <c r="M14" s="124"/>
      <c r="N14" s="124"/>
      <c r="O14" s="124"/>
      <c r="P14" s="124"/>
      <c r="Q14" s="124"/>
      <c r="R14" s="124"/>
      <c r="S14" s="124"/>
    </row>
    <row r="15" spans="1:24" ht="18" x14ac:dyDescent="0.25">
      <c r="B15" s="161" t="s">
        <v>580</v>
      </c>
      <c r="C15" s="124"/>
      <c r="D15" s="124"/>
      <c r="E15" s="158" t="str">
        <f>VLOOKUP(V4,EMPLOYEE_DATA!$A$3:$Q$4996,10,0)</f>
        <v>Hà Nội</v>
      </c>
      <c r="F15" s="124"/>
      <c r="G15" s="124"/>
      <c r="H15" s="124"/>
      <c r="I15" s="124"/>
      <c r="J15" s="124"/>
      <c r="K15" s="124"/>
      <c r="L15" s="124"/>
      <c r="M15" s="124"/>
      <c r="N15" s="124"/>
      <c r="O15" s="124"/>
      <c r="P15" s="124"/>
      <c r="Q15" s="124"/>
      <c r="R15" s="124"/>
      <c r="S15" s="124"/>
    </row>
    <row r="16" spans="1:24" x14ac:dyDescent="0.25">
      <c r="B16" s="124"/>
      <c r="C16" s="124"/>
      <c r="D16" s="124"/>
      <c r="E16" s="124"/>
      <c r="F16" s="124"/>
      <c r="G16" s="124"/>
      <c r="H16" s="124"/>
      <c r="I16" s="124"/>
      <c r="J16" s="124"/>
      <c r="K16" s="124"/>
      <c r="L16" s="124"/>
      <c r="M16" s="124"/>
      <c r="N16" s="124"/>
      <c r="O16" s="124"/>
      <c r="P16" s="124"/>
      <c r="Q16" s="124"/>
      <c r="R16" s="124"/>
      <c r="S16" s="124"/>
    </row>
    <row r="17" spans="2:19" hidden="1" x14ac:dyDescent="0.25">
      <c r="B17" s="191" t="str">
        <f xml:space="preserve"> "Tôi cam kết rằng, trong năm "&amp;W2&amp;" tôi có tổng thu nhập từ tiền lương, tiền công thuộc diện phải khấu trừ thuế theo tỷ lệ 10% , nhưng ước tính tổng thu nhập không quá  ..............triệu đồng (ghi bằng chữ : ............) nên không đến mức phải nộp thuế TNCN. "</f>
        <v xml:space="preserve">Tôi cam kết rằng, trong năm 2023 tôi có tổng thu nhập từ tiền lương, tiền công thuộc diện phải khấu trừ thuế theo tỷ lệ 10% , nhưng ước tính tổng thu nhập không quá  ..............triệu đồng (ghi bằng chữ : ............) nên không đến mức phải nộp thuế TNCN. </v>
      </c>
      <c r="C17" s="191"/>
      <c r="D17" s="191"/>
      <c r="E17" s="191"/>
      <c r="F17" s="191"/>
      <c r="G17" s="191"/>
      <c r="H17" s="191"/>
      <c r="I17" s="191"/>
      <c r="J17" s="191"/>
      <c r="K17" s="191"/>
      <c r="L17" s="191"/>
      <c r="M17" s="191"/>
      <c r="N17" s="191"/>
      <c r="O17" s="191"/>
      <c r="P17" s="191"/>
      <c r="Q17" s="191"/>
      <c r="R17" s="191"/>
      <c r="S17" s="191"/>
    </row>
    <row r="18" spans="2:19" x14ac:dyDescent="0.25">
      <c r="B18" s="191"/>
      <c r="C18" s="191"/>
      <c r="D18" s="191"/>
      <c r="E18" s="191"/>
      <c r="F18" s="191"/>
      <c r="G18" s="191"/>
      <c r="H18" s="191"/>
      <c r="I18" s="191"/>
      <c r="J18" s="191"/>
      <c r="K18" s="191"/>
      <c r="L18" s="191"/>
      <c r="M18" s="191"/>
      <c r="N18" s="191"/>
      <c r="O18" s="191"/>
      <c r="P18" s="191"/>
      <c r="Q18" s="191"/>
      <c r="R18" s="191"/>
      <c r="S18" s="191"/>
    </row>
    <row r="19" spans="2:19" x14ac:dyDescent="0.25">
      <c r="B19" s="191"/>
      <c r="C19" s="191"/>
      <c r="D19" s="191"/>
      <c r="E19" s="191"/>
      <c r="F19" s="191"/>
      <c r="G19" s="191"/>
      <c r="H19" s="191"/>
      <c r="I19" s="191"/>
      <c r="J19" s="191"/>
      <c r="K19" s="191"/>
      <c r="L19" s="191"/>
      <c r="M19" s="191"/>
      <c r="N19" s="191"/>
      <c r="O19" s="191"/>
      <c r="P19" s="191"/>
      <c r="Q19" s="191"/>
      <c r="R19" s="191"/>
      <c r="S19" s="191"/>
    </row>
    <row r="20" spans="2:19" x14ac:dyDescent="0.25">
      <c r="B20" s="191"/>
      <c r="C20" s="191"/>
      <c r="D20" s="191"/>
      <c r="E20" s="191"/>
      <c r="F20" s="191"/>
      <c r="G20" s="191"/>
      <c r="H20" s="191"/>
      <c r="I20" s="191"/>
      <c r="J20" s="191"/>
      <c r="K20" s="191"/>
      <c r="L20" s="191"/>
      <c r="M20" s="191"/>
      <c r="N20" s="191"/>
      <c r="O20" s="191"/>
      <c r="P20" s="191"/>
      <c r="Q20" s="191"/>
      <c r="R20" s="191"/>
      <c r="S20" s="191"/>
    </row>
    <row r="21" spans="2:19" x14ac:dyDescent="0.25">
      <c r="B21" s="191"/>
      <c r="C21" s="191"/>
      <c r="D21" s="191"/>
      <c r="E21" s="191"/>
      <c r="F21" s="191"/>
      <c r="G21" s="191"/>
      <c r="H21" s="191"/>
      <c r="I21" s="191"/>
      <c r="J21" s="191"/>
      <c r="K21" s="191"/>
      <c r="L21" s="191"/>
      <c r="M21" s="191"/>
      <c r="N21" s="191"/>
      <c r="O21" s="191"/>
      <c r="P21" s="191"/>
      <c r="Q21" s="191"/>
      <c r="R21" s="191"/>
      <c r="S21" s="191"/>
    </row>
    <row r="22" spans="2:19" x14ac:dyDescent="0.25">
      <c r="B22" s="191"/>
      <c r="C22" s="191"/>
      <c r="D22" s="191"/>
      <c r="E22" s="191"/>
      <c r="F22" s="191"/>
      <c r="G22" s="191"/>
      <c r="H22" s="191"/>
      <c r="I22" s="191"/>
      <c r="J22" s="191"/>
      <c r="K22" s="191"/>
      <c r="L22" s="191"/>
      <c r="M22" s="191"/>
      <c r="N22" s="191"/>
      <c r="O22" s="191"/>
      <c r="P22" s="191"/>
      <c r="Q22" s="191"/>
      <c r="R22" s="191"/>
      <c r="S22" s="191"/>
    </row>
    <row r="23" spans="2:19" x14ac:dyDescent="0.25">
      <c r="B23" s="191" t="str">
        <f xml:space="preserve"> "Vì vậy, tôi đề nghị "&amp;Company_Name&amp;" căn cứ vào bản cam kết này để không khấu trừ thuế TNCN khi trả thu nhập cho tôi."</f>
        <v>Vì vậy, tôi đề nghị CÔNG TY TNHH CƠ KHÍ SỬA CHỮA HOÀNG KIÊN căn cứ vào bản cam kết này để không khấu trừ thuế TNCN khi trả thu nhập cho tôi.</v>
      </c>
      <c r="C23" s="191"/>
      <c r="D23" s="191"/>
      <c r="E23" s="191"/>
      <c r="F23" s="191"/>
      <c r="G23" s="191"/>
      <c r="H23" s="191"/>
      <c r="I23" s="191"/>
      <c r="J23" s="191"/>
      <c r="K23" s="191"/>
      <c r="L23" s="191"/>
      <c r="M23" s="191"/>
      <c r="N23" s="191"/>
      <c r="O23" s="191"/>
      <c r="P23" s="191"/>
      <c r="Q23" s="191"/>
      <c r="R23" s="191"/>
      <c r="S23" s="191"/>
    </row>
    <row r="24" spans="2:19" x14ac:dyDescent="0.25">
      <c r="B24" s="191"/>
      <c r="C24" s="191"/>
      <c r="D24" s="191"/>
      <c r="E24" s="191"/>
      <c r="F24" s="191"/>
      <c r="G24" s="191"/>
      <c r="H24" s="191"/>
      <c r="I24" s="191"/>
      <c r="J24" s="191"/>
      <c r="K24" s="191"/>
      <c r="L24" s="191"/>
      <c r="M24" s="191"/>
      <c r="N24" s="191"/>
      <c r="O24" s="191"/>
      <c r="P24" s="191"/>
      <c r="Q24" s="191"/>
      <c r="R24" s="191"/>
      <c r="S24" s="191"/>
    </row>
    <row r="25" spans="2:19" x14ac:dyDescent="0.25">
      <c r="B25" s="191"/>
      <c r="C25" s="191"/>
      <c r="D25" s="191"/>
      <c r="E25" s="191"/>
      <c r="F25" s="191"/>
      <c r="G25" s="191"/>
      <c r="H25" s="191"/>
      <c r="I25" s="191"/>
      <c r="J25" s="191"/>
      <c r="K25" s="191"/>
      <c r="L25" s="191"/>
      <c r="M25" s="191"/>
      <c r="N25" s="191"/>
      <c r="O25" s="191"/>
      <c r="P25" s="191"/>
      <c r="Q25" s="191"/>
      <c r="R25" s="191"/>
      <c r="S25" s="191"/>
    </row>
    <row r="26" spans="2:19" ht="18" x14ac:dyDescent="0.25">
      <c r="B26" s="191" t="s">
        <v>581</v>
      </c>
      <c r="C26" s="191"/>
      <c r="D26" s="191"/>
      <c r="E26" s="191"/>
      <c r="F26" s="191"/>
      <c r="G26" s="191"/>
      <c r="H26" s="191"/>
      <c r="I26" s="191"/>
      <c r="J26" s="191"/>
      <c r="K26" s="191"/>
      <c r="L26" s="191"/>
      <c r="M26" s="191"/>
      <c r="N26" s="191"/>
      <c r="O26" s="191"/>
      <c r="P26" s="191"/>
      <c r="Q26" s="191"/>
      <c r="R26" s="191"/>
      <c r="S26" s="191"/>
    </row>
    <row r="27" spans="2:19" ht="18" x14ac:dyDescent="0.35">
      <c r="I27" s="192" t="str">
        <f>"Hà Nội, Ngày …… tháng …… năm "&amp; W2</f>
        <v>Hà Nội, Ngày …… tháng …… năm 2023</v>
      </c>
      <c r="J27" s="192"/>
      <c r="K27" s="192"/>
      <c r="L27" s="192"/>
      <c r="M27" s="192"/>
      <c r="N27" s="192"/>
      <c r="O27" s="192"/>
      <c r="P27" s="192"/>
      <c r="Q27" s="192"/>
      <c r="R27" s="192"/>
      <c r="S27" s="192"/>
    </row>
    <row r="29" spans="2:19" ht="17.399999999999999" x14ac:dyDescent="0.3">
      <c r="J29" s="193" t="s">
        <v>582</v>
      </c>
      <c r="K29" s="193"/>
      <c r="L29" s="193"/>
      <c r="M29" s="193"/>
      <c r="N29" s="193"/>
      <c r="O29" s="193"/>
      <c r="P29" s="193"/>
      <c r="Q29" s="156"/>
    </row>
    <row r="30" spans="2:19" x14ac:dyDescent="0.25">
      <c r="J30" s="194" t="s">
        <v>583</v>
      </c>
      <c r="K30" s="194"/>
      <c r="L30" s="194"/>
      <c r="M30" s="194"/>
      <c r="N30" s="194"/>
      <c r="O30" s="194"/>
      <c r="P30" s="194"/>
      <c r="Q30" s="120"/>
    </row>
    <row r="34" spans="2:19" ht="18" x14ac:dyDescent="0.35">
      <c r="L34" s="195" t="str">
        <f>E11</f>
        <v>Trần Trung Kiên</v>
      </c>
      <c r="M34" s="195"/>
      <c r="N34" s="195"/>
      <c r="O34" s="195"/>
      <c r="P34" s="195"/>
    </row>
    <row r="36" spans="2:19" x14ac:dyDescent="0.25">
      <c r="B36" s="189" t="s">
        <v>584</v>
      </c>
      <c r="C36" s="190"/>
      <c r="D36" s="190"/>
      <c r="E36" s="190"/>
      <c r="F36" s="190"/>
      <c r="G36" s="190"/>
      <c r="H36" s="190"/>
      <c r="I36" s="190"/>
      <c r="J36" s="190"/>
      <c r="K36" s="190"/>
      <c r="L36" s="190"/>
      <c r="M36" s="190"/>
      <c r="N36" s="190"/>
      <c r="O36" s="190"/>
      <c r="P36" s="190"/>
      <c r="Q36" s="190"/>
      <c r="R36" s="190"/>
      <c r="S36" s="190"/>
    </row>
    <row r="37" spans="2:19" x14ac:dyDescent="0.25">
      <c r="B37" s="190"/>
      <c r="C37" s="190"/>
      <c r="D37" s="190"/>
      <c r="E37" s="190"/>
      <c r="F37" s="190"/>
      <c r="G37" s="190"/>
      <c r="H37" s="190"/>
      <c r="I37" s="190"/>
      <c r="J37" s="190"/>
      <c r="K37" s="190"/>
      <c r="L37" s="190"/>
      <c r="M37" s="190"/>
      <c r="N37" s="190"/>
      <c r="O37" s="190"/>
      <c r="P37" s="190"/>
      <c r="Q37" s="190"/>
      <c r="R37" s="190"/>
      <c r="S37" s="190"/>
    </row>
    <row r="38" spans="2:19" x14ac:dyDescent="0.25">
      <c r="B38" s="190"/>
      <c r="C38" s="190"/>
      <c r="D38" s="190"/>
      <c r="E38" s="190"/>
      <c r="F38" s="190"/>
      <c r="G38" s="190"/>
      <c r="H38" s="190"/>
      <c r="I38" s="190"/>
      <c r="J38" s="190"/>
      <c r="K38" s="190"/>
      <c r="L38" s="190"/>
      <c r="M38" s="190"/>
      <c r="N38" s="190"/>
      <c r="O38" s="190"/>
      <c r="P38" s="190"/>
      <c r="Q38" s="190"/>
      <c r="R38" s="190"/>
      <c r="S38" s="190"/>
    </row>
    <row r="39" spans="2:19" x14ac:dyDescent="0.25">
      <c r="B39" s="190"/>
      <c r="C39" s="190"/>
      <c r="D39" s="190"/>
      <c r="E39" s="190"/>
      <c r="F39" s="190"/>
      <c r="G39" s="190"/>
      <c r="H39" s="190"/>
      <c r="I39" s="190"/>
      <c r="J39" s="190"/>
      <c r="K39" s="190"/>
      <c r="L39" s="190"/>
      <c r="M39" s="190"/>
      <c r="N39" s="190"/>
      <c r="O39" s="190"/>
      <c r="P39" s="190"/>
      <c r="Q39" s="190"/>
      <c r="R39" s="190"/>
      <c r="S39" s="190"/>
    </row>
    <row r="40" spans="2:19" x14ac:dyDescent="0.25">
      <c r="B40" s="190"/>
      <c r="C40" s="190"/>
      <c r="D40" s="190"/>
      <c r="E40" s="190"/>
      <c r="F40" s="190"/>
      <c r="G40" s="190"/>
      <c r="H40" s="190"/>
      <c r="I40" s="190"/>
      <c r="J40" s="190"/>
      <c r="K40" s="190"/>
      <c r="L40" s="190"/>
      <c r="M40" s="190"/>
      <c r="N40" s="190"/>
      <c r="O40" s="190"/>
      <c r="P40" s="190"/>
      <c r="Q40" s="190"/>
      <c r="R40" s="190"/>
      <c r="S40" s="190"/>
    </row>
    <row r="41" spans="2:19" x14ac:dyDescent="0.25">
      <c r="B41" s="190"/>
      <c r="C41" s="190"/>
      <c r="D41" s="190"/>
      <c r="E41" s="190"/>
      <c r="F41" s="190"/>
      <c r="G41" s="190"/>
      <c r="H41" s="190"/>
      <c r="I41" s="190"/>
      <c r="J41" s="190"/>
      <c r="K41" s="190"/>
      <c r="L41" s="190"/>
      <c r="M41" s="190"/>
      <c r="N41" s="190"/>
      <c r="O41" s="190"/>
      <c r="P41" s="190"/>
      <c r="Q41" s="190"/>
      <c r="R41" s="190"/>
      <c r="S41" s="190"/>
    </row>
    <row r="42" spans="2:19" x14ac:dyDescent="0.25">
      <c r="B42" s="190"/>
      <c r="C42" s="190"/>
      <c r="D42" s="190"/>
      <c r="E42" s="190"/>
      <c r="F42" s="190"/>
      <c r="G42" s="190"/>
      <c r="H42" s="190"/>
      <c r="I42" s="190"/>
      <c r="J42" s="190"/>
      <c r="K42" s="190"/>
      <c r="L42" s="190"/>
      <c r="M42" s="190"/>
      <c r="N42" s="190"/>
      <c r="O42" s="190"/>
      <c r="P42" s="190"/>
      <c r="Q42" s="190"/>
      <c r="R42" s="190"/>
      <c r="S42" s="190"/>
    </row>
    <row r="43" spans="2:19" x14ac:dyDescent="0.25">
      <c r="B43" s="190"/>
      <c r="C43" s="190"/>
      <c r="D43" s="190"/>
      <c r="E43" s="190"/>
      <c r="F43" s="190"/>
      <c r="G43" s="190"/>
      <c r="H43" s="190"/>
      <c r="I43" s="190"/>
      <c r="J43" s="190"/>
      <c r="K43" s="190"/>
      <c r="L43" s="190"/>
      <c r="M43" s="190"/>
      <c r="N43" s="190"/>
      <c r="O43" s="190"/>
      <c r="P43" s="190"/>
      <c r="Q43" s="190"/>
      <c r="R43" s="190"/>
      <c r="S43" s="190"/>
    </row>
    <row r="44" spans="2:19" x14ac:dyDescent="0.25">
      <c r="B44" s="190"/>
      <c r="C44" s="190"/>
      <c r="D44" s="190"/>
      <c r="E44" s="190"/>
      <c r="F44" s="190"/>
      <c r="G44" s="190"/>
      <c r="H44" s="190"/>
      <c r="I44" s="190"/>
      <c r="J44" s="190"/>
      <c r="K44" s="190"/>
      <c r="L44" s="190"/>
      <c r="M44" s="190"/>
      <c r="N44" s="190"/>
      <c r="O44" s="190"/>
      <c r="P44" s="190"/>
      <c r="Q44" s="190"/>
      <c r="R44" s="190"/>
      <c r="S44" s="190"/>
    </row>
    <row r="45" spans="2:19" x14ac:dyDescent="0.25">
      <c r="B45" s="190"/>
      <c r="C45" s="190"/>
      <c r="D45" s="190"/>
      <c r="E45" s="190"/>
      <c r="F45" s="190"/>
      <c r="G45" s="190"/>
      <c r="H45" s="190"/>
      <c r="I45" s="190"/>
      <c r="J45" s="190"/>
      <c r="K45" s="190"/>
      <c r="L45" s="190"/>
      <c r="M45" s="190"/>
      <c r="N45" s="190"/>
      <c r="O45" s="190"/>
      <c r="P45" s="190"/>
      <c r="Q45" s="190"/>
      <c r="R45" s="190"/>
      <c r="S45" s="190"/>
    </row>
    <row r="46" spans="2:19" x14ac:dyDescent="0.25">
      <c r="B46" s="190"/>
      <c r="C46" s="190"/>
      <c r="D46" s="190"/>
      <c r="E46" s="190"/>
      <c r="F46" s="190"/>
      <c r="G46" s="190"/>
      <c r="H46" s="190"/>
      <c r="I46" s="190"/>
      <c r="J46" s="190"/>
      <c r="K46" s="190"/>
      <c r="L46" s="190"/>
      <c r="M46" s="190"/>
      <c r="N46" s="190"/>
      <c r="O46" s="190"/>
      <c r="P46" s="190"/>
      <c r="Q46" s="190"/>
      <c r="R46" s="190"/>
      <c r="S46" s="190"/>
    </row>
    <row r="47" spans="2:19" x14ac:dyDescent="0.25">
      <c r="B47" s="190"/>
      <c r="C47" s="190"/>
      <c r="D47" s="190"/>
      <c r="E47" s="190"/>
      <c r="F47" s="190"/>
      <c r="G47" s="190"/>
      <c r="H47" s="190"/>
      <c r="I47" s="190"/>
      <c r="J47" s="190"/>
      <c r="K47" s="190"/>
      <c r="L47" s="190"/>
      <c r="M47" s="190"/>
      <c r="N47" s="190"/>
      <c r="O47" s="190"/>
      <c r="P47" s="190"/>
      <c r="Q47" s="190"/>
      <c r="R47" s="190"/>
      <c r="S47" s="190"/>
    </row>
  </sheetData>
  <mergeCells count="13">
    <mergeCell ref="B17:S22"/>
    <mergeCell ref="B2:R2"/>
    <mergeCell ref="C3:P3"/>
    <mergeCell ref="A7:S7"/>
    <mergeCell ref="A9:S9"/>
    <mergeCell ref="E11:R11"/>
    <mergeCell ref="B36:S47"/>
    <mergeCell ref="B23:S25"/>
    <mergeCell ref="B26:S26"/>
    <mergeCell ref="I27:S27"/>
    <mergeCell ref="J29:P29"/>
    <mergeCell ref="J30:P30"/>
    <mergeCell ref="L34:P34"/>
  </mergeCells>
  <pageMargins left="0.7" right="0.7" top="0.75" bottom="0.75" header="0.3" footer="0.3"/>
  <pageSetup scale="86"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E32BF-6A69-44C4-81CF-65A858494A70}">
  <sheetPr codeName="Sheet40">
    <tabColor theme="1"/>
    <pageSetUpPr fitToPage="1"/>
  </sheetPr>
  <dimension ref="A2:X50"/>
  <sheetViews>
    <sheetView workbookViewId="0">
      <selection activeCell="AA13" sqref="AA13"/>
    </sheetView>
  </sheetViews>
  <sheetFormatPr defaultColWidth="9.109375" defaultRowHeight="13.8" x14ac:dyDescent="0.25"/>
  <cols>
    <col min="1" max="1" width="1.6640625" style="119" customWidth="1"/>
    <col min="2" max="2" width="6.33203125" style="119" customWidth="1"/>
    <col min="3" max="3" width="7.6640625" style="119" customWidth="1"/>
    <col min="4" max="4" width="5.6640625" style="119" customWidth="1"/>
    <col min="5" max="5" width="4.5546875" style="119" customWidth="1"/>
    <col min="6" max="14" width="4.88671875" style="119" customWidth="1"/>
    <col min="15" max="15" width="6.109375" style="119" customWidth="1"/>
    <col min="16" max="18" width="4.44140625" style="119" customWidth="1"/>
    <col min="19" max="19" width="15.77734375" style="119" customWidth="1"/>
    <col min="20" max="20" width="3.109375" style="119" customWidth="1"/>
    <col min="21" max="23" width="9.109375" style="119"/>
    <col min="24" max="24" width="11" style="119" bestFit="1" customWidth="1"/>
    <col min="25" max="16384" width="9.109375" style="119"/>
  </cols>
  <sheetData>
    <row r="2" spans="1:24" ht="17.399999999999999" x14ac:dyDescent="0.3">
      <c r="A2" s="154"/>
      <c r="B2" s="196" t="s">
        <v>475</v>
      </c>
      <c r="C2" s="196"/>
      <c r="D2" s="196"/>
      <c r="E2" s="196"/>
      <c r="F2" s="196"/>
      <c r="G2" s="196"/>
      <c r="H2" s="196"/>
      <c r="I2" s="196"/>
      <c r="J2" s="196"/>
      <c r="K2" s="196"/>
      <c r="L2" s="196"/>
      <c r="M2" s="196"/>
      <c r="N2" s="196"/>
      <c r="O2" s="196"/>
      <c r="P2" s="196"/>
      <c r="Q2" s="196"/>
      <c r="R2" s="196"/>
      <c r="V2" s="120" t="s">
        <v>576</v>
      </c>
      <c r="W2" s="120">
        <v>2023</v>
      </c>
      <c r="X2" s="119" t="str">
        <f>VLOOKUP(V4,EMPLOYEE_DATA!$A$3:$Q$4996,6,0)</f>
        <v>8554512454</v>
      </c>
    </row>
    <row r="3" spans="1:24" ht="17.399999999999999" x14ac:dyDescent="0.3">
      <c r="A3" s="155"/>
      <c r="B3" s="155"/>
      <c r="C3" s="193" t="s">
        <v>476</v>
      </c>
      <c r="D3" s="193"/>
      <c r="E3" s="193"/>
      <c r="F3" s="193"/>
      <c r="G3" s="193"/>
      <c r="H3" s="193"/>
      <c r="I3" s="193"/>
      <c r="J3" s="193"/>
      <c r="K3" s="193"/>
      <c r="L3" s="193"/>
      <c r="M3" s="193"/>
      <c r="N3" s="193"/>
      <c r="O3" s="193"/>
      <c r="P3" s="193"/>
      <c r="Q3" s="156"/>
    </row>
    <row r="4" spans="1:24" ht="18" thickBot="1" x14ac:dyDescent="0.35">
      <c r="A4" s="155"/>
      <c r="B4" s="155"/>
      <c r="C4" s="155"/>
      <c r="D4" s="155"/>
      <c r="E4" s="155"/>
      <c r="F4" s="155"/>
      <c r="G4" s="162"/>
      <c r="H4" s="162"/>
      <c r="I4" s="162"/>
      <c r="J4" s="162"/>
      <c r="K4" s="164"/>
      <c r="V4" s="166">
        <v>13</v>
      </c>
    </row>
    <row r="5" spans="1:24" ht="17.399999999999999" x14ac:dyDescent="0.3">
      <c r="A5" s="155"/>
      <c r="B5" s="155"/>
      <c r="C5" s="155"/>
      <c r="D5" s="155"/>
      <c r="E5" s="155"/>
      <c r="F5" s="155"/>
      <c r="G5" s="155"/>
      <c r="H5" s="155"/>
      <c r="I5" s="155"/>
      <c r="J5" s="155"/>
      <c r="U5" s="119" t="s">
        <v>573</v>
      </c>
      <c r="V5" s="165">
        <v>13</v>
      </c>
    </row>
    <row r="6" spans="1:24" ht="17.399999999999999" x14ac:dyDescent="0.3">
      <c r="A6" s="154"/>
      <c r="B6" s="154"/>
      <c r="C6" s="154"/>
      <c r="D6" s="154"/>
      <c r="E6" s="154"/>
      <c r="F6" s="154"/>
      <c r="G6" s="154"/>
      <c r="H6" s="154"/>
      <c r="I6" s="154"/>
      <c r="J6" s="154"/>
      <c r="K6" s="154"/>
      <c r="L6" s="154"/>
      <c r="M6" s="154"/>
      <c r="N6" s="154"/>
      <c r="O6" s="154"/>
      <c r="U6" s="119" t="s">
        <v>574</v>
      </c>
      <c r="V6" s="165">
        <v>15</v>
      </c>
    </row>
    <row r="7" spans="1:24" ht="51.6" customHeight="1" x14ac:dyDescent="0.25">
      <c r="A7" s="197" t="s">
        <v>586</v>
      </c>
      <c r="B7" s="197"/>
      <c r="C7" s="197"/>
      <c r="D7" s="197"/>
      <c r="E7" s="197"/>
      <c r="F7" s="197"/>
      <c r="G7" s="197"/>
      <c r="H7" s="197"/>
      <c r="I7" s="197"/>
      <c r="J7" s="197"/>
      <c r="K7" s="197"/>
      <c r="L7" s="197"/>
      <c r="M7" s="197"/>
      <c r="N7" s="197"/>
      <c r="O7" s="197"/>
      <c r="P7" s="197"/>
      <c r="Q7" s="197"/>
      <c r="R7" s="197"/>
      <c r="S7" s="197"/>
    </row>
    <row r="9" spans="1:24" ht="18" x14ac:dyDescent="0.35">
      <c r="A9" s="195" t="str">
        <f>" Kính gửi : "&amp;Company_Name</f>
        <v xml:space="preserve"> Kính gửi : CÔNG TY TNHH CƠ KHÍ SỬA CHỮA HOÀNG KIÊN</v>
      </c>
      <c r="B9" s="195"/>
      <c r="C9" s="195"/>
      <c r="D9" s="195"/>
      <c r="E9" s="195"/>
      <c r="F9" s="195"/>
      <c r="G9" s="195"/>
      <c r="H9" s="195"/>
      <c r="I9" s="195"/>
      <c r="J9" s="195"/>
      <c r="K9" s="195"/>
      <c r="L9" s="195"/>
      <c r="M9" s="195"/>
      <c r="N9" s="195"/>
      <c r="O9" s="195"/>
      <c r="P9" s="195"/>
      <c r="Q9" s="195"/>
      <c r="R9" s="195"/>
      <c r="S9" s="195"/>
    </row>
    <row r="10" spans="1:24" ht="18" x14ac:dyDescent="0.35">
      <c r="A10" s="157"/>
      <c r="B10" s="157"/>
      <c r="C10" s="157"/>
      <c r="D10" s="157"/>
      <c r="E10" s="157"/>
      <c r="F10" s="157"/>
      <c r="G10" s="157"/>
      <c r="H10" s="157"/>
      <c r="I10" s="157"/>
      <c r="J10" s="157"/>
      <c r="K10" s="157"/>
      <c r="L10" s="157"/>
      <c r="M10" s="157"/>
      <c r="N10" s="157"/>
      <c r="O10" s="157"/>
      <c r="P10" s="157"/>
      <c r="Q10" s="157"/>
      <c r="R10" s="157"/>
      <c r="S10" s="157"/>
    </row>
    <row r="11" spans="1:24" ht="18" x14ac:dyDescent="0.25">
      <c r="B11" s="158" t="s">
        <v>578</v>
      </c>
      <c r="C11" s="124"/>
      <c r="D11" s="124"/>
      <c r="E11" s="198" t="str">
        <f>+VLOOKUP(V4,EMPLOYEE_DATA!$A$3:$Q$4996,3,0)</f>
        <v>Lê Minh Đức</v>
      </c>
      <c r="F11" s="198"/>
      <c r="G11" s="198"/>
      <c r="H11" s="198"/>
      <c r="I11" s="198"/>
      <c r="J11" s="198"/>
      <c r="K11" s="198"/>
      <c r="L11" s="198"/>
      <c r="M11" s="198"/>
      <c r="N11" s="198"/>
      <c r="O11" s="198"/>
      <c r="P11" s="198"/>
      <c r="Q11" s="198"/>
      <c r="R11" s="198"/>
      <c r="S11" s="124"/>
    </row>
    <row r="12" spans="1:24" x14ac:dyDescent="0.25">
      <c r="B12" s="124"/>
      <c r="C12" s="124"/>
      <c r="D12" s="124"/>
      <c r="E12" s="124"/>
      <c r="F12" s="124"/>
      <c r="G12" s="124"/>
      <c r="H12" s="124"/>
      <c r="I12" s="124"/>
      <c r="J12" s="124"/>
      <c r="K12" s="124"/>
      <c r="L12" s="124"/>
      <c r="M12" s="124"/>
      <c r="N12" s="124"/>
      <c r="O12" s="124"/>
      <c r="P12" s="124"/>
      <c r="Q12" s="124"/>
      <c r="R12" s="124"/>
      <c r="S12" s="124"/>
    </row>
    <row r="13" spans="1:24" ht="18" x14ac:dyDescent="0.25">
      <c r="B13" s="158" t="s">
        <v>579</v>
      </c>
      <c r="C13" s="124"/>
      <c r="D13" s="124"/>
      <c r="E13" s="159" t="str">
        <f>LEFT($X$2,1)</f>
        <v>8</v>
      </c>
      <c r="F13" s="159" t="str">
        <f>MID($X$2,2,1)</f>
        <v>5</v>
      </c>
      <c r="G13" s="159" t="str">
        <f>MID($X$2,3,1)</f>
        <v>5</v>
      </c>
      <c r="H13" s="159" t="str">
        <f>MID($X$2,4,1)</f>
        <v>4</v>
      </c>
      <c r="I13" s="159" t="str">
        <f>MID($X$2,5,1)</f>
        <v>5</v>
      </c>
      <c r="J13" s="159" t="str">
        <f>MID($X$2,6,1)</f>
        <v>1</v>
      </c>
      <c r="K13" s="159" t="str">
        <f>MID($X$2,7,1)</f>
        <v>2</v>
      </c>
      <c r="L13" s="159" t="str">
        <f>MID($X$2,8,1)</f>
        <v>4</v>
      </c>
      <c r="M13" s="159" t="str">
        <f>MID($X$2,9,1)</f>
        <v>5</v>
      </c>
      <c r="N13" s="159" t="str">
        <f>RIGHT($X$2,1)</f>
        <v>4</v>
      </c>
      <c r="O13" s="160"/>
      <c r="P13" s="159" t="s">
        <v>585</v>
      </c>
      <c r="Q13" s="159" t="s">
        <v>585</v>
      </c>
      <c r="R13" s="159" t="s">
        <v>585</v>
      </c>
      <c r="S13" s="158"/>
    </row>
    <row r="14" spans="1:24" x14ac:dyDescent="0.25">
      <c r="B14" s="124"/>
      <c r="C14" s="124"/>
      <c r="D14" s="124"/>
      <c r="E14" s="124"/>
      <c r="F14" s="124"/>
      <c r="G14" s="124"/>
      <c r="H14" s="124"/>
      <c r="I14" s="124"/>
      <c r="J14" s="124"/>
      <c r="K14" s="124"/>
      <c r="L14" s="124"/>
      <c r="M14" s="124"/>
      <c r="N14" s="124"/>
      <c r="O14" s="124"/>
      <c r="P14" s="124"/>
      <c r="Q14" s="124"/>
      <c r="R14" s="124"/>
      <c r="S14" s="124"/>
    </row>
    <row r="15" spans="1:24" ht="18" x14ac:dyDescent="0.25">
      <c r="B15" s="158" t="str">
        <f>"3.Số CMND/hộ chiếu : "&amp;VLOOKUP(V4,EMPLOYEE_DATA!$A$3:$Q$4996,7,0)</f>
        <v>3.Số CMND/hộ chiếu : 132454546</v>
      </c>
      <c r="C15" s="158"/>
      <c r="D15" s="158"/>
      <c r="E15" s="158"/>
      <c r="F15" s="158"/>
      <c r="G15" s="158"/>
      <c r="H15" s="124"/>
      <c r="I15" s="200" t="s">
        <v>491</v>
      </c>
      <c r="J15" s="200"/>
      <c r="K15" s="200"/>
      <c r="L15" s="201">
        <f>VLOOKUP(V4,EMPLOYEE_DATA!$A$3:$Q$4996,11,0)</f>
        <v>44793</v>
      </c>
      <c r="M15" s="201"/>
      <c r="N15" s="201"/>
      <c r="O15" s="161" t="s">
        <v>587</v>
      </c>
      <c r="P15" s="124"/>
      <c r="Q15" s="124"/>
      <c r="R15" s="202" t="str">
        <f>+VLOOKUP(V4,EMPLOYEE_DATA!$A$3:$Q$4996,12,0)</f>
        <v>Bình Dương</v>
      </c>
      <c r="S15" s="202"/>
    </row>
    <row r="16" spans="1:24" x14ac:dyDescent="0.25">
      <c r="B16" s="124"/>
      <c r="C16" s="124"/>
      <c r="D16" s="124"/>
      <c r="E16" s="124"/>
      <c r="F16" s="124"/>
      <c r="G16" s="124"/>
      <c r="H16" s="124"/>
      <c r="I16" s="124"/>
      <c r="J16" s="124"/>
      <c r="K16" s="124"/>
      <c r="L16" s="124"/>
      <c r="M16" s="124"/>
      <c r="N16" s="124"/>
      <c r="O16" s="124"/>
      <c r="P16" s="124"/>
      <c r="Q16" s="124"/>
      <c r="R16" s="124"/>
      <c r="S16" s="124"/>
    </row>
    <row r="17" spans="2:19" ht="18" x14ac:dyDescent="0.25">
      <c r="B17" s="161" t="s">
        <v>580</v>
      </c>
      <c r="C17" s="124"/>
      <c r="D17" s="124"/>
      <c r="E17" s="158" t="str">
        <f>+VLOOKUP(V4,EMPLOYEE_DATA!$A$3:$Q$4996,10,0)</f>
        <v>Bình Dương</v>
      </c>
      <c r="F17" s="124"/>
      <c r="G17" s="124"/>
      <c r="H17" s="124"/>
      <c r="I17" s="124"/>
      <c r="J17" s="124"/>
      <c r="K17" s="124"/>
      <c r="L17" s="124"/>
      <c r="M17" s="124"/>
      <c r="N17" s="124"/>
      <c r="O17" s="124"/>
      <c r="P17" s="124"/>
      <c r="Q17" s="124"/>
      <c r="R17" s="124"/>
      <c r="S17" s="124"/>
    </row>
    <row r="18" spans="2:19" x14ac:dyDescent="0.25">
      <c r="B18" s="124"/>
      <c r="C18" s="124"/>
      <c r="D18" s="124"/>
      <c r="E18" s="124"/>
      <c r="F18" s="124"/>
      <c r="G18" s="124"/>
      <c r="H18" s="124"/>
      <c r="I18" s="124"/>
      <c r="J18" s="124"/>
      <c r="K18" s="124"/>
      <c r="L18" s="124"/>
      <c r="M18" s="124"/>
      <c r="N18" s="124"/>
      <c r="O18" s="124"/>
      <c r="P18" s="124"/>
      <c r="Q18" s="124"/>
      <c r="R18" s="124"/>
      <c r="S18" s="124"/>
    </row>
    <row r="19" spans="2:19" ht="18" x14ac:dyDescent="0.25">
      <c r="B19" s="161" t="s">
        <v>588</v>
      </c>
      <c r="C19" s="124"/>
      <c r="D19" s="124"/>
      <c r="E19" s="124"/>
      <c r="F19" s="124"/>
      <c r="G19" s="124"/>
      <c r="H19" s="124"/>
      <c r="I19" s="124"/>
      <c r="J19" s="158" t="str">
        <f>Company_Name</f>
        <v>CÔNG TY TNHH CƠ KHÍ SỬA CHỮA HOÀNG KIÊN</v>
      </c>
      <c r="K19" s="124"/>
      <c r="L19" s="124"/>
      <c r="M19" s="124"/>
      <c r="N19" s="124"/>
      <c r="O19" s="124"/>
      <c r="P19" s="124"/>
      <c r="Q19" s="124"/>
      <c r="R19" s="124"/>
      <c r="S19" s="124"/>
    </row>
    <row r="21" spans="2:19" x14ac:dyDescent="0.25">
      <c r="B21" s="191" t="str">
        <f>"Tôi cam kết rằng, trong năm " &amp; W2 &amp; " tôi chỉ có thu nhập duy nhất tại "  &amp;J19&amp;  " nhưng ước tính tổng thu nhập không quá 108 triệu đồng (ghi bằng chữ : Một trăm linh tám triệu đồng) nên không đến mức phải nộp thuế TNCN. "</f>
        <v xml:space="preserve">Tôi cam kết rằng, trong năm 2023 tôi chỉ có thu nhập duy nhất tại CÔNG TY TNHH CƠ KHÍ SỬA CHỮA HOÀNG KIÊN nhưng ước tính tổng thu nhập không quá 108 triệu đồng (ghi bằng chữ : Một trăm linh tám triệu đồng) nên không đến mức phải nộp thuế TNCN. </v>
      </c>
      <c r="C21" s="191"/>
      <c r="D21" s="191"/>
      <c r="E21" s="191"/>
      <c r="F21" s="191"/>
      <c r="G21" s="191"/>
      <c r="H21" s="191"/>
      <c r="I21" s="191"/>
      <c r="J21" s="191"/>
      <c r="K21" s="191"/>
      <c r="L21" s="191"/>
      <c r="M21" s="191"/>
      <c r="N21" s="191"/>
      <c r="O21" s="191"/>
      <c r="P21" s="191"/>
      <c r="Q21" s="191"/>
      <c r="R21" s="191"/>
      <c r="S21" s="191"/>
    </row>
    <row r="22" spans="2:19" x14ac:dyDescent="0.25">
      <c r="B22" s="191"/>
      <c r="C22" s="191"/>
      <c r="D22" s="191"/>
      <c r="E22" s="191"/>
      <c r="F22" s="191"/>
      <c r="G22" s="191"/>
      <c r="H22" s="191"/>
      <c r="I22" s="191"/>
      <c r="J22" s="191"/>
      <c r="K22" s="191"/>
      <c r="L22" s="191"/>
      <c r="M22" s="191"/>
      <c r="N22" s="191"/>
      <c r="O22" s="191"/>
      <c r="P22" s="191"/>
      <c r="Q22" s="191"/>
      <c r="R22" s="191"/>
      <c r="S22" s="191"/>
    </row>
    <row r="23" spans="2:19" x14ac:dyDescent="0.25">
      <c r="B23" s="191"/>
      <c r="C23" s="191"/>
      <c r="D23" s="191"/>
      <c r="E23" s="191"/>
      <c r="F23" s="191"/>
      <c r="G23" s="191"/>
      <c r="H23" s="191"/>
      <c r="I23" s="191"/>
      <c r="J23" s="191"/>
      <c r="K23" s="191"/>
      <c r="L23" s="191"/>
      <c r="M23" s="191"/>
      <c r="N23" s="191"/>
      <c r="O23" s="191"/>
      <c r="P23" s="191"/>
      <c r="Q23" s="191"/>
      <c r="R23" s="191"/>
      <c r="S23" s="191"/>
    </row>
    <row r="24" spans="2:19" x14ac:dyDescent="0.25">
      <c r="B24" s="191"/>
      <c r="C24" s="191"/>
      <c r="D24" s="191"/>
      <c r="E24" s="191"/>
      <c r="F24" s="191"/>
      <c r="G24" s="191"/>
      <c r="H24" s="191"/>
      <c r="I24" s="191"/>
      <c r="J24" s="191"/>
      <c r="K24" s="191"/>
      <c r="L24" s="191"/>
      <c r="M24" s="191"/>
      <c r="N24" s="191"/>
      <c r="O24" s="191"/>
      <c r="P24" s="191"/>
      <c r="Q24" s="191"/>
      <c r="R24" s="191"/>
      <c r="S24" s="191"/>
    </row>
    <row r="25" spans="2:19" x14ac:dyDescent="0.25">
      <c r="B25" s="191"/>
      <c r="C25" s="191"/>
      <c r="D25" s="191"/>
      <c r="E25" s="191"/>
      <c r="F25" s="191"/>
      <c r="G25" s="191"/>
      <c r="H25" s="191"/>
      <c r="I25" s="191"/>
      <c r="J25" s="191"/>
      <c r="K25" s="191"/>
      <c r="L25" s="191"/>
      <c r="M25" s="191"/>
      <c r="N25" s="191"/>
      <c r="O25" s="191"/>
      <c r="P25" s="191"/>
      <c r="Q25" s="191"/>
      <c r="R25" s="191"/>
      <c r="S25" s="191"/>
    </row>
    <row r="26" spans="2:19" x14ac:dyDescent="0.25">
      <c r="B26" s="191"/>
      <c r="C26" s="191"/>
      <c r="D26" s="191"/>
      <c r="E26" s="191"/>
      <c r="F26" s="191"/>
      <c r="G26" s="191"/>
      <c r="H26" s="191"/>
      <c r="I26" s="191"/>
      <c r="J26" s="191"/>
      <c r="K26" s="191"/>
      <c r="L26" s="191"/>
      <c r="M26" s="191"/>
      <c r="N26" s="191"/>
      <c r="O26" s="191"/>
      <c r="P26" s="191"/>
      <c r="Q26" s="191"/>
      <c r="R26" s="191"/>
      <c r="S26" s="191"/>
    </row>
    <row r="27" spans="2:19" x14ac:dyDescent="0.25">
      <c r="B27" s="191" t="s">
        <v>589</v>
      </c>
      <c r="C27" s="191"/>
      <c r="D27" s="191"/>
      <c r="E27" s="191"/>
      <c r="F27" s="191"/>
      <c r="G27" s="191"/>
      <c r="H27" s="191"/>
      <c r="I27" s="191"/>
      <c r="J27" s="191"/>
      <c r="K27" s="191"/>
      <c r="L27" s="191"/>
      <c r="M27" s="191"/>
      <c r="N27" s="191"/>
      <c r="O27" s="191"/>
      <c r="P27" s="191"/>
      <c r="Q27" s="191"/>
      <c r="R27" s="191"/>
      <c r="S27" s="191"/>
    </row>
    <row r="28" spans="2:19" x14ac:dyDescent="0.25">
      <c r="B28" s="191"/>
      <c r="C28" s="191"/>
      <c r="D28" s="191"/>
      <c r="E28" s="191"/>
      <c r="F28" s="191"/>
      <c r="G28" s="191"/>
      <c r="H28" s="191"/>
      <c r="I28" s="191"/>
      <c r="J28" s="191"/>
      <c r="K28" s="191"/>
      <c r="L28" s="191"/>
      <c r="M28" s="191"/>
      <c r="N28" s="191"/>
      <c r="O28" s="191"/>
      <c r="P28" s="191"/>
      <c r="Q28" s="191"/>
      <c r="R28" s="191"/>
      <c r="S28" s="191"/>
    </row>
    <row r="29" spans="2:19" x14ac:dyDescent="0.25">
      <c r="B29" s="191"/>
      <c r="C29" s="191"/>
      <c r="D29" s="191"/>
      <c r="E29" s="191"/>
      <c r="F29" s="191"/>
      <c r="G29" s="191"/>
      <c r="H29" s="191"/>
      <c r="I29" s="191"/>
      <c r="J29" s="191"/>
      <c r="K29" s="191"/>
      <c r="L29" s="191"/>
      <c r="M29" s="191"/>
      <c r="N29" s="191"/>
      <c r="O29" s="191"/>
      <c r="P29" s="191"/>
      <c r="Q29" s="191"/>
      <c r="R29" s="191"/>
      <c r="S29" s="191"/>
    </row>
    <row r="30" spans="2:19" ht="18" x14ac:dyDescent="0.35">
      <c r="I30" s="192" t="str">
        <f>"Hà Nội, Ngày …… tháng …… năm "&amp; W2</f>
        <v>Hà Nội, Ngày …… tháng …… năm 2023</v>
      </c>
      <c r="J30" s="192"/>
      <c r="K30" s="192"/>
      <c r="L30" s="192"/>
      <c r="M30" s="192"/>
      <c r="N30" s="192"/>
      <c r="O30" s="192"/>
      <c r="P30" s="192"/>
      <c r="Q30" s="192"/>
      <c r="R30" s="192"/>
      <c r="S30" s="192"/>
    </row>
    <row r="32" spans="2:19" ht="17.399999999999999" x14ac:dyDescent="0.3">
      <c r="J32" s="193" t="s">
        <v>597</v>
      </c>
      <c r="K32" s="193"/>
      <c r="L32" s="193"/>
      <c r="M32" s="193"/>
      <c r="N32" s="193"/>
      <c r="O32" s="193"/>
      <c r="P32" s="193"/>
      <c r="Q32" s="193"/>
      <c r="R32" s="193"/>
      <c r="S32" s="193"/>
    </row>
    <row r="33" spans="2:19" x14ac:dyDescent="0.25">
      <c r="J33" s="194" t="s">
        <v>598</v>
      </c>
      <c r="K33" s="194"/>
      <c r="L33" s="194"/>
      <c r="M33" s="194"/>
      <c r="N33" s="194"/>
      <c r="O33" s="194"/>
      <c r="P33" s="194"/>
      <c r="Q33" s="194"/>
      <c r="R33" s="194"/>
      <c r="S33" s="194"/>
    </row>
    <row r="37" spans="2:19" ht="18" customHeight="1" x14ac:dyDescent="0.3">
      <c r="J37" s="199" t="str">
        <f>E11</f>
        <v>Lê Minh Đức</v>
      </c>
      <c r="K37" s="199"/>
      <c r="L37" s="199"/>
      <c r="M37" s="199"/>
      <c r="N37" s="199"/>
      <c r="O37" s="199"/>
      <c r="P37" s="199"/>
      <c r="Q37" s="199"/>
      <c r="R37" s="199"/>
      <c r="S37" s="199"/>
    </row>
    <row r="39" spans="2:19" x14ac:dyDescent="0.25">
      <c r="B39" s="189" t="s">
        <v>590</v>
      </c>
      <c r="C39" s="190"/>
      <c r="D39" s="190"/>
      <c r="E39" s="190"/>
      <c r="F39" s="190"/>
      <c r="G39" s="190"/>
      <c r="H39" s="190"/>
      <c r="I39" s="190"/>
      <c r="J39" s="190"/>
      <c r="K39" s="190"/>
      <c r="L39" s="190"/>
      <c r="M39" s="190"/>
      <c r="N39" s="190"/>
      <c r="O39" s="190"/>
      <c r="P39" s="190"/>
      <c r="Q39" s="190"/>
      <c r="R39" s="190"/>
      <c r="S39" s="190"/>
    </row>
    <row r="40" spans="2:19" x14ac:dyDescent="0.25">
      <c r="B40" s="190"/>
      <c r="C40" s="190"/>
      <c r="D40" s="190"/>
      <c r="E40" s="190"/>
      <c r="F40" s="190"/>
      <c r="G40" s="190"/>
      <c r="H40" s="190"/>
      <c r="I40" s="190"/>
      <c r="J40" s="190"/>
      <c r="K40" s="190"/>
      <c r="L40" s="190"/>
      <c r="M40" s="190"/>
      <c r="N40" s="190"/>
      <c r="O40" s="190"/>
      <c r="P40" s="190"/>
      <c r="Q40" s="190"/>
      <c r="R40" s="190"/>
      <c r="S40" s="190"/>
    </row>
    <row r="41" spans="2:19" x14ac:dyDescent="0.25">
      <c r="B41" s="190"/>
      <c r="C41" s="190"/>
      <c r="D41" s="190"/>
      <c r="E41" s="190"/>
      <c r="F41" s="190"/>
      <c r="G41" s="190"/>
      <c r="H41" s="190"/>
      <c r="I41" s="190"/>
      <c r="J41" s="190"/>
      <c r="K41" s="190"/>
      <c r="L41" s="190"/>
      <c r="M41" s="190"/>
      <c r="N41" s="190"/>
      <c r="O41" s="190"/>
      <c r="P41" s="190"/>
      <c r="Q41" s="190"/>
      <c r="R41" s="190"/>
      <c r="S41" s="190"/>
    </row>
    <row r="42" spans="2:19" x14ac:dyDescent="0.25">
      <c r="B42" s="190"/>
      <c r="C42" s="190"/>
      <c r="D42" s="190"/>
      <c r="E42" s="190"/>
      <c r="F42" s="190"/>
      <c r="G42" s="190"/>
      <c r="H42" s="190"/>
      <c r="I42" s="190"/>
      <c r="J42" s="190"/>
      <c r="K42" s="190"/>
      <c r="L42" s="190"/>
      <c r="M42" s="190"/>
      <c r="N42" s="190"/>
      <c r="O42" s="190"/>
      <c r="P42" s="190"/>
      <c r="Q42" s="190"/>
      <c r="R42" s="190"/>
      <c r="S42" s="190"/>
    </row>
    <row r="43" spans="2:19" x14ac:dyDescent="0.25">
      <c r="B43" s="190"/>
      <c r="C43" s="190"/>
      <c r="D43" s="190"/>
      <c r="E43" s="190"/>
      <c r="F43" s="190"/>
      <c r="G43" s="190"/>
      <c r="H43" s="190"/>
      <c r="I43" s="190"/>
      <c r="J43" s="190"/>
      <c r="K43" s="190"/>
      <c r="L43" s="190"/>
      <c r="M43" s="190"/>
      <c r="N43" s="190"/>
      <c r="O43" s="190"/>
      <c r="P43" s="190"/>
      <c r="Q43" s="190"/>
      <c r="R43" s="190"/>
      <c r="S43" s="190"/>
    </row>
    <row r="44" spans="2:19" x14ac:dyDescent="0.25">
      <c r="B44" s="190"/>
      <c r="C44" s="190"/>
      <c r="D44" s="190"/>
      <c r="E44" s="190"/>
      <c r="F44" s="190"/>
      <c r="G44" s="190"/>
      <c r="H44" s="190"/>
      <c r="I44" s="190"/>
      <c r="J44" s="190"/>
      <c r="K44" s="190"/>
      <c r="L44" s="190"/>
      <c r="M44" s="190"/>
      <c r="N44" s="190"/>
      <c r="O44" s="190"/>
      <c r="P44" s="190"/>
      <c r="Q44" s="190"/>
      <c r="R44" s="190"/>
      <c r="S44" s="190"/>
    </row>
    <row r="45" spans="2:19" x14ac:dyDescent="0.25">
      <c r="B45" s="190"/>
      <c r="C45" s="190"/>
      <c r="D45" s="190"/>
      <c r="E45" s="190"/>
      <c r="F45" s="190"/>
      <c r="G45" s="190"/>
      <c r="H45" s="190"/>
      <c r="I45" s="190"/>
      <c r="J45" s="190"/>
      <c r="K45" s="190"/>
      <c r="L45" s="190"/>
      <c r="M45" s="190"/>
      <c r="N45" s="190"/>
      <c r="O45" s="190"/>
      <c r="P45" s="190"/>
      <c r="Q45" s="190"/>
      <c r="R45" s="190"/>
      <c r="S45" s="190"/>
    </row>
    <row r="46" spans="2:19" x14ac:dyDescent="0.25">
      <c r="B46" s="190"/>
      <c r="C46" s="190"/>
      <c r="D46" s="190"/>
      <c r="E46" s="190"/>
      <c r="F46" s="190"/>
      <c r="G46" s="190"/>
      <c r="H46" s="190"/>
      <c r="I46" s="190"/>
      <c r="J46" s="190"/>
      <c r="K46" s="190"/>
      <c r="L46" s="190"/>
      <c r="M46" s="190"/>
      <c r="N46" s="190"/>
      <c r="O46" s="190"/>
      <c r="P46" s="190"/>
      <c r="Q46" s="190"/>
      <c r="R46" s="190"/>
      <c r="S46" s="190"/>
    </row>
    <row r="47" spans="2:19" x14ac:dyDescent="0.25">
      <c r="B47" s="190"/>
      <c r="C47" s="190"/>
      <c r="D47" s="190"/>
      <c r="E47" s="190"/>
      <c r="F47" s="190"/>
      <c r="G47" s="190"/>
      <c r="H47" s="190"/>
      <c r="I47" s="190"/>
      <c r="J47" s="190"/>
      <c r="K47" s="190"/>
      <c r="L47" s="190"/>
      <c r="M47" s="190"/>
      <c r="N47" s="190"/>
      <c r="O47" s="190"/>
      <c r="P47" s="190"/>
      <c r="Q47" s="190"/>
      <c r="R47" s="190"/>
      <c r="S47" s="190"/>
    </row>
    <row r="48" spans="2:19" x14ac:dyDescent="0.25">
      <c r="B48" s="190"/>
      <c r="C48" s="190"/>
      <c r="D48" s="190"/>
      <c r="E48" s="190"/>
      <c r="F48" s="190"/>
      <c r="G48" s="190"/>
      <c r="H48" s="190"/>
      <c r="I48" s="190"/>
      <c r="J48" s="190"/>
      <c r="K48" s="190"/>
      <c r="L48" s="190"/>
      <c r="M48" s="190"/>
      <c r="N48" s="190"/>
      <c r="O48" s="190"/>
      <c r="P48" s="190"/>
      <c r="Q48" s="190"/>
      <c r="R48" s="190"/>
      <c r="S48" s="190"/>
    </row>
    <row r="49" spans="2:19" x14ac:dyDescent="0.25">
      <c r="B49" s="190"/>
      <c r="C49" s="190"/>
      <c r="D49" s="190"/>
      <c r="E49" s="190"/>
      <c r="F49" s="190"/>
      <c r="G49" s="190"/>
      <c r="H49" s="190"/>
      <c r="I49" s="190"/>
      <c r="J49" s="190"/>
      <c r="K49" s="190"/>
      <c r="L49" s="190"/>
      <c r="M49" s="190"/>
      <c r="N49" s="190"/>
      <c r="O49" s="190"/>
      <c r="P49" s="190"/>
      <c r="Q49" s="190"/>
      <c r="R49" s="190"/>
      <c r="S49" s="190"/>
    </row>
    <row r="50" spans="2:19" x14ac:dyDescent="0.25">
      <c r="B50" s="190"/>
      <c r="C50" s="190"/>
      <c r="D50" s="190"/>
      <c r="E50" s="190"/>
      <c r="F50" s="190"/>
      <c r="G50" s="190"/>
      <c r="H50" s="190"/>
      <c r="I50" s="190"/>
      <c r="J50" s="190"/>
      <c r="K50" s="190"/>
      <c r="L50" s="190"/>
      <c r="M50" s="190"/>
      <c r="N50" s="190"/>
      <c r="O50" s="190"/>
      <c r="P50" s="190"/>
      <c r="Q50" s="190"/>
      <c r="R50" s="190"/>
      <c r="S50" s="190"/>
    </row>
  </sheetData>
  <mergeCells count="15">
    <mergeCell ref="I15:K15"/>
    <mergeCell ref="L15:N15"/>
    <mergeCell ref="R15:S15"/>
    <mergeCell ref="B2:R2"/>
    <mergeCell ref="C3:P3"/>
    <mergeCell ref="A7:S7"/>
    <mergeCell ref="A9:S9"/>
    <mergeCell ref="E11:R11"/>
    <mergeCell ref="B39:S50"/>
    <mergeCell ref="J32:S32"/>
    <mergeCell ref="J33:S33"/>
    <mergeCell ref="J37:S37"/>
    <mergeCell ref="B21:S26"/>
    <mergeCell ref="B27:S29"/>
    <mergeCell ref="I30:S30"/>
  </mergeCells>
  <pageMargins left="0.7" right="0.7" top="0.75" bottom="0.75" header="0.3" footer="0.3"/>
  <pageSetup scale="8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A77D1-F1ED-4463-B079-DB221ABDECDD}">
  <sheetPr codeName="Sheet8">
    <tabColor theme="1"/>
    <pageSetUpPr fitToPage="1"/>
  </sheetPr>
  <dimension ref="A1:U384"/>
  <sheetViews>
    <sheetView workbookViewId="0">
      <selection activeCell="V12" sqref="V12"/>
    </sheetView>
  </sheetViews>
  <sheetFormatPr defaultColWidth="9.109375" defaultRowHeight="13.8" x14ac:dyDescent="0.25"/>
  <cols>
    <col min="1" max="1" width="5.33203125" style="119" customWidth="1"/>
    <col min="2" max="2" width="6.109375" style="119" customWidth="1"/>
    <col min="3" max="3" width="4.109375" style="119" customWidth="1"/>
    <col min="4" max="17" width="5.33203125" style="119" customWidth="1"/>
    <col min="18" max="18" width="7.5546875" style="119" customWidth="1"/>
    <col min="19" max="19" width="9.109375" style="119"/>
    <col min="20" max="21" width="9.109375" style="120"/>
    <col min="22" max="22" width="8.109375" style="119" customWidth="1"/>
    <col min="23" max="16384" width="9.109375" style="119"/>
  </cols>
  <sheetData>
    <row r="1" spans="1:21" ht="15.6" x14ac:dyDescent="0.25">
      <c r="A1" s="213" t="str">
        <f>COMPANY_SETUP!B3</f>
        <v>CÔNG TY TNHH CƠ KHÍ SỬA CHỮA HOÀNG KIÊN</v>
      </c>
      <c r="B1" s="213"/>
      <c r="C1" s="213"/>
      <c r="D1" s="213"/>
      <c r="E1" s="213"/>
      <c r="F1" s="213"/>
      <c r="I1" s="214" t="s">
        <v>475</v>
      </c>
      <c r="J1" s="214"/>
      <c r="K1" s="214"/>
      <c r="L1" s="214"/>
      <c r="M1" s="214"/>
      <c r="N1" s="214"/>
      <c r="O1" s="214"/>
      <c r="P1" s="214"/>
      <c r="Q1" s="214"/>
      <c r="R1" s="214"/>
      <c r="T1" s="141" t="s">
        <v>575</v>
      </c>
      <c r="U1" s="120" t="str">
        <f>VLOOKUP(T1,FORM_NHAP_LIEU_HDLD!A3:Q4996,2,0)</f>
        <v>HDLD</v>
      </c>
    </row>
    <row r="2" spans="1:21" ht="23.4" customHeight="1" thickBot="1" x14ac:dyDescent="0.3">
      <c r="A2" s="213"/>
      <c r="B2" s="213"/>
      <c r="C2" s="213"/>
      <c r="D2" s="213"/>
      <c r="E2" s="213"/>
      <c r="F2" s="213"/>
      <c r="I2" s="214" t="s">
        <v>476</v>
      </c>
      <c r="J2" s="214"/>
      <c r="K2" s="214"/>
      <c r="L2" s="214"/>
      <c r="M2" s="214"/>
      <c r="N2" s="214"/>
      <c r="O2" s="214"/>
      <c r="P2" s="214"/>
      <c r="Q2" s="214"/>
      <c r="R2" s="214"/>
    </row>
    <row r="3" spans="1:21" x14ac:dyDescent="0.25">
      <c r="I3" s="215" t="s">
        <v>477</v>
      </c>
      <c r="J3" s="194"/>
      <c r="K3" s="194"/>
      <c r="L3" s="194"/>
      <c r="M3" s="194"/>
      <c r="N3" s="194"/>
      <c r="O3" s="194"/>
      <c r="P3" s="194"/>
      <c r="Q3" s="194"/>
      <c r="R3" s="194"/>
      <c r="T3" s="150" t="s">
        <v>573</v>
      </c>
      <c r="U3" s="152">
        <v>1</v>
      </c>
    </row>
    <row r="4" spans="1:21" ht="14.4" thickBot="1" x14ac:dyDescent="0.3">
      <c r="A4" s="121" t="s">
        <v>478</v>
      </c>
      <c r="B4" s="119" t="str">
        <f>T1&amp;"/HĐLĐ"</f>
        <v>HD1/HĐLĐ</v>
      </c>
      <c r="T4" s="151" t="s">
        <v>574</v>
      </c>
      <c r="U4" s="153">
        <v>10</v>
      </c>
    </row>
    <row r="6" spans="1:21" ht="31.5" customHeight="1" x14ac:dyDescent="0.25">
      <c r="A6" s="216" t="str">
        <f>IF(RIGHT(U1,2)="LD"," HỢP ĐỒNG LAO ĐỘNG "," HỢP ĐỒNG LAO ĐỘNG THỬ VIỆC ")</f>
        <v xml:space="preserve"> HỢP ĐỒNG LAO ĐỘNG </v>
      </c>
      <c r="B6" s="216"/>
      <c r="C6" s="216"/>
      <c r="D6" s="216"/>
      <c r="E6" s="216"/>
      <c r="F6" s="216"/>
      <c r="G6" s="216"/>
      <c r="H6" s="216"/>
      <c r="I6" s="216"/>
      <c r="J6" s="216"/>
      <c r="K6" s="216"/>
      <c r="L6" s="216"/>
      <c r="M6" s="216"/>
      <c r="N6" s="216"/>
      <c r="O6" s="216"/>
      <c r="P6" s="216"/>
      <c r="Q6" s="216"/>
      <c r="R6" s="216"/>
    </row>
    <row r="8" spans="1:21" s="124" customFormat="1" ht="22.5" customHeight="1" x14ac:dyDescent="0.3">
      <c r="A8" s="122" t="s">
        <v>479</v>
      </c>
      <c r="B8" s="123"/>
      <c r="C8" s="123"/>
      <c r="D8" s="123"/>
      <c r="E8" s="123"/>
      <c r="F8" s="123"/>
      <c r="G8" s="123"/>
      <c r="H8" s="123"/>
      <c r="I8" s="123"/>
      <c r="J8" s="123"/>
      <c r="K8" s="123"/>
      <c r="L8" s="123"/>
      <c r="M8" s="123"/>
      <c r="N8" s="123"/>
      <c r="O8" s="123"/>
      <c r="P8" s="123"/>
      <c r="Q8" s="123"/>
      <c r="R8" s="123"/>
      <c r="T8" s="125"/>
      <c r="U8" s="125"/>
    </row>
    <row r="9" spans="1:21" s="124" customFormat="1" ht="22.5" customHeight="1" x14ac:dyDescent="0.3">
      <c r="A9" s="126" t="str">
        <f>Company_Name</f>
        <v>CÔNG TY TNHH CƠ KHÍ SỬA CHỮA HOÀNG KIÊN</v>
      </c>
      <c r="B9" s="127"/>
      <c r="C9" s="127"/>
      <c r="D9" s="127"/>
      <c r="E9" s="127"/>
      <c r="F9" s="127"/>
      <c r="G9" s="127"/>
      <c r="H9" s="127"/>
      <c r="I9" s="127"/>
      <c r="J9" s="127"/>
      <c r="K9" s="127"/>
      <c r="L9" s="127"/>
      <c r="M9" s="127"/>
      <c r="N9" s="127"/>
      <c r="O9" s="127"/>
      <c r="P9" s="127"/>
      <c r="Q9" s="127"/>
      <c r="R9" s="127"/>
      <c r="T9" s="125"/>
      <c r="U9" s="125"/>
    </row>
    <row r="10" spans="1:21" s="124" customFormat="1" ht="22.5" customHeight="1" x14ac:dyDescent="0.3">
      <c r="A10" s="127" t="s">
        <v>480</v>
      </c>
      <c r="B10" s="127"/>
      <c r="C10" s="127" t="s">
        <v>481</v>
      </c>
      <c r="D10" s="128" t="str">
        <f>Dai_Dien_Theo_Phap_Luat</f>
        <v>Hà Tuấn Anh</v>
      </c>
      <c r="E10" s="127"/>
      <c r="F10" s="127"/>
      <c r="G10" s="127"/>
      <c r="H10" s="127" t="s">
        <v>482</v>
      </c>
      <c r="I10" s="127"/>
      <c r="J10" s="127" t="str">
        <f>Chuc_Vu_Dai_Dien_Phap_Luat</f>
        <v>Giám đốc</v>
      </c>
      <c r="K10" s="127"/>
      <c r="L10" s="127" t="s">
        <v>483</v>
      </c>
      <c r="M10" s="127"/>
      <c r="N10" s="127"/>
      <c r="O10" s="127"/>
      <c r="P10" s="127"/>
      <c r="Q10" s="127"/>
      <c r="R10" s="127"/>
      <c r="T10" s="125"/>
      <c r="U10" s="125"/>
    </row>
    <row r="11" spans="1:21" s="124" customFormat="1" ht="22.5" customHeight="1" x14ac:dyDescent="0.3">
      <c r="A11" s="127" t="s">
        <v>484</v>
      </c>
      <c r="B11" s="127"/>
      <c r="C11" s="127" t="s">
        <v>481</v>
      </c>
      <c r="D11" s="127" t="str">
        <f>Company_Address</f>
        <v>SN 16N3, ngõ 90 đường Nguyễn Tuân, P. Thanh Xuân, Q. Thanh Xuân, Hà Nội</v>
      </c>
      <c r="E11" s="127"/>
      <c r="F11" s="127"/>
      <c r="G11" s="127"/>
      <c r="H11" s="127"/>
      <c r="I11" s="127"/>
      <c r="J11" s="127"/>
      <c r="K11" s="127"/>
      <c r="L11" s="127"/>
      <c r="M11" s="127"/>
      <c r="N11" s="127"/>
      <c r="O11" s="127"/>
      <c r="P11" s="127"/>
      <c r="Q11" s="127"/>
      <c r="R11" s="127"/>
      <c r="T11" s="125"/>
      <c r="U11" s="125"/>
    </row>
    <row r="12" spans="1:21" s="124" customFormat="1" ht="22.5" customHeight="1" x14ac:dyDescent="0.3">
      <c r="A12" s="127" t="s">
        <v>485</v>
      </c>
      <c r="B12" s="127"/>
      <c r="C12" s="127" t="s">
        <v>481</v>
      </c>
      <c r="D12" s="127" t="str">
        <f>Phone_Company</f>
        <v>0906.55.66.91</v>
      </c>
      <c r="E12" s="127"/>
      <c r="F12" s="127"/>
      <c r="G12" s="127"/>
      <c r="H12" s="127"/>
      <c r="I12" s="127"/>
      <c r="J12" s="129" t="s">
        <v>486</v>
      </c>
      <c r="K12" s="127"/>
      <c r="L12" s="127" t="str">
        <f>Email_Company</f>
        <v>tradaexcel@gmail.com</v>
      </c>
      <c r="M12" s="127"/>
      <c r="N12" s="127"/>
      <c r="O12" s="127"/>
      <c r="P12" s="127"/>
      <c r="Q12" s="127"/>
      <c r="R12" s="127"/>
      <c r="T12" s="125"/>
      <c r="U12" s="125"/>
    </row>
    <row r="13" spans="1:21" ht="12" customHeight="1" x14ac:dyDescent="0.3">
      <c r="A13" s="130"/>
      <c r="B13" s="130"/>
      <c r="C13" s="130"/>
      <c r="D13" s="130"/>
      <c r="E13" s="130"/>
      <c r="F13" s="130"/>
      <c r="G13" s="130"/>
      <c r="H13" s="130"/>
      <c r="I13" s="130"/>
      <c r="J13" s="130"/>
      <c r="K13" s="130"/>
      <c r="L13" s="130"/>
      <c r="M13" s="130"/>
      <c r="N13" s="130"/>
      <c r="O13" s="130"/>
      <c r="P13" s="130"/>
      <c r="Q13" s="130"/>
      <c r="R13" s="130"/>
    </row>
    <row r="14" spans="1:21" s="124" customFormat="1" ht="21" customHeight="1" x14ac:dyDescent="0.3">
      <c r="A14" s="131" t="s">
        <v>487</v>
      </c>
      <c r="B14" s="127"/>
      <c r="C14" s="127"/>
      <c r="D14" s="127"/>
      <c r="E14" s="127"/>
      <c r="F14" s="127"/>
      <c r="G14" s="127"/>
      <c r="H14" s="127"/>
      <c r="I14" s="127"/>
      <c r="J14" s="127"/>
      <c r="K14" s="127"/>
      <c r="L14" s="127"/>
      <c r="M14" s="127"/>
      <c r="N14" s="127"/>
      <c r="O14" s="127"/>
      <c r="P14" s="127"/>
      <c r="Q14" s="127"/>
      <c r="R14" s="127"/>
      <c r="T14" s="125"/>
      <c r="U14" s="125"/>
    </row>
    <row r="15" spans="1:21" s="124" customFormat="1" ht="21" customHeight="1" x14ac:dyDescent="0.3">
      <c r="A15" s="127" t="s">
        <v>488</v>
      </c>
      <c r="B15" s="127"/>
      <c r="C15" s="127" t="s">
        <v>481</v>
      </c>
      <c r="D15" s="127" t="str">
        <f>VLOOKUP(T1,FORM_NHAP_LIEU_HDLD!A3:Q4996,4,0)</f>
        <v>Trần Văn Hoàng</v>
      </c>
      <c r="E15" s="127"/>
      <c r="F15" s="127"/>
      <c r="G15" s="127"/>
      <c r="H15" s="127"/>
      <c r="I15" s="127"/>
      <c r="J15" s="127"/>
      <c r="K15" s="127"/>
      <c r="L15" s="127"/>
      <c r="M15" s="127"/>
      <c r="N15" s="127"/>
      <c r="O15" s="127"/>
      <c r="P15" s="127"/>
      <c r="Q15" s="127"/>
      <c r="R15" s="127"/>
      <c r="T15" s="125"/>
      <c r="U15" s="125"/>
    </row>
    <row r="16" spans="1:21" s="124" customFormat="1" ht="21" customHeight="1" x14ac:dyDescent="0.3">
      <c r="A16" s="127" t="s">
        <v>489</v>
      </c>
      <c r="B16" s="127"/>
      <c r="C16" s="127" t="s">
        <v>481</v>
      </c>
      <c r="D16" s="205">
        <f>VLOOKUP(T1,FORM_NHAP_LIEU_HDLD!A3:Q4996,5,0)</f>
        <v>31952</v>
      </c>
      <c r="E16" s="205"/>
      <c r="F16" s="205"/>
      <c r="G16" s="127"/>
      <c r="H16" s="127"/>
      <c r="I16" s="127"/>
      <c r="J16" s="127"/>
      <c r="K16" s="127"/>
      <c r="L16" s="127"/>
      <c r="M16" s="127"/>
      <c r="N16" s="127"/>
      <c r="O16" s="127"/>
      <c r="P16" s="127"/>
      <c r="Q16" s="127"/>
      <c r="R16" s="127"/>
      <c r="T16" s="125"/>
      <c r="U16" s="125"/>
    </row>
    <row r="17" spans="1:21" s="124" customFormat="1" ht="21" customHeight="1" x14ac:dyDescent="0.3">
      <c r="A17" s="127" t="s">
        <v>484</v>
      </c>
      <c r="B17" s="127"/>
      <c r="C17" s="127" t="s">
        <v>481</v>
      </c>
      <c r="D17" s="127" t="str">
        <f>VLOOKUP(T1,FORM_NHAP_LIEU_HDLD!A3:Q4996,6,0)</f>
        <v>Bình Dương</v>
      </c>
      <c r="E17" s="127"/>
      <c r="F17" s="127"/>
      <c r="G17" s="127"/>
      <c r="H17" s="127"/>
      <c r="I17" s="127"/>
      <c r="J17" s="127"/>
      <c r="K17" s="127"/>
      <c r="L17" s="127"/>
      <c r="M17" s="127"/>
      <c r="N17" s="127"/>
      <c r="O17" s="127"/>
      <c r="P17" s="127"/>
      <c r="Q17" s="127"/>
      <c r="R17" s="127"/>
      <c r="T17" s="125"/>
      <c r="U17" s="125"/>
    </row>
    <row r="18" spans="1:21" s="124" customFormat="1" ht="21" customHeight="1" x14ac:dyDescent="0.3">
      <c r="A18" s="127" t="s">
        <v>490</v>
      </c>
      <c r="B18" s="127"/>
      <c r="C18" s="127" t="s">
        <v>481</v>
      </c>
      <c r="D18" s="127" t="str">
        <f>VLOOKUP(T1,FORM_NHAP_LIEU_HDLD!A3:Q4996,7,0)</f>
        <v>1682922533</v>
      </c>
      <c r="E18" s="127"/>
      <c r="F18" s="127"/>
      <c r="G18" s="127" t="s">
        <v>491</v>
      </c>
      <c r="H18" s="127"/>
      <c r="I18" s="211">
        <f>VLOOKUP(T1,FORM_NHAP_LIEU_HDLD!A3:Q4996,9,0)</f>
        <v>45061</v>
      </c>
      <c r="J18" s="211"/>
      <c r="K18" s="211"/>
      <c r="L18" s="127"/>
      <c r="M18" s="127" t="s">
        <v>492</v>
      </c>
      <c r="N18" s="127"/>
      <c r="O18" s="212" t="str">
        <f>VLOOKUP(T1,FORM_NHAP_LIEU_HDLD!A3:Q4996,10,0)</f>
        <v>Bình Dương</v>
      </c>
      <c r="P18" s="212"/>
      <c r="Q18" s="212"/>
      <c r="R18" s="212"/>
      <c r="T18" s="125"/>
      <c r="U18" s="125"/>
    </row>
    <row r="19" spans="1:21" ht="3.75" customHeight="1" x14ac:dyDescent="0.3">
      <c r="A19" s="130"/>
      <c r="B19" s="130"/>
      <c r="C19" s="130"/>
      <c r="D19" s="130"/>
      <c r="E19" s="130"/>
      <c r="F19" s="130"/>
      <c r="G19" s="130"/>
      <c r="H19" s="130"/>
      <c r="I19" s="130"/>
      <c r="J19" s="130"/>
      <c r="K19" s="130"/>
      <c r="L19" s="130"/>
      <c r="M19" s="130"/>
      <c r="N19" s="130"/>
      <c r="O19" s="130"/>
      <c r="P19" s="130"/>
      <c r="Q19" s="130"/>
      <c r="R19" s="130"/>
    </row>
    <row r="20" spans="1:21" ht="16.2" x14ac:dyDescent="0.3">
      <c r="A20" s="209" t="s">
        <v>493</v>
      </c>
      <c r="B20" s="209"/>
      <c r="C20" s="209"/>
      <c r="D20" s="209"/>
      <c r="E20" s="209"/>
      <c r="F20" s="209"/>
      <c r="G20" s="209"/>
      <c r="H20" s="209"/>
      <c r="I20" s="209"/>
      <c r="J20" s="209"/>
      <c r="K20" s="209"/>
      <c r="L20" s="209"/>
      <c r="M20" s="209"/>
      <c r="N20" s="209"/>
      <c r="O20" s="209"/>
      <c r="P20" s="209"/>
      <c r="Q20" s="209"/>
      <c r="R20" s="209"/>
    </row>
    <row r="21" spans="1:21" ht="4.5" customHeight="1" x14ac:dyDescent="0.3">
      <c r="A21" s="132"/>
      <c r="B21" s="132"/>
      <c r="C21" s="132"/>
      <c r="D21" s="132"/>
      <c r="E21" s="132"/>
      <c r="F21" s="132"/>
      <c r="G21" s="132"/>
      <c r="H21" s="132"/>
      <c r="I21" s="132"/>
      <c r="J21" s="132"/>
      <c r="K21" s="132"/>
      <c r="L21" s="132"/>
      <c r="M21" s="132"/>
      <c r="N21" s="132"/>
      <c r="O21" s="132"/>
      <c r="P21" s="132"/>
      <c r="Q21" s="132"/>
      <c r="R21" s="132"/>
    </row>
    <row r="22" spans="1:21" ht="16.2" x14ac:dyDescent="0.3">
      <c r="A22" s="133" t="s">
        <v>494</v>
      </c>
      <c r="B22" s="130"/>
      <c r="C22" s="130"/>
      <c r="D22" s="130"/>
      <c r="E22" s="130"/>
      <c r="F22" s="130"/>
      <c r="G22" s="130"/>
      <c r="H22" s="130"/>
      <c r="I22" s="130"/>
      <c r="J22" s="130"/>
      <c r="K22" s="130"/>
      <c r="L22" s="130"/>
      <c r="M22" s="130"/>
      <c r="N22" s="130"/>
      <c r="O22" s="130"/>
      <c r="P22" s="130"/>
      <c r="Q22" s="130"/>
      <c r="R22" s="130"/>
    </row>
    <row r="23" spans="1:21" ht="21.75" customHeight="1" x14ac:dyDescent="0.25">
      <c r="A23" s="127" t="str">
        <f>"- Loại hợp đồng lao động: Xác định thời hạn, bắt đầu từ "&amp; VLOOKUP(T1,FORM_NHAP_LIEU_HDLD!A3:Q4996,15,0)&amp; " đến hết " &amp; VLOOKUP(T1,FORM_NHAP_LIEU_HDLD!A3:Q4996,16,0)</f>
        <v>- Loại hợp đồng lao động: Xác định thời hạn, bắt đầu từ 01/2023 đến hết 05/2023</v>
      </c>
      <c r="B23" s="127"/>
      <c r="C23" s="127"/>
      <c r="D23" s="127"/>
      <c r="E23" s="127"/>
      <c r="F23" s="127"/>
      <c r="G23" s="127"/>
      <c r="H23" s="127"/>
      <c r="I23" s="127"/>
      <c r="J23" s="127"/>
      <c r="K23" s="127"/>
      <c r="L23" s="127"/>
      <c r="M23" s="127"/>
      <c r="N23" s="127"/>
      <c r="O23" s="127"/>
      <c r="P23" s="127"/>
      <c r="Q23" s="127"/>
      <c r="R23" s="127"/>
    </row>
    <row r="24" spans="1:21" ht="33.75" customHeight="1" x14ac:dyDescent="0.25">
      <c r="A24" s="207" t="s">
        <v>495</v>
      </c>
      <c r="B24" s="207"/>
      <c r="C24" s="207"/>
      <c r="D24" s="207"/>
      <c r="E24" s="207"/>
      <c r="F24" s="207"/>
      <c r="G24" s="207"/>
      <c r="H24" s="207"/>
      <c r="I24" s="207"/>
      <c r="J24" s="207"/>
      <c r="K24" s="207"/>
      <c r="L24" s="207"/>
      <c r="M24" s="207"/>
      <c r="N24" s="207"/>
      <c r="O24" s="207"/>
      <c r="P24" s="207"/>
      <c r="Q24" s="207"/>
      <c r="R24" s="207"/>
    </row>
    <row r="25" spans="1:21" ht="19.5" customHeight="1" x14ac:dyDescent="0.25">
      <c r="A25" s="127" t="str">
        <f>"- Chức danh chuyên môn: "&amp; VLOOKUP(T1,FORM_NHAP_LIEU_HDLD!A3:Q4996,17,0)</f>
        <v>- Chức danh chuyên môn: Giám đốc</v>
      </c>
      <c r="B25" s="127"/>
      <c r="C25" s="127"/>
      <c r="D25" s="127"/>
      <c r="E25" s="127"/>
      <c r="F25" s="127"/>
      <c r="G25" s="127"/>
      <c r="H25" s="127"/>
      <c r="I25" s="127"/>
      <c r="J25" s="127"/>
      <c r="K25" s="127"/>
      <c r="L25" s="127"/>
      <c r="M25" s="127"/>
      <c r="N25" s="127"/>
      <c r="O25" s="127"/>
      <c r="P25" s="127"/>
      <c r="Q25" s="127"/>
      <c r="R25" s="127"/>
    </row>
    <row r="26" spans="1:21" ht="33.75" customHeight="1" x14ac:dyDescent="0.25">
      <c r="A26" s="207" t="s">
        <v>496</v>
      </c>
      <c r="B26" s="208"/>
      <c r="C26" s="208"/>
      <c r="D26" s="208"/>
      <c r="E26" s="208"/>
      <c r="F26" s="208"/>
      <c r="G26" s="208"/>
      <c r="H26" s="208"/>
      <c r="I26" s="208"/>
      <c r="J26" s="208"/>
      <c r="K26" s="208"/>
      <c r="L26" s="208"/>
      <c r="M26" s="208"/>
      <c r="N26" s="208"/>
      <c r="O26" s="208"/>
      <c r="P26" s="208"/>
      <c r="Q26" s="208"/>
      <c r="R26" s="208"/>
    </row>
    <row r="27" spans="1:21" ht="11.25" hidden="1" customHeight="1" x14ac:dyDescent="0.3">
      <c r="A27" s="130"/>
      <c r="B27" s="130"/>
      <c r="C27" s="130"/>
      <c r="D27" s="130"/>
      <c r="E27" s="130"/>
      <c r="F27" s="130"/>
      <c r="G27" s="130"/>
      <c r="H27" s="130"/>
      <c r="I27" s="130"/>
      <c r="J27" s="130"/>
      <c r="K27" s="130"/>
      <c r="L27" s="130"/>
      <c r="M27" s="130"/>
      <c r="N27" s="130"/>
      <c r="O27" s="130"/>
      <c r="P27" s="130"/>
      <c r="Q27" s="130"/>
      <c r="R27" s="130"/>
    </row>
    <row r="28" spans="1:21" ht="16.2" x14ac:dyDescent="0.3">
      <c r="A28" s="133" t="s">
        <v>497</v>
      </c>
      <c r="B28" s="130"/>
      <c r="C28" s="130"/>
      <c r="D28" s="130"/>
      <c r="E28" s="130"/>
      <c r="F28" s="130"/>
      <c r="G28" s="130"/>
      <c r="H28" s="130"/>
      <c r="I28" s="130"/>
      <c r="J28" s="130"/>
      <c r="K28" s="130"/>
      <c r="L28" s="130"/>
      <c r="M28" s="130"/>
      <c r="N28" s="130"/>
      <c r="O28" s="130"/>
      <c r="P28" s="130"/>
      <c r="Q28" s="130"/>
      <c r="R28" s="130"/>
    </row>
    <row r="29" spans="1:21" ht="36.75" customHeight="1" x14ac:dyDescent="0.25">
      <c r="A29" s="207" t="s">
        <v>498</v>
      </c>
      <c r="B29" s="208"/>
      <c r="C29" s="208"/>
      <c r="D29" s="208"/>
      <c r="E29" s="208"/>
      <c r="F29" s="208"/>
      <c r="G29" s="208"/>
      <c r="H29" s="208"/>
      <c r="I29" s="208"/>
      <c r="J29" s="208"/>
      <c r="K29" s="208"/>
      <c r="L29" s="208"/>
      <c r="M29" s="208"/>
      <c r="N29" s="208"/>
      <c r="O29" s="208"/>
      <c r="P29" s="208"/>
      <c r="Q29" s="208"/>
      <c r="R29" s="208"/>
    </row>
    <row r="30" spans="1:21" ht="19.5" customHeight="1" x14ac:dyDescent="0.25">
      <c r="A30" s="134" t="s">
        <v>499</v>
      </c>
      <c r="B30" s="127"/>
      <c r="C30" s="127"/>
      <c r="D30" s="127"/>
      <c r="E30" s="127"/>
      <c r="F30" s="127"/>
      <c r="G30" s="127"/>
      <c r="H30" s="127"/>
      <c r="I30" s="127"/>
      <c r="J30" s="127"/>
      <c r="K30" s="127"/>
      <c r="L30" s="127"/>
      <c r="M30" s="127"/>
      <c r="N30" s="127"/>
      <c r="O30" s="127"/>
      <c r="P30" s="127"/>
      <c r="Q30" s="127"/>
      <c r="R30" s="127"/>
    </row>
    <row r="31" spans="1:21" ht="2.25" customHeight="1" x14ac:dyDescent="0.3">
      <c r="A31" s="130"/>
      <c r="B31" s="130"/>
      <c r="C31" s="130"/>
      <c r="D31" s="130"/>
      <c r="E31" s="130"/>
      <c r="F31" s="130"/>
      <c r="G31" s="130"/>
      <c r="H31" s="130"/>
      <c r="I31" s="130"/>
      <c r="J31" s="130"/>
      <c r="K31" s="130"/>
      <c r="L31" s="130"/>
      <c r="M31" s="130"/>
      <c r="N31" s="130"/>
      <c r="O31" s="130"/>
      <c r="P31" s="130"/>
      <c r="Q31" s="130"/>
      <c r="R31" s="130"/>
    </row>
    <row r="32" spans="1:21" ht="16.2" x14ac:dyDescent="0.3">
      <c r="A32" s="133" t="s">
        <v>500</v>
      </c>
      <c r="B32" s="130"/>
      <c r="C32" s="130"/>
      <c r="D32" s="130"/>
      <c r="E32" s="130"/>
      <c r="F32" s="130"/>
      <c r="G32" s="130"/>
      <c r="H32" s="130"/>
      <c r="I32" s="130"/>
      <c r="J32" s="130"/>
      <c r="K32" s="130"/>
      <c r="L32" s="130"/>
      <c r="M32" s="130"/>
      <c r="N32" s="130"/>
      <c r="O32" s="130"/>
      <c r="P32" s="130"/>
      <c r="Q32" s="130"/>
      <c r="R32" s="130"/>
    </row>
    <row r="33" spans="1:21" ht="5.25" customHeight="1" x14ac:dyDescent="0.3">
      <c r="A33" s="133"/>
      <c r="B33" s="130"/>
      <c r="C33" s="130"/>
      <c r="D33" s="130"/>
      <c r="E33" s="130"/>
      <c r="F33" s="130"/>
      <c r="G33" s="130"/>
      <c r="H33" s="130"/>
      <c r="I33" s="130"/>
      <c r="J33" s="130"/>
      <c r="K33" s="130"/>
      <c r="L33" s="130"/>
      <c r="M33" s="130"/>
      <c r="N33" s="130"/>
      <c r="O33" s="130"/>
      <c r="P33" s="130"/>
      <c r="Q33" s="130"/>
      <c r="R33" s="130"/>
    </row>
    <row r="34" spans="1:21" ht="17.25" customHeight="1" x14ac:dyDescent="0.3">
      <c r="A34" s="135" t="s">
        <v>501</v>
      </c>
      <c r="B34" s="130"/>
      <c r="C34" s="130"/>
      <c r="D34" s="130"/>
      <c r="E34" s="130"/>
      <c r="F34" s="130"/>
      <c r="G34" s="130"/>
      <c r="H34" s="130"/>
      <c r="I34" s="130"/>
      <c r="J34" s="130"/>
      <c r="K34" s="130"/>
      <c r="L34" s="130"/>
      <c r="M34" s="130"/>
      <c r="N34" s="130"/>
      <c r="O34" s="130"/>
      <c r="P34" s="130"/>
      <c r="Q34" s="130"/>
      <c r="R34" s="130"/>
    </row>
    <row r="35" spans="1:21" s="124" customFormat="1" ht="21.75" customHeight="1" x14ac:dyDescent="0.3">
      <c r="A35" s="134" t="s">
        <v>502</v>
      </c>
      <c r="B35" s="127"/>
      <c r="C35" s="127"/>
      <c r="D35" s="127"/>
      <c r="E35" s="127"/>
      <c r="F35" s="127"/>
      <c r="G35" s="127"/>
      <c r="H35" s="127"/>
      <c r="I35" s="127"/>
      <c r="J35" s="127"/>
      <c r="K35" s="127"/>
      <c r="L35" s="127"/>
      <c r="M35" s="127"/>
      <c r="N35" s="127"/>
      <c r="O35" s="127"/>
      <c r="P35" s="127"/>
      <c r="Q35" s="127"/>
      <c r="R35" s="127"/>
      <c r="T35" s="125"/>
      <c r="U35" s="125"/>
    </row>
    <row r="36" spans="1:21" s="124" customFormat="1" ht="21.75" customHeight="1" x14ac:dyDescent="0.3">
      <c r="A36" s="210" t="str">
        <f>"- Mức lương chính hoặc tiền công : " &amp;TEXT(VLOOKUP(T1,FORM_NHAP_LIEU_HDLD!A3:Q4996,11,0),"#,##") &amp; " đồng/tháng "</f>
        <v xml:space="preserve">- Mức lương chính hoặc tiền công : 5,007,600 đồng/tháng </v>
      </c>
      <c r="B36" s="210"/>
      <c r="C36" s="210"/>
      <c r="D36" s="210"/>
      <c r="E36" s="210"/>
      <c r="F36" s="210"/>
      <c r="G36" s="210"/>
      <c r="H36" s="210"/>
      <c r="I36" s="210"/>
      <c r="J36" s="210"/>
      <c r="K36" s="210"/>
      <c r="L36" s="210"/>
      <c r="M36" s="210"/>
      <c r="N36" s="210"/>
      <c r="O36" s="210"/>
      <c r="P36" s="210"/>
      <c r="Q36" s="210"/>
      <c r="R36" s="210"/>
      <c r="T36" s="125"/>
      <c r="U36" s="125"/>
    </row>
    <row r="37" spans="1:21" s="124" customFormat="1" ht="26.25" customHeight="1" x14ac:dyDescent="0.3">
      <c r="A37" s="207" t="s">
        <v>503</v>
      </c>
      <c r="B37" s="208"/>
      <c r="C37" s="208"/>
      <c r="D37" s="208"/>
      <c r="E37" s="208"/>
      <c r="F37" s="208"/>
      <c r="G37" s="208"/>
      <c r="H37" s="208"/>
      <c r="I37" s="208"/>
      <c r="J37" s="208"/>
      <c r="K37" s="208"/>
      <c r="L37" s="208"/>
      <c r="M37" s="208"/>
      <c r="N37" s="208"/>
      <c r="O37" s="208"/>
      <c r="P37" s="208"/>
      <c r="Q37" s="208"/>
      <c r="R37" s="208"/>
      <c r="T37" s="125"/>
      <c r="U37" s="125"/>
    </row>
    <row r="38" spans="1:21" s="124" customFormat="1" ht="21.75" customHeight="1" x14ac:dyDescent="0.3">
      <c r="A38" s="127" t="str">
        <f>" + Phụ cấp ăn ca : "&amp;TEXT(VLOOKUP(T1,FORM_NHAP_LIEU_HDLD!A3:Q4996,12,0),"#,##")&amp; " đồng/tháng "</f>
        <v xml:space="preserve"> + Phụ cấp ăn ca : 730,000 đồng/tháng </v>
      </c>
      <c r="B38" s="136"/>
      <c r="C38" s="136"/>
      <c r="D38" s="136"/>
      <c r="E38" s="136"/>
      <c r="F38" s="136"/>
      <c r="G38" s="136"/>
      <c r="H38" s="136"/>
      <c r="I38" s="136"/>
      <c r="J38" s="136"/>
      <c r="K38" s="136"/>
      <c r="L38" s="136"/>
      <c r="M38" s="136"/>
      <c r="N38" s="136"/>
      <c r="O38" s="136"/>
      <c r="P38" s="136"/>
      <c r="Q38" s="136"/>
      <c r="R38" s="127"/>
      <c r="T38" s="125"/>
      <c r="U38" s="125"/>
    </row>
    <row r="39" spans="1:21" s="124" customFormat="1" ht="21.75" customHeight="1" x14ac:dyDescent="0.3">
      <c r="A39" s="136" t="str">
        <f>" + Phụ cấp xăng xe  : "&amp; TEXT(VLOOKUP(T1,FORM_NHAP_LIEU_HDLD!A3:Q4996,14,0),"#,##") &amp; " đồng/tháng "</f>
        <v xml:space="preserve"> + Phụ cấp xăng xe  : 500,000 đồng/tháng </v>
      </c>
      <c r="B39" s="136"/>
      <c r="C39" s="136"/>
      <c r="D39" s="136"/>
      <c r="E39" s="136"/>
      <c r="F39" s="136"/>
      <c r="G39" s="136"/>
      <c r="H39" s="136"/>
      <c r="I39" s="136"/>
      <c r="J39" s="136"/>
      <c r="K39" s="136"/>
      <c r="L39" s="136"/>
      <c r="M39" s="136"/>
      <c r="N39" s="136"/>
      <c r="O39" s="136"/>
      <c r="P39" s="136"/>
      <c r="Q39" s="136"/>
      <c r="R39" s="127"/>
      <c r="T39" s="125"/>
      <c r="U39" s="125"/>
    </row>
    <row r="40" spans="1:21" s="124" customFormat="1" ht="21.75" customHeight="1" x14ac:dyDescent="0.3">
      <c r="A40" s="136" t="str">
        <f>" + Phụ cấp điện thoại : "&amp;TEXT( VLOOKUP(T1,FORM_NHAP_LIEU_HDLD!A3:Q4996,13,0),"#,##") &amp; " đồng/tháng "</f>
        <v xml:space="preserve"> + Phụ cấp điện thoại : 1,200,000 đồng/tháng </v>
      </c>
      <c r="B40" s="136"/>
      <c r="C40" s="136"/>
      <c r="D40" s="136"/>
      <c r="E40" s="136"/>
      <c r="F40" s="136"/>
      <c r="G40" s="136"/>
      <c r="H40" s="136"/>
      <c r="I40" s="136"/>
      <c r="J40" s="136"/>
      <c r="K40" s="136"/>
      <c r="L40" s="136"/>
      <c r="M40" s="136"/>
      <c r="N40" s="136"/>
      <c r="O40" s="136"/>
      <c r="P40" s="136"/>
      <c r="Q40" s="136"/>
      <c r="R40" s="127"/>
      <c r="T40" s="125"/>
      <c r="U40" s="125"/>
    </row>
    <row r="41" spans="1:21" s="124" customFormat="1" ht="21.75" customHeight="1" x14ac:dyDescent="0.3">
      <c r="A41" s="134" t="s">
        <v>504</v>
      </c>
      <c r="B41" s="127"/>
      <c r="C41" s="127"/>
      <c r="D41" s="127"/>
      <c r="E41" s="127"/>
      <c r="F41" s="127"/>
      <c r="G41" s="127"/>
      <c r="H41" s="127"/>
      <c r="I41" s="127"/>
      <c r="J41" s="127"/>
      <c r="K41" s="127"/>
      <c r="L41" s="127"/>
      <c r="M41" s="127"/>
      <c r="N41" s="127"/>
      <c r="O41" s="127"/>
      <c r="P41" s="127"/>
      <c r="Q41" s="127"/>
      <c r="R41" s="127"/>
      <c r="T41" s="125"/>
      <c r="U41" s="125"/>
    </row>
    <row r="42" spans="1:21" s="124" customFormat="1" ht="21.75" customHeight="1" x14ac:dyDescent="0.3">
      <c r="A42" s="134" t="s">
        <v>505</v>
      </c>
      <c r="B42" s="127"/>
      <c r="C42" s="127"/>
      <c r="D42" s="127"/>
      <c r="E42" s="127"/>
      <c r="F42" s="127"/>
      <c r="G42" s="127"/>
      <c r="H42" s="127"/>
      <c r="I42" s="127"/>
      <c r="J42" s="127"/>
      <c r="K42" s="127"/>
      <c r="L42" s="127"/>
      <c r="M42" s="127"/>
      <c r="N42" s="127"/>
      <c r="O42" s="127"/>
      <c r="P42" s="127"/>
      <c r="Q42" s="127"/>
      <c r="R42" s="127"/>
      <c r="T42" s="125"/>
      <c r="U42" s="125"/>
    </row>
    <row r="43" spans="1:21" s="124" customFormat="1" ht="21.75" customHeight="1" x14ac:dyDescent="0.3">
      <c r="A43" s="134" t="s">
        <v>506</v>
      </c>
      <c r="B43" s="127"/>
      <c r="C43" s="127"/>
      <c r="D43" s="127"/>
      <c r="E43" s="127"/>
      <c r="F43" s="127"/>
      <c r="G43" s="127"/>
      <c r="H43" s="127"/>
      <c r="I43" s="127"/>
      <c r="J43" s="127"/>
      <c r="K43" s="127"/>
      <c r="L43" s="127"/>
      <c r="M43" s="127"/>
      <c r="N43" s="127"/>
      <c r="O43" s="127"/>
      <c r="P43" s="127"/>
      <c r="Q43" s="127"/>
      <c r="R43" s="127"/>
      <c r="T43" s="125"/>
      <c r="U43" s="125"/>
    </row>
    <row r="44" spans="1:21" s="124" customFormat="1" ht="21.75" customHeight="1" x14ac:dyDescent="0.3">
      <c r="A44" s="134" t="s">
        <v>507</v>
      </c>
      <c r="B44" s="127"/>
      <c r="C44" s="127"/>
      <c r="D44" s="127"/>
      <c r="E44" s="127"/>
      <c r="F44" s="127"/>
      <c r="G44" s="127"/>
      <c r="H44" s="127"/>
      <c r="I44" s="127"/>
      <c r="J44" s="127"/>
      <c r="K44" s="127"/>
      <c r="L44" s="127"/>
      <c r="M44" s="127"/>
      <c r="N44" s="127"/>
      <c r="O44" s="127"/>
      <c r="P44" s="127"/>
      <c r="Q44" s="127"/>
      <c r="R44" s="127"/>
      <c r="T44" s="125"/>
      <c r="U44" s="125"/>
    </row>
    <row r="45" spans="1:21" s="124" customFormat="1" ht="21.75" customHeight="1" x14ac:dyDescent="0.3">
      <c r="A45" s="134" t="s">
        <v>508</v>
      </c>
      <c r="B45" s="127"/>
      <c r="C45" s="127"/>
      <c r="D45" s="127"/>
      <c r="E45" s="127"/>
      <c r="F45" s="127"/>
      <c r="G45" s="127"/>
      <c r="H45" s="127"/>
      <c r="I45" s="127"/>
      <c r="J45" s="127"/>
      <c r="K45" s="127"/>
      <c r="L45" s="127"/>
      <c r="M45" s="127"/>
      <c r="N45" s="127"/>
      <c r="O45" s="127"/>
      <c r="P45" s="127"/>
      <c r="Q45" s="127"/>
      <c r="R45" s="127"/>
      <c r="T45" s="125"/>
      <c r="U45" s="125"/>
    </row>
    <row r="46" spans="1:21" s="124" customFormat="1" ht="21.75" customHeight="1" x14ac:dyDescent="0.3">
      <c r="A46" s="134" t="s">
        <v>509</v>
      </c>
      <c r="B46" s="127"/>
      <c r="C46" s="127"/>
      <c r="D46" s="127"/>
      <c r="E46" s="127"/>
      <c r="F46" s="127"/>
      <c r="G46" s="127"/>
      <c r="H46" s="127"/>
      <c r="I46" s="127"/>
      <c r="J46" s="127"/>
      <c r="K46" s="127"/>
      <c r="L46" s="127"/>
      <c r="M46" s="127"/>
      <c r="N46" s="127"/>
      <c r="O46" s="127"/>
      <c r="P46" s="127"/>
      <c r="Q46" s="127"/>
      <c r="R46" s="127"/>
      <c r="T46" s="125"/>
      <c r="U46" s="125"/>
    </row>
    <row r="47" spans="1:21" s="124" customFormat="1" ht="21.75" customHeight="1" x14ac:dyDescent="0.3">
      <c r="A47" s="134" t="s">
        <v>510</v>
      </c>
      <c r="B47" s="127"/>
      <c r="C47" s="127"/>
      <c r="D47" s="127"/>
      <c r="E47" s="127"/>
      <c r="F47" s="127"/>
      <c r="G47" s="127"/>
      <c r="H47" s="127"/>
      <c r="I47" s="127"/>
      <c r="J47" s="127"/>
      <c r="K47" s="127"/>
      <c r="L47" s="127"/>
      <c r="M47" s="127"/>
      <c r="N47" s="127"/>
      <c r="O47" s="127"/>
      <c r="P47" s="127"/>
      <c r="Q47" s="127"/>
      <c r="R47" s="127"/>
      <c r="T47" s="125"/>
      <c r="U47" s="125"/>
    </row>
    <row r="48" spans="1:21" ht="33.75" customHeight="1" x14ac:dyDescent="0.25">
      <c r="A48" s="207" t="s">
        <v>511</v>
      </c>
      <c r="B48" s="208"/>
      <c r="C48" s="208"/>
      <c r="D48" s="208"/>
      <c r="E48" s="208"/>
      <c r="F48" s="208"/>
      <c r="G48" s="208"/>
      <c r="H48" s="208"/>
      <c r="I48" s="208"/>
      <c r="J48" s="208"/>
      <c r="K48" s="208"/>
      <c r="L48" s="208"/>
      <c r="M48" s="208"/>
      <c r="N48" s="208"/>
      <c r="O48" s="208"/>
      <c r="P48" s="208"/>
      <c r="Q48" s="208"/>
      <c r="R48" s="208"/>
    </row>
    <row r="49" spans="1:18" ht="20.25" customHeight="1" x14ac:dyDescent="0.25">
      <c r="A49" s="134" t="s">
        <v>512</v>
      </c>
      <c r="B49" s="127"/>
      <c r="C49" s="127"/>
      <c r="D49" s="127"/>
      <c r="E49" s="127"/>
      <c r="F49" s="127"/>
      <c r="G49" s="127"/>
      <c r="H49" s="127"/>
      <c r="I49" s="127"/>
      <c r="J49" s="127"/>
      <c r="K49" s="127"/>
      <c r="L49" s="127"/>
      <c r="M49" s="127"/>
      <c r="N49" s="127"/>
      <c r="O49" s="127"/>
      <c r="P49" s="127"/>
      <c r="Q49" s="127"/>
      <c r="R49" s="127"/>
    </row>
    <row r="50" spans="1:18" ht="18" customHeight="1" x14ac:dyDescent="0.25">
      <c r="A50" s="134" t="s">
        <v>513</v>
      </c>
      <c r="B50" s="127"/>
      <c r="C50" s="127"/>
      <c r="D50" s="127"/>
      <c r="E50" s="127"/>
      <c r="F50" s="127"/>
      <c r="G50" s="127"/>
      <c r="H50" s="127"/>
      <c r="I50" s="127"/>
      <c r="J50" s="127"/>
      <c r="K50" s="127"/>
      <c r="L50" s="127"/>
      <c r="M50" s="127"/>
      <c r="N50" s="127"/>
      <c r="O50" s="127"/>
      <c r="P50" s="127"/>
      <c r="Q50" s="127"/>
      <c r="R50" s="127"/>
    </row>
    <row r="51" spans="1:18" ht="99.75" customHeight="1" x14ac:dyDescent="0.25">
      <c r="A51" s="207" t="s">
        <v>514</v>
      </c>
      <c r="B51" s="208"/>
      <c r="C51" s="208"/>
      <c r="D51" s="208"/>
      <c r="E51" s="208"/>
      <c r="F51" s="208"/>
      <c r="G51" s="208"/>
      <c r="H51" s="208"/>
      <c r="I51" s="208"/>
      <c r="J51" s="208"/>
      <c r="K51" s="208"/>
      <c r="L51" s="208"/>
      <c r="M51" s="208"/>
      <c r="N51" s="208"/>
      <c r="O51" s="208"/>
      <c r="P51" s="208"/>
      <c r="Q51" s="208"/>
      <c r="R51" s="208"/>
    </row>
    <row r="52" spans="1:18" ht="21" customHeight="1" x14ac:dyDescent="0.25">
      <c r="A52" s="137" t="s">
        <v>515</v>
      </c>
      <c r="B52" s="127"/>
      <c r="C52" s="127"/>
      <c r="D52" s="127"/>
      <c r="E52" s="127"/>
      <c r="F52" s="127"/>
      <c r="G52" s="127"/>
      <c r="H52" s="127"/>
      <c r="I52" s="127"/>
      <c r="J52" s="127"/>
      <c r="K52" s="127"/>
      <c r="L52" s="127"/>
      <c r="M52" s="127"/>
      <c r="N52" s="127"/>
      <c r="O52" s="127"/>
      <c r="P52" s="127"/>
      <c r="Q52" s="127"/>
      <c r="R52" s="127"/>
    </row>
    <row r="53" spans="1:18" ht="16.2" x14ac:dyDescent="0.25">
      <c r="A53" s="134" t="s">
        <v>516</v>
      </c>
      <c r="B53" s="127"/>
      <c r="C53" s="127"/>
      <c r="D53" s="127"/>
      <c r="E53" s="127"/>
      <c r="F53" s="127"/>
      <c r="G53" s="127"/>
      <c r="H53" s="127"/>
      <c r="I53" s="127"/>
      <c r="J53" s="127"/>
      <c r="K53" s="127"/>
      <c r="L53" s="127"/>
      <c r="M53" s="127"/>
      <c r="N53" s="127"/>
      <c r="O53" s="127"/>
      <c r="P53" s="127"/>
      <c r="Q53" s="127"/>
      <c r="R53" s="127"/>
    </row>
    <row r="54" spans="1:18" ht="16.2" x14ac:dyDescent="0.25">
      <c r="A54" s="134" t="s">
        <v>517</v>
      </c>
      <c r="B54" s="127"/>
      <c r="C54" s="127"/>
      <c r="D54" s="127"/>
      <c r="E54" s="127"/>
      <c r="F54" s="127"/>
      <c r="G54" s="127"/>
      <c r="H54" s="127"/>
      <c r="I54" s="127"/>
      <c r="J54" s="127"/>
      <c r="K54" s="127"/>
      <c r="L54" s="127"/>
      <c r="M54" s="127"/>
      <c r="N54" s="127"/>
      <c r="O54" s="127"/>
      <c r="P54" s="127"/>
      <c r="Q54" s="127"/>
      <c r="R54" s="127"/>
    </row>
    <row r="55" spans="1:18" ht="16.2" x14ac:dyDescent="0.25">
      <c r="A55" s="134" t="s">
        <v>518</v>
      </c>
      <c r="B55" s="127"/>
      <c r="C55" s="127"/>
      <c r="D55" s="127"/>
      <c r="E55" s="127"/>
      <c r="F55" s="127"/>
      <c r="G55" s="127"/>
      <c r="H55" s="127"/>
      <c r="I55" s="127"/>
      <c r="J55" s="127"/>
      <c r="K55" s="127"/>
      <c r="L55" s="127"/>
      <c r="M55" s="127"/>
      <c r="N55" s="127"/>
      <c r="O55" s="127"/>
      <c r="P55" s="127"/>
      <c r="Q55" s="127"/>
      <c r="R55" s="127"/>
    </row>
    <row r="56" spans="1:18" ht="48" customHeight="1" x14ac:dyDescent="0.25">
      <c r="A56" s="207" t="s">
        <v>519</v>
      </c>
      <c r="B56" s="207"/>
      <c r="C56" s="207"/>
      <c r="D56" s="207"/>
      <c r="E56" s="207"/>
      <c r="F56" s="207"/>
      <c r="G56" s="207"/>
      <c r="H56" s="207"/>
      <c r="I56" s="207"/>
      <c r="J56" s="207"/>
      <c r="K56" s="207"/>
      <c r="L56" s="207"/>
      <c r="M56" s="207"/>
      <c r="N56" s="207"/>
      <c r="O56" s="207"/>
      <c r="P56" s="207"/>
      <c r="Q56" s="207"/>
      <c r="R56" s="207"/>
    </row>
    <row r="57" spans="1:18" ht="33" customHeight="1" x14ac:dyDescent="0.25">
      <c r="A57" s="207" t="s">
        <v>520</v>
      </c>
      <c r="B57" s="207"/>
      <c r="C57" s="207"/>
      <c r="D57" s="207"/>
      <c r="E57" s="207"/>
      <c r="F57" s="207"/>
      <c r="G57" s="207"/>
      <c r="H57" s="207"/>
      <c r="I57" s="207"/>
      <c r="J57" s="207"/>
      <c r="K57" s="207"/>
      <c r="L57" s="207"/>
      <c r="M57" s="207"/>
      <c r="N57" s="207"/>
      <c r="O57" s="207"/>
      <c r="P57" s="207"/>
      <c r="Q57" s="207"/>
      <c r="R57" s="207"/>
    </row>
    <row r="58" spans="1:18" ht="16.2" x14ac:dyDescent="0.25">
      <c r="A58" s="134" t="s">
        <v>521</v>
      </c>
      <c r="B58" s="127"/>
      <c r="C58" s="127"/>
      <c r="D58" s="127"/>
      <c r="E58" s="127"/>
      <c r="F58" s="127"/>
      <c r="G58" s="127"/>
      <c r="H58" s="127"/>
      <c r="I58" s="127"/>
      <c r="J58" s="127"/>
      <c r="K58" s="127"/>
      <c r="L58" s="127"/>
      <c r="M58" s="127"/>
      <c r="N58" s="127"/>
      <c r="O58" s="127"/>
      <c r="P58" s="127"/>
      <c r="Q58" s="127"/>
      <c r="R58" s="127"/>
    </row>
    <row r="59" spans="1:18" ht="18" customHeight="1" x14ac:dyDescent="0.25">
      <c r="A59" s="122" t="s">
        <v>522</v>
      </c>
      <c r="B59" s="127"/>
      <c r="C59" s="127"/>
      <c r="D59" s="127"/>
      <c r="E59" s="127"/>
      <c r="F59" s="127"/>
      <c r="G59" s="127"/>
      <c r="H59" s="127"/>
      <c r="I59" s="127"/>
      <c r="J59" s="127"/>
      <c r="K59" s="127"/>
      <c r="L59" s="127"/>
      <c r="M59" s="127"/>
      <c r="N59" s="127"/>
      <c r="O59" s="127"/>
      <c r="P59" s="127"/>
      <c r="Q59" s="127"/>
      <c r="R59" s="127"/>
    </row>
    <row r="60" spans="1:18" ht="6.75" customHeight="1" x14ac:dyDescent="0.25">
      <c r="A60" s="122"/>
      <c r="B60" s="127"/>
      <c r="C60" s="127"/>
      <c r="D60" s="127"/>
      <c r="E60" s="127"/>
      <c r="F60" s="127"/>
      <c r="G60" s="127"/>
      <c r="H60" s="127"/>
      <c r="I60" s="127"/>
      <c r="J60" s="127"/>
      <c r="K60" s="127"/>
      <c r="L60" s="127"/>
      <c r="M60" s="127"/>
      <c r="N60" s="127"/>
      <c r="O60" s="127"/>
      <c r="P60" s="127"/>
      <c r="Q60" s="127"/>
      <c r="R60" s="127"/>
    </row>
    <row r="61" spans="1:18" ht="15.75" customHeight="1" x14ac:dyDescent="0.25">
      <c r="A61" s="206" t="s">
        <v>523</v>
      </c>
      <c r="B61" s="206"/>
      <c r="C61" s="206"/>
      <c r="D61" s="206"/>
      <c r="E61" s="206"/>
      <c r="F61" s="206"/>
      <c r="G61" s="206"/>
      <c r="H61" s="206"/>
      <c r="I61" s="206"/>
      <c r="J61" s="206"/>
      <c r="K61" s="206"/>
      <c r="L61" s="206"/>
      <c r="M61" s="206"/>
      <c r="N61" s="206"/>
      <c r="O61" s="206"/>
      <c r="P61" s="206"/>
      <c r="Q61" s="206"/>
      <c r="R61" s="206"/>
    </row>
    <row r="62" spans="1:18" ht="16.2" x14ac:dyDescent="0.25">
      <c r="A62" s="134" t="s">
        <v>524</v>
      </c>
      <c r="B62" s="127"/>
      <c r="C62" s="127"/>
      <c r="D62" s="127"/>
      <c r="E62" s="127"/>
      <c r="F62" s="127"/>
      <c r="G62" s="127"/>
      <c r="H62" s="127"/>
      <c r="I62" s="127"/>
      <c r="J62" s="127"/>
      <c r="K62" s="127"/>
      <c r="L62" s="127"/>
      <c r="M62" s="127"/>
      <c r="N62" s="127"/>
      <c r="O62" s="127"/>
      <c r="P62" s="127"/>
      <c r="Q62" s="127"/>
      <c r="R62" s="127"/>
    </row>
    <row r="63" spans="1:18" ht="36" customHeight="1" x14ac:dyDescent="0.25">
      <c r="A63" s="207" t="s">
        <v>525</v>
      </c>
      <c r="B63" s="207"/>
      <c r="C63" s="207"/>
      <c r="D63" s="207"/>
      <c r="E63" s="207"/>
      <c r="F63" s="207"/>
      <c r="G63" s="207"/>
      <c r="H63" s="207"/>
      <c r="I63" s="207"/>
      <c r="J63" s="207"/>
      <c r="K63" s="207"/>
      <c r="L63" s="207"/>
      <c r="M63" s="207"/>
      <c r="N63" s="207"/>
      <c r="O63" s="207"/>
      <c r="P63" s="207"/>
      <c r="Q63" s="207"/>
      <c r="R63" s="207"/>
    </row>
    <row r="64" spans="1:18" ht="16.2" x14ac:dyDescent="0.25">
      <c r="A64" s="206" t="s">
        <v>526</v>
      </c>
      <c r="B64" s="206"/>
      <c r="C64" s="206"/>
      <c r="D64" s="206"/>
      <c r="E64" s="206"/>
      <c r="F64" s="206"/>
      <c r="G64" s="206"/>
      <c r="H64" s="206"/>
      <c r="I64" s="206"/>
      <c r="J64" s="206"/>
      <c r="K64" s="206"/>
      <c r="L64" s="206"/>
      <c r="M64" s="206"/>
      <c r="N64" s="206"/>
      <c r="O64" s="206"/>
      <c r="P64" s="206"/>
      <c r="Q64" s="206"/>
      <c r="R64" s="206"/>
    </row>
    <row r="65" spans="1:18" ht="16.2" x14ac:dyDescent="0.25">
      <c r="A65" s="134" t="s">
        <v>527</v>
      </c>
      <c r="B65" s="127"/>
      <c r="C65" s="127"/>
      <c r="D65" s="127"/>
      <c r="E65" s="127"/>
      <c r="F65" s="127"/>
      <c r="G65" s="127"/>
      <c r="H65" s="127"/>
      <c r="I65" s="127"/>
      <c r="J65" s="127"/>
      <c r="K65" s="127"/>
      <c r="L65" s="127"/>
      <c r="M65" s="127"/>
      <c r="N65" s="127"/>
      <c r="O65" s="127"/>
      <c r="P65" s="127"/>
      <c r="Q65" s="127"/>
      <c r="R65" s="127"/>
    </row>
    <row r="66" spans="1:18" ht="36" customHeight="1" x14ac:dyDescent="0.25">
      <c r="A66" s="207" t="s">
        <v>528</v>
      </c>
      <c r="B66" s="207"/>
      <c r="C66" s="207"/>
      <c r="D66" s="207"/>
      <c r="E66" s="207"/>
      <c r="F66" s="207"/>
      <c r="G66" s="207"/>
      <c r="H66" s="207"/>
      <c r="I66" s="207"/>
      <c r="J66" s="207"/>
      <c r="K66" s="207"/>
      <c r="L66" s="207"/>
      <c r="M66" s="207"/>
      <c r="N66" s="207"/>
      <c r="O66" s="207"/>
      <c r="P66" s="207"/>
      <c r="Q66" s="207"/>
      <c r="R66" s="207"/>
    </row>
    <row r="67" spans="1:18" ht="16.2" x14ac:dyDescent="0.25">
      <c r="A67" s="134" t="s">
        <v>529</v>
      </c>
      <c r="B67" s="127"/>
      <c r="C67" s="127"/>
      <c r="D67" s="127"/>
      <c r="E67" s="127"/>
      <c r="F67" s="127"/>
      <c r="G67" s="127"/>
      <c r="H67" s="127"/>
      <c r="I67" s="127"/>
      <c r="J67" s="127"/>
      <c r="K67" s="127"/>
      <c r="L67" s="127"/>
      <c r="M67" s="127"/>
      <c r="N67" s="127"/>
      <c r="O67" s="127"/>
      <c r="P67" s="127"/>
      <c r="Q67" s="127"/>
      <c r="R67" s="127"/>
    </row>
    <row r="68" spans="1:18" ht="33" customHeight="1" x14ac:dyDescent="0.25">
      <c r="A68" s="207" t="s">
        <v>530</v>
      </c>
      <c r="B68" s="207"/>
      <c r="C68" s="207"/>
      <c r="D68" s="207"/>
      <c r="E68" s="207"/>
      <c r="F68" s="207"/>
      <c r="G68" s="207"/>
      <c r="H68" s="207"/>
      <c r="I68" s="207"/>
      <c r="J68" s="207"/>
      <c r="K68" s="207"/>
      <c r="L68" s="207"/>
      <c r="M68" s="207"/>
      <c r="N68" s="207"/>
      <c r="O68" s="207"/>
      <c r="P68" s="207"/>
      <c r="Q68" s="207"/>
      <c r="R68" s="207"/>
    </row>
    <row r="69" spans="1:18" ht="19.5" customHeight="1" x14ac:dyDescent="0.25">
      <c r="A69" s="134" t="s">
        <v>531</v>
      </c>
      <c r="B69" s="127"/>
      <c r="C69" s="127"/>
      <c r="D69" s="127"/>
      <c r="E69" s="127"/>
      <c r="F69" s="127"/>
      <c r="G69" s="127"/>
      <c r="H69" s="127"/>
      <c r="I69" s="127"/>
      <c r="J69" s="127"/>
      <c r="K69" s="127"/>
      <c r="L69" s="127"/>
      <c r="M69" s="127"/>
      <c r="N69" s="127"/>
      <c r="O69" s="127"/>
      <c r="P69" s="127"/>
      <c r="Q69" s="127"/>
      <c r="R69" s="127"/>
    </row>
    <row r="70" spans="1:18" ht="19.5" customHeight="1" x14ac:dyDescent="0.25">
      <c r="A70" s="134" t="s">
        <v>532</v>
      </c>
      <c r="B70" s="127"/>
      <c r="C70" s="127"/>
      <c r="D70" s="127"/>
      <c r="E70" s="127"/>
      <c r="F70" s="127"/>
      <c r="G70" s="127"/>
      <c r="H70" s="127"/>
      <c r="I70" s="127"/>
      <c r="J70" s="127"/>
      <c r="K70" s="127"/>
      <c r="L70" s="127"/>
      <c r="M70" s="127"/>
      <c r="N70" s="127"/>
      <c r="O70" s="127"/>
      <c r="P70" s="127"/>
      <c r="Q70" s="127"/>
      <c r="R70" s="127"/>
    </row>
    <row r="71" spans="1:18" ht="19.5" customHeight="1" x14ac:dyDescent="0.25">
      <c r="A71" s="134" t="s">
        <v>533</v>
      </c>
      <c r="B71" s="127"/>
      <c r="C71" s="127"/>
      <c r="D71" s="127"/>
      <c r="E71" s="127"/>
      <c r="F71" s="127"/>
      <c r="G71" s="127"/>
      <c r="H71" s="127"/>
      <c r="I71" s="127"/>
      <c r="J71" s="127"/>
      <c r="K71" s="127"/>
      <c r="L71" s="127"/>
      <c r="M71" s="127"/>
      <c r="N71" s="127"/>
      <c r="O71" s="127"/>
      <c r="P71" s="127"/>
      <c r="Q71" s="127"/>
      <c r="R71" s="127"/>
    </row>
    <row r="72" spans="1:18" ht="19.5" customHeight="1" x14ac:dyDescent="0.25">
      <c r="A72" s="134" t="s">
        <v>534</v>
      </c>
      <c r="B72" s="127"/>
      <c r="C72" s="127"/>
      <c r="D72" s="127"/>
      <c r="E72" s="127"/>
      <c r="F72" s="127"/>
      <c r="G72" s="127"/>
      <c r="H72" s="127"/>
      <c r="I72" s="127"/>
      <c r="J72" s="127"/>
      <c r="K72" s="127"/>
      <c r="L72" s="127"/>
      <c r="M72" s="127"/>
      <c r="N72" s="127"/>
      <c r="O72" s="127"/>
      <c r="P72" s="127"/>
      <c r="Q72" s="127"/>
      <c r="R72" s="127"/>
    </row>
    <row r="73" spans="1:18" ht="16.2" x14ac:dyDescent="0.25">
      <c r="A73" s="134" t="s">
        <v>535</v>
      </c>
      <c r="B73" s="127"/>
      <c r="C73" s="127"/>
      <c r="D73" s="127"/>
      <c r="E73" s="127"/>
      <c r="F73" s="127"/>
      <c r="G73" s="127"/>
      <c r="H73" s="127"/>
      <c r="I73" s="127"/>
      <c r="J73" s="127"/>
      <c r="K73" s="127"/>
      <c r="L73" s="127"/>
      <c r="M73" s="127"/>
      <c r="N73" s="127"/>
      <c r="O73" s="127"/>
      <c r="P73" s="127"/>
      <c r="Q73" s="127"/>
      <c r="R73" s="127"/>
    </row>
    <row r="74" spans="1:18" ht="34.5" customHeight="1" x14ac:dyDescent="0.25">
      <c r="A74" s="207" t="s">
        <v>536</v>
      </c>
      <c r="B74" s="207"/>
      <c r="C74" s="207"/>
      <c r="D74" s="207"/>
      <c r="E74" s="207"/>
      <c r="F74" s="207"/>
      <c r="G74" s="207"/>
      <c r="H74" s="207"/>
      <c r="I74" s="207"/>
      <c r="J74" s="207"/>
      <c r="K74" s="207"/>
      <c r="L74" s="207"/>
      <c r="M74" s="207"/>
      <c r="N74" s="207"/>
      <c r="O74" s="207"/>
      <c r="P74" s="207"/>
      <c r="Q74" s="207"/>
      <c r="R74" s="207"/>
    </row>
    <row r="75" spans="1:18" ht="16.8" x14ac:dyDescent="0.25">
      <c r="A75" s="138" t="s">
        <v>537</v>
      </c>
      <c r="B75" s="127"/>
      <c r="C75" s="127"/>
      <c r="D75" s="127"/>
      <c r="E75" s="127"/>
      <c r="F75" s="127"/>
      <c r="G75" s="127"/>
      <c r="H75" s="127"/>
      <c r="I75" s="127"/>
      <c r="J75" s="127"/>
      <c r="K75" s="127"/>
      <c r="L75" s="127"/>
      <c r="M75" s="127"/>
      <c r="N75" s="127"/>
      <c r="O75" s="127"/>
      <c r="P75" s="127"/>
      <c r="Q75" s="127"/>
      <c r="R75" s="127"/>
    </row>
    <row r="76" spans="1:18" ht="40.5" customHeight="1" x14ac:dyDescent="0.25">
      <c r="A76" s="207" t="s">
        <v>538</v>
      </c>
      <c r="B76" s="208"/>
      <c r="C76" s="208"/>
      <c r="D76" s="208"/>
      <c r="E76" s="208"/>
      <c r="F76" s="208"/>
      <c r="G76" s="208"/>
      <c r="H76" s="208"/>
      <c r="I76" s="208"/>
      <c r="J76" s="208"/>
      <c r="K76" s="208"/>
      <c r="L76" s="208"/>
      <c r="M76" s="208"/>
      <c r="N76" s="208"/>
      <c r="O76" s="208"/>
      <c r="P76" s="208"/>
      <c r="Q76" s="208"/>
      <c r="R76" s="208"/>
    </row>
    <row r="77" spans="1:18" ht="53.25" customHeight="1" x14ac:dyDescent="0.25">
      <c r="A77" s="207" t="s">
        <v>539</v>
      </c>
      <c r="B77" s="207"/>
      <c r="C77" s="207"/>
      <c r="D77" s="207"/>
      <c r="E77" s="207"/>
      <c r="F77" s="207"/>
      <c r="G77" s="207"/>
      <c r="H77" s="207"/>
      <c r="I77" s="207"/>
      <c r="J77" s="207"/>
      <c r="K77" s="207"/>
      <c r="L77" s="207"/>
      <c r="M77" s="207"/>
      <c r="N77" s="207"/>
      <c r="O77" s="207"/>
      <c r="P77" s="207"/>
      <c r="Q77" s="207"/>
      <c r="R77" s="207"/>
    </row>
    <row r="78" spans="1:18" ht="16.2" x14ac:dyDescent="0.25">
      <c r="A78" s="127" t="str">
        <f>"- Hợp đồng này được ký kết vào "&amp;VLOOKUP(T1,FORM_NHAP_LIEU_HDLD!A3:Q4996,15,0)&amp;" và có hiệu lực kể từ ngày ký kết."</f>
        <v>- Hợp đồng này được ký kết vào 01/2023 và có hiệu lực kể từ ngày ký kết.</v>
      </c>
      <c r="B78" s="127"/>
      <c r="C78" s="127"/>
      <c r="D78" s="127"/>
      <c r="E78" s="127"/>
      <c r="F78" s="127"/>
      <c r="G78" s="127"/>
      <c r="H78" s="127"/>
      <c r="I78" s="127"/>
      <c r="J78" s="127"/>
      <c r="K78" s="127"/>
      <c r="L78" s="127"/>
      <c r="M78" s="127"/>
      <c r="N78" s="127"/>
      <c r="O78" s="127"/>
      <c r="P78" s="127"/>
      <c r="Q78" s="127"/>
      <c r="R78" s="127"/>
    </row>
    <row r="79" spans="1:18" ht="16.2" x14ac:dyDescent="0.25">
      <c r="A79" s="127"/>
      <c r="B79" s="127"/>
      <c r="C79" s="127"/>
      <c r="D79" s="127"/>
      <c r="E79" s="127"/>
      <c r="F79" s="127"/>
      <c r="G79" s="127"/>
      <c r="H79" s="127"/>
      <c r="I79" s="127"/>
      <c r="J79" s="127"/>
      <c r="K79" s="127"/>
      <c r="L79" s="127"/>
      <c r="M79" s="127"/>
      <c r="N79" s="127"/>
      <c r="O79" s="127"/>
      <c r="P79" s="127"/>
      <c r="Q79" s="127"/>
      <c r="R79" s="127"/>
    </row>
    <row r="80" spans="1:18" ht="27" customHeight="1" x14ac:dyDescent="0.25">
      <c r="A80" s="203" t="s">
        <v>540</v>
      </c>
      <c r="B80" s="204"/>
      <c r="C80" s="204"/>
      <c r="D80" s="204"/>
      <c r="E80" s="204"/>
      <c r="F80" s="204"/>
      <c r="G80" s="204"/>
      <c r="H80" s="204"/>
      <c r="I80" s="204"/>
      <c r="J80" s="203" t="s">
        <v>541</v>
      </c>
      <c r="K80" s="204"/>
      <c r="L80" s="204"/>
      <c r="M80" s="204"/>
      <c r="N80" s="204"/>
      <c r="O80" s="204"/>
      <c r="P80" s="204"/>
      <c r="Q80" s="204"/>
      <c r="R80" s="204"/>
    </row>
    <row r="81" spans="1:18" ht="27" customHeight="1" x14ac:dyDescent="0.25">
      <c r="A81" s="204"/>
      <c r="B81" s="204"/>
      <c r="C81" s="204"/>
      <c r="D81" s="204"/>
      <c r="E81" s="204"/>
      <c r="F81" s="204"/>
      <c r="G81" s="204"/>
      <c r="H81" s="204"/>
      <c r="I81" s="204"/>
      <c r="J81" s="204"/>
      <c r="K81" s="204"/>
      <c r="L81" s="204"/>
      <c r="M81" s="204"/>
      <c r="N81" s="204"/>
      <c r="O81" s="204"/>
      <c r="P81" s="204"/>
      <c r="Q81" s="204"/>
      <c r="R81" s="204"/>
    </row>
    <row r="82" spans="1:18" ht="16.2" x14ac:dyDescent="0.3">
      <c r="A82" s="130"/>
      <c r="B82" s="130"/>
      <c r="C82" s="130"/>
      <c r="D82" s="130"/>
      <c r="E82" s="130"/>
      <c r="F82" s="130"/>
      <c r="G82" s="130"/>
      <c r="H82" s="130"/>
      <c r="I82" s="130"/>
      <c r="J82" s="130"/>
      <c r="K82" s="130"/>
      <c r="L82" s="130"/>
      <c r="M82" s="130"/>
      <c r="N82" s="130"/>
      <c r="O82" s="130"/>
      <c r="P82" s="130"/>
      <c r="Q82" s="130"/>
      <c r="R82" s="130"/>
    </row>
    <row r="83" spans="1:18" ht="16.2" x14ac:dyDescent="0.3">
      <c r="A83" s="130"/>
      <c r="B83" s="130"/>
      <c r="C83" s="130"/>
      <c r="D83" s="130"/>
      <c r="E83" s="130"/>
      <c r="F83" s="130"/>
      <c r="G83" s="130"/>
      <c r="H83" s="130"/>
      <c r="I83" s="130"/>
      <c r="J83" s="130"/>
      <c r="K83" s="130"/>
      <c r="L83" s="130"/>
      <c r="M83" s="130"/>
      <c r="N83" s="130"/>
      <c r="O83" s="130"/>
      <c r="P83" s="130"/>
      <c r="Q83" s="130"/>
      <c r="R83" s="130"/>
    </row>
    <row r="84" spans="1:18" ht="16.2" x14ac:dyDescent="0.3">
      <c r="A84" s="130"/>
      <c r="B84" s="130"/>
      <c r="C84" s="130"/>
      <c r="D84" s="130"/>
      <c r="E84" s="130"/>
      <c r="F84" s="130"/>
      <c r="G84" s="130"/>
      <c r="H84" s="130"/>
      <c r="I84" s="130"/>
      <c r="J84" s="130"/>
      <c r="K84" s="130"/>
      <c r="L84" s="130"/>
      <c r="M84" s="130"/>
      <c r="N84" s="130"/>
      <c r="O84" s="130"/>
      <c r="P84" s="130"/>
      <c r="Q84" s="130"/>
      <c r="R84" s="130"/>
    </row>
    <row r="85" spans="1:18" ht="16.2" x14ac:dyDescent="0.3">
      <c r="A85" s="130"/>
      <c r="B85" s="130"/>
      <c r="C85" s="130"/>
      <c r="D85" s="130"/>
      <c r="E85" s="130"/>
      <c r="F85" s="130"/>
      <c r="G85" s="130"/>
      <c r="H85" s="130"/>
      <c r="I85" s="130"/>
      <c r="J85" s="130"/>
      <c r="K85" s="130"/>
      <c r="L85" s="130"/>
      <c r="M85" s="130"/>
      <c r="N85" s="130"/>
      <c r="O85" s="130"/>
      <c r="P85" s="130"/>
      <c r="Q85" s="130"/>
      <c r="R85" s="130"/>
    </row>
    <row r="86" spans="1:18" ht="16.2" x14ac:dyDescent="0.3">
      <c r="A86" s="130"/>
      <c r="B86" s="130"/>
      <c r="C86" s="130"/>
      <c r="D86" s="130"/>
      <c r="E86" s="130"/>
      <c r="F86" s="130"/>
      <c r="G86" s="130"/>
      <c r="H86" s="130"/>
      <c r="I86" s="130"/>
      <c r="J86" s="130"/>
      <c r="K86" s="130"/>
      <c r="L86" s="130"/>
      <c r="M86" s="130"/>
      <c r="N86" s="130"/>
      <c r="O86" s="130"/>
      <c r="P86" s="130"/>
      <c r="Q86" s="130"/>
      <c r="R86" s="130"/>
    </row>
    <row r="87" spans="1:18" ht="16.2" x14ac:dyDescent="0.3">
      <c r="A87" s="130"/>
      <c r="B87" s="130"/>
      <c r="C87" s="130"/>
      <c r="D87" s="130"/>
      <c r="E87" s="130"/>
      <c r="F87" s="130"/>
      <c r="G87" s="130"/>
      <c r="H87" s="130"/>
      <c r="I87" s="130"/>
      <c r="J87" s="130"/>
      <c r="K87" s="130"/>
      <c r="L87" s="130"/>
      <c r="M87" s="130"/>
      <c r="N87" s="130"/>
      <c r="O87" s="130"/>
      <c r="P87" s="130"/>
      <c r="Q87" s="130"/>
      <c r="R87" s="130"/>
    </row>
    <row r="88" spans="1:18" ht="16.2" x14ac:dyDescent="0.3">
      <c r="A88" s="130"/>
      <c r="B88" s="130"/>
      <c r="C88" s="130"/>
      <c r="D88" s="130"/>
      <c r="E88" s="130"/>
      <c r="F88" s="130"/>
      <c r="G88" s="130"/>
      <c r="H88" s="130"/>
      <c r="I88" s="130"/>
      <c r="J88" s="130"/>
      <c r="K88" s="130"/>
      <c r="L88" s="130"/>
      <c r="M88" s="130"/>
      <c r="N88" s="130"/>
      <c r="O88" s="130"/>
      <c r="P88" s="130"/>
      <c r="Q88" s="130"/>
      <c r="R88" s="130"/>
    </row>
    <row r="89" spans="1:18" ht="16.2" x14ac:dyDescent="0.3">
      <c r="A89" s="130"/>
      <c r="B89" s="130"/>
      <c r="C89" s="130"/>
      <c r="D89" s="130"/>
      <c r="E89" s="130"/>
      <c r="F89" s="130"/>
      <c r="G89" s="130"/>
      <c r="H89" s="130"/>
      <c r="I89" s="130"/>
      <c r="J89" s="130"/>
      <c r="K89" s="130"/>
      <c r="L89" s="130"/>
      <c r="M89" s="130"/>
      <c r="N89" s="130"/>
      <c r="O89" s="130"/>
      <c r="P89" s="130"/>
      <c r="Q89" s="130"/>
      <c r="R89" s="130"/>
    </row>
    <row r="90" spans="1:18" ht="16.2" x14ac:dyDescent="0.3">
      <c r="A90" s="130"/>
      <c r="B90" s="130"/>
      <c r="C90" s="130"/>
      <c r="D90" s="130"/>
      <c r="E90" s="130"/>
      <c r="F90" s="130"/>
      <c r="G90" s="130"/>
      <c r="H90" s="130"/>
      <c r="I90" s="130"/>
      <c r="J90" s="130"/>
      <c r="K90" s="130"/>
      <c r="L90" s="130"/>
      <c r="M90" s="130"/>
      <c r="N90" s="130"/>
      <c r="O90" s="130"/>
      <c r="P90" s="130"/>
      <c r="Q90" s="130"/>
      <c r="R90" s="130"/>
    </row>
    <row r="91" spans="1:18" ht="16.2" x14ac:dyDescent="0.3">
      <c r="A91" s="130"/>
      <c r="B91" s="130"/>
      <c r="C91" s="130"/>
      <c r="D91" s="130"/>
      <c r="E91" s="130"/>
      <c r="F91" s="130"/>
      <c r="G91" s="130"/>
      <c r="H91" s="130"/>
      <c r="I91" s="130"/>
      <c r="J91" s="130"/>
      <c r="K91" s="130"/>
      <c r="L91" s="130"/>
      <c r="M91" s="130"/>
      <c r="N91" s="130"/>
      <c r="O91" s="130"/>
      <c r="P91" s="130"/>
      <c r="Q91" s="130"/>
      <c r="R91" s="130"/>
    </row>
    <row r="92" spans="1:18" ht="16.2" x14ac:dyDescent="0.3">
      <c r="A92" s="130"/>
      <c r="B92" s="130"/>
      <c r="C92" s="130"/>
      <c r="D92" s="130"/>
      <c r="E92" s="130"/>
      <c r="F92" s="130"/>
      <c r="G92" s="130"/>
      <c r="H92" s="130"/>
      <c r="I92" s="130"/>
      <c r="J92" s="130"/>
      <c r="K92" s="130"/>
      <c r="L92" s="130"/>
      <c r="M92" s="130"/>
      <c r="N92" s="130"/>
      <c r="O92" s="130"/>
      <c r="P92" s="130"/>
      <c r="Q92" s="130"/>
      <c r="R92" s="130"/>
    </row>
    <row r="93" spans="1:18" ht="16.2" x14ac:dyDescent="0.3">
      <c r="A93" s="130"/>
      <c r="B93" s="130"/>
      <c r="C93" s="130"/>
      <c r="D93" s="130"/>
      <c r="E93" s="130"/>
      <c r="F93" s="130"/>
      <c r="G93" s="130"/>
      <c r="H93" s="130"/>
      <c r="I93" s="130"/>
      <c r="J93" s="130"/>
      <c r="K93" s="130"/>
      <c r="L93" s="130"/>
      <c r="M93" s="130"/>
      <c r="N93" s="130"/>
      <c r="O93" s="130"/>
      <c r="P93" s="130"/>
      <c r="Q93" s="130"/>
      <c r="R93" s="130"/>
    </row>
    <row r="94" spans="1:18" ht="16.2" x14ac:dyDescent="0.3">
      <c r="A94" s="130"/>
      <c r="B94" s="130"/>
      <c r="C94" s="130"/>
      <c r="D94" s="130"/>
      <c r="E94" s="130"/>
      <c r="F94" s="130"/>
      <c r="G94" s="130"/>
      <c r="H94" s="130"/>
      <c r="I94" s="130"/>
      <c r="J94" s="130"/>
      <c r="K94" s="130"/>
      <c r="L94" s="130"/>
      <c r="M94" s="130"/>
      <c r="N94" s="130"/>
      <c r="O94" s="130"/>
      <c r="P94" s="130"/>
      <c r="Q94" s="130"/>
      <c r="R94" s="130"/>
    </row>
    <row r="95" spans="1:18" ht="16.2" x14ac:dyDescent="0.3">
      <c r="A95" s="130"/>
      <c r="B95" s="130"/>
      <c r="C95" s="130"/>
      <c r="D95" s="130"/>
      <c r="E95" s="130"/>
      <c r="F95" s="130"/>
      <c r="G95" s="130"/>
      <c r="H95" s="130"/>
      <c r="I95" s="130"/>
      <c r="J95" s="130"/>
      <c r="K95" s="130"/>
      <c r="L95" s="130"/>
      <c r="M95" s="130"/>
      <c r="N95" s="130"/>
      <c r="O95" s="130"/>
      <c r="P95" s="130"/>
      <c r="Q95" s="130"/>
      <c r="R95" s="130"/>
    </row>
    <row r="96" spans="1:18" ht="16.2" x14ac:dyDescent="0.3">
      <c r="A96" s="130"/>
      <c r="B96" s="130"/>
      <c r="C96" s="130"/>
      <c r="D96" s="130"/>
      <c r="E96" s="130"/>
      <c r="F96" s="130"/>
      <c r="G96" s="130"/>
      <c r="H96" s="130"/>
      <c r="I96" s="130"/>
      <c r="J96" s="130"/>
      <c r="K96" s="130"/>
      <c r="L96" s="130"/>
      <c r="M96" s="130"/>
      <c r="N96" s="130"/>
      <c r="O96" s="130"/>
      <c r="P96" s="130"/>
      <c r="Q96" s="130"/>
      <c r="R96" s="130"/>
    </row>
    <row r="97" spans="1:18" ht="16.2" x14ac:dyDescent="0.3">
      <c r="A97" s="130"/>
      <c r="B97" s="130"/>
      <c r="C97" s="130"/>
      <c r="D97" s="130"/>
      <c r="E97" s="130"/>
      <c r="F97" s="130"/>
      <c r="G97" s="130"/>
      <c r="H97" s="130"/>
      <c r="I97" s="130"/>
      <c r="J97" s="130"/>
      <c r="K97" s="130"/>
      <c r="L97" s="130"/>
      <c r="M97" s="130"/>
      <c r="N97" s="130"/>
      <c r="O97" s="130"/>
      <c r="P97" s="130"/>
      <c r="Q97" s="130"/>
      <c r="R97" s="130"/>
    </row>
    <row r="98" spans="1:18" ht="16.2" x14ac:dyDescent="0.3">
      <c r="A98" s="130"/>
      <c r="B98" s="130"/>
      <c r="C98" s="130"/>
      <c r="D98" s="130"/>
      <c r="E98" s="130"/>
      <c r="F98" s="130"/>
      <c r="G98" s="130"/>
      <c r="H98" s="130"/>
      <c r="I98" s="130"/>
      <c r="J98" s="130"/>
      <c r="K98" s="130"/>
      <c r="L98" s="130"/>
      <c r="M98" s="130"/>
      <c r="N98" s="130"/>
      <c r="O98" s="130"/>
      <c r="P98" s="130"/>
      <c r="Q98" s="130"/>
      <c r="R98" s="130"/>
    </row>
    <row r="99" spans="1:18" ht="16.2" x14ac:dyDescent="0.3">
      <c r="A99" s="130"/>
      <c r="B99" s="130"/>
      <c r="C99" s="130"/>
      <c r="D99" s="130"/>
      <c r="E99" s="130"/>
      <c r="F99" s="130"/>
      <c r="G99" s="130"/>
      <c r="H99" s="130"/>
      <c r="I99" s="130"/>
      <c r="J99" s="130"/>
      <c r="K99" s="130"/>
      <c r="L99" s="130"/>
      <c r="M99" s="130"/>
      <c r="N99" s="130"/>
      <c r="O99" s="130"/>
      <c r="P99" s="130"/>
      <c r="Q99" s="130"/>
      <c r="R99" s="130"/>
    </row>
    <row r="100" spans="1:18" ht="16.2" x14ac:dyDescent="0.3">
      <c r="A100" s="130"/>
      <c r="B100" s="130"/>
      <c r="C100" s="130"/>
      <c r="D100" s="130"/>
      <c r="E100" s="130"/>
      <c r="F100" s="130"/>
      <c r="G100" s="130"/>
      <c r="H100" s="130"/>
      <c r="I100" s="130"/>
      <c r="J100" s="130"/>
      <c r="K100" s="130"/>
      <c r="L100" s="130"/>
      <c r="M100" s="130"/>
      <c r="N100" s="130"/>
      <c r="O100" s="130"/>
      <c r="P100" s="130"/>
      <c r="Q100" s="130"/>
      <c r="R100" s="130"/>
    </row>
    <row r="101" spans="1:18" ht="16.2" x14ac:dyDescent="0.3">
      <c r="A101" s="130"/>
      <c r="B101" s="130"/>
      <c r="C101" s="130"/>
      <c r="D101" s="130"/>
      <c r="E101" s="130"/>
      <c r="F101" s="130"/>
      <c r="G101" s="130"/>
      <c r="H101" s="130"/>
      <c r="I101" s="130"/>
      <c r="J101" s="130"/>
      <c r="K101" s="130"/>
      <c r="L101" s="130"/>
      <c r="M101" s="130"/>
      <c r="N101" s="130"/>
      <c r="O101" s="130"/>
      <c r="P101" s="130"/>
      <c r="Q101" s="130"/>
      <c r="R101" s="130"/>
    </row>
    <row r="102" spans="1:18" ht="16.2" x14ac:dyDescent="0.3">
      <c r="A102" s="130"/>
      <c r="B102" s="130"/>
      <c r="C102" s="130"/>
      <c r="D102" s="130"/>
      <c r="E102" s="130"/>
      <c r="F102" s="130"/>
      <c r="G102" s="130"/>
      <c r="H102" s="130"/>
      <c r="I102" s="130"/>
      <c r="J102" s="130"/>
      <c r="K102" s="130"/>
      <c r="L102" s="130"/>
      <c r="M102" s="130"/>
      <c r="N102" s="130"/>
      <c r="O102" s="130"/>
      <c r="P102" s="130"/>
      <c r="Q102" s="130"/>
      <c r="R102" s="130"/>
    </row>
    <row r="103" spans="1:18" ht="16.2" x14ac:dyDescent="0.3">
      <c r="A103" s="130"/>
      <c r="B103" s="130"/>
      <c r="C103" s="130"/>
      <c r="D103" s="130"/>
      <c r="E103" s="130"/>
      <c r="F103" s="130"/>
      <c r="G103" s="130"/>
      <c r="H103" s="130"/>
      <c r="I103" s="130"/>
      <c r="J103" s="130"/>
      <c r="K103" s="130"/>
      <c r="L103" s="130"/>
      <c r="M103" s="130"/>
      <c r="N103" s="130"/>
      <c r="O103" s="130"/>
      <c r="P103" s="130"/>
      <c r="Q103" s="130"/>
      <c r="R103" s="130"/>
    </row>
    <row r="104" spans="1:18" ht="16.2" x14ac:dyDescent="0.3">
      <c r="A104" s="130"/>
      <c r="B104" s="130"/>
      <c r="C104" s="130"/>
      <c r="D104" s="130"/>
      <c r="E104" s="130"/>
      <c r="F104" s="130"/>
      <c r="G104" s="130"/>
      <c r="H104" s="130"/>
      <c r="I104" s="130"/>
      <c r="J104" s="130"/>
      <c r="K104" s="130"/>
      <c r="L104" s="130"/>
      <c r="M104" s="130"/>
      <c r="N104" s="130"/>
      <c r="O104" s="130"/>
      <c r="P104" s="130"/>
      <c r="Q104" s="130"/>
      <c r="R104" s="130"/>
    </row>
    <row r="105" spans="1:18" ht="16.2" x14ac:dyDescent="0.3">
      <c r="A105" s="130"/>
      <c r="B105" s="130"/>
      <c r="C105" s="130"/>
      <c r="D105" s="130"/>
      <c r="E105" s="130"/>
      <c r="F105" s="130"/>
      <c r="G105" s="130"/>
      <c r="H105" s="130"/>
      <c r="I105" s="130"/>
      <c r="J105" s="130"/>
      <c r="K105" s="130"/>
      <c r="L105" s="130"/>
      <c r="M105" s="130"/>
      <c r="N105" s="130"/>
      <c r="O105" s="130"/>
      <c r="P105" s="130"/>
      <c r="Q105" s="130"/>
      <c r="R105" s="130"/>
    </row>
    <row r="106" spans="1:18" ht="16.2" x14ac:dyDescent="0.3">
      <c r="A106" s="130"/>
      <c r="B106" s="130"/>
      <c r="C106" s="130"/>
      <c r="D106" s="130"/>
      <c r="E106" s="130"/>
      <c r="F106" s="130"/>
      <c r="G106" s="130"/>
      <c r="H106" s="130"/>
      <c r="I106" s="130"/>
      <c r="J106" s="130"/>
      <c r="K106" s="130"/>
      <c r="L106" s="130"/>
      <c r="M106" s="130"/>
      <c r="N106" s="130"/>
      <c r="O106" s="130"/>
      <c r="P106" s="130"/>
      <c r="Q106" s="130"/>
      <c r="R106" s="130"/>
    </row>
    <row r="107" spans="1:18" ht="16.2" x14ac:dyDescent="0.3">
      <c r="A107" s="130"/>
      <c r="B107" s="130"/>
      <c r="C107" s="130"/>
      <c r="D107" s="130"/>
      <c r="E107" s="130"/>
      <c r="F107" s="130"/>
      <c r="G107" s="130"/>
      <c r="H107" s="130"/>
      <c r="I107" s="130"/>
      <c r="J107" s="130"/>
      <c r="K107" s="130"/>
      <c r="L107" s="130"/>
      <c r="M107" s="130"/>
      <c r="N107" s="130"/>
      <c r="O107" s="130"/>
      <c r="P107" s="130"/>
      <c r="Q107" s="130"/>
      <c r="R107" s="130"/>
    </row>
    <row r="108" spans="1:18" ht="15.6" x14ac:dyDescent="0.3">
      <c r="A108" s="139"/>
      <c r="B108" s="139"/>
      <c r="C108" s="139"/>
      <c r="D108" s="139"/>
      <c r="E108" s="139"/>
      <c r="F108" s="139"/>
      <c r="G108" s="139"/>
      <c r="H108" s="139"/>
      <c r="I108" s="139"/>
      <c r="J108" s="139"/>
      <c r="K108" s="139"/>
      <c r="L108" s="139"/>
      <c r="M108" s="139"/>
      <c r="N108" s="139"/>
      <c r="O108" s="139"/>
      <c r="P108" s="139"/>
      <c r="Q108" s="139"/>
      <c r="R108" s="139"/>
    </row>
    <row r="109" spans="1:18" ht="15.6" x14ac:dyDescent="0.3">
      <c r="A109" s="139"/>
      <c r="B109" s="139"/>
      <c r="C109" s="139"/>
      <c r="D109" s="139"/>
      <c r="E109" s="139"/>
      <c r="F109" s="139"/>
      <c r="G109" s="139"/>
      <c r="H109" s="139"/>
      <c r="I109" s="139"/>
      <c r="J109" s="139"/>
      <c r="K109" s="139"/>
      <c r="L109" s="139"/>
      <c r="M109" s="139"/>
      <c r="N109" s="139"/>
      <c r="O109" s="139"/>
      <c r="P109" s="139"/>
      <c r="Q109" s="139"/>
      <c r="R109" s="139"/>
    </row>
    <row r="110" spans="1:18" ht="15.6" x14ac:dyDescent="0.3">
      <c r="A110" s="139"/>
      <c r="B110" s="139"/>
      <c r="C110" s="139"/>
      <c r="D110" s="139"/>
      <c r="E110" s="139"/>
      <c r="F110" s="139"/>
      <c r="G110" s="139"/>
      <c r="H110" s="139"/>
      <c r="I110" s="139"/>
      <c r="J110" s="139"/>
      <c r="K110" s="139"/>
      <c r="L110" s="139"/>
      <c r="M110" s="139"/>
      <c r="N110" s="139"/>
      <c r="O110" s="139"/>
      <c r="P110" s="139"/>
      <c r="Q110" s="139"/>
      <c r="R110" s="139"/>
    </row>
    <row r="111" spans="1:18" ht="15.6" x14ac:dyDescent="0.3">
      <c r="A111" s="139"/>
      <c r="B111" s="139"/>
      <c r="C111" s="139"/>
      <c r="D111" s="139"/>
      <c r="E111" s="139"/>
      <c r="F111" s="139"/>
      <c r="G111" s="139"/>
      <c r="H111" s="139"/>
      <c r="I111" s="139"/>
      <c r="J111" s="139"/>
      <c r="K111" s="139"/>
      <c r="L111" s="139"/>
      <c r="M111" s="139"/>
      <c r="N111" s="139"/>
      <c r="O111" s="139"/>
      <c r="P111" s="139"/>
      <c r="Q111" s="139"/>
      <c r="R111" s="139"/>
    </row>
    <row r="112" spans="1:18" ht="15.6" x14ac:dyDescent="0.3">
      <c r="A112" s="139"/>
      <c r="B112" s="139"/>
      <c r="C112" s="139"/>
      <c r="D112" s="139"/>
      <c r="E112" s="139"/>
      <c r="F112" s="139"/>
      <c r="G112" s="139"/>
      <c r="H112" s="139"/>
      <c r="I112" s="139"/>
      <c r="J112" s="139"/>
      <c r="K112" s="139"/>
      <c r="L112" s="139"/>
      <c r="M112" s="139"/>
      <c r="N112" s="139"/>
      <c r="O112" s="139"/>
      <c r="P112" s="139"/>
      <c r="Q112" s="139"/>
      <c r="R112" s="139"/>
    </row>
    <row r="113" spans="1:18" ht="15.6" x14ac:dyDescent="0.3">
      <c r="A113" s="139"/>
      <c r="B113" s="139"/>
      <c r="C113" s="139"/>
      <c r="D113" s="139"/>
      <c r="E113" s="139"/>
      <c r="F113" s="139"/>
      <c r="G113" s="139"/>
      <c r="H113" s="139"/>
      <c r="I113" s="139"/>
      <c r="J113" s="139"/>
      <c r="K113" s="139"/>
      <c r="L113" s="139"/>
      <c r="M113" s="139"/>
      <c r="N113" s="139"/>
      <c r="O113" s="139"/>
      <c r="P113" s="139"/>
      <c r="Q113" s="139"/>
      <c r="R113" s="139"/>
    </row>
    <row r="114" spans="1:18" ht="15.6" x14ac:dyDescent="0.3">
      <c r="A114" s="139"/>
      <c r="B114" s="139"/>
      <c r="C114" s="139"/>
      <c r="D114" s="139"/>
      <c r="E114" s="139"/>
      <c r="F114" s="139"/>
      <c r="G114" s="139"/>
      <c r="H114" s="139"/>
      <c r="I114" s="139"/>
      <c r="J114" s="139"/>
      <c r="K114" s="139"/>
      <c r="L114" s="139"/>
      <c r="M114" s="139"/>
      <c r="N114" s="139"/>
      <c r="O114" s="139"/>
      <c r="P114" s="139"/>
      <c r="Q114" s="139"/>
      <c r="R114" s="139"/>
    </row>
    <row r="115" spans="1:18" ht="15.6" x14ac:dyDescent="0.3">
      <c r="A115" s="139"/>
      <c r="B115" s="139"/>
      <c r="C115" s="139"/>
      <c r="D115" s="139"/>
      <c r="E115" s="139"/>
      <c r="F115" s="139"/>
      <c r="G115" s="139"/>
      <c r="H115" s="139"/>
      <c r="I115" s="139"/>
      <c r="J115" s="139"/>
      <c r="K115" s="139"/>
      <c r="L115" s="139"/>
      <c r="M115" s="139"/>
      <c r="N115" s="139"/>
      <c r="O115" s="139"/>
      <c r="P115" s="139"/>
      <c r="Q115" s="139"/>
      <c r="R115" s="139"/>
    </row>
    <row r="116" spans="1:18" ht="15.6" x14ac:dyDescent="0.3">
      <c r="A116" s="139"/>
      <c r="B116" s="139"/>
      <c r="C116" s="139"/>
      <c r="D116" s="139"/>
      <c r="E116" s="139"/>
      <c r="F116" s="139"/>
      <c r="G116" s="139"/>
      <c r="H116" s="139"/>
      <c r="I116" s="139"/>
      <c r="J116" s="139"/>
      <c r="K116" s="139"/>
      <c r="L116" s="139"/>
      <c r="M116" s="139"/>
      <c r="N116" s="139"/>
      <c r="O116" s="139"/>
      <c r="P116" s="139"/>
      <c r="Q116" s="139"/>
      <c r="R116" s="139"/>
    </row>
    <row r="117" spans="1:18" ht="15.6" x14ac:dyDescent="0.3">
      <c r="A117" s="139"/>
      <c r="B117" s="139"/>
      <c r="C117" s="139"/>
      <c r="D117" s="139"/>
      <c r="E117" s="139"/>
      <c r="F117" s="139"/>
      <c r="G117" s="139"/>
      <c r="H117" s="139"/>
      <c r="I117" s="139"/>
      <c r="J117" s="139"/>
      <c r="K117" s="139"/>
      <c r="L117" s="139"/>
      <c r="M117" s="139"/>
      <c r="N117" s="139"/>
      <c r="O117" s="139"/>
      <c r="P117" s="139"/>
      <c r="Q117" s="139"/>
      <c r="R117" s="139"/>
    </row>
    <row r="118" spans="1:18" ht="15.6" x14ac:dyDescent="0.3">
      <c r="A118" s="139"/>
      <c r="B118" s="139"/>
      <c r="C118" s="139"/>
      <c r="D118" s="139"/>
      <c r="E118" s="139"/>
      <c r="F118" s="139"/>
      <c r="G118" s="139"/>
      <c r="H118" s="139"/>
      <c r="I118" s="139"/>
      <c r="J118" s="139"/>
      <c r="K118" s="139"/>
      <c r="L118" s="139"/>
      <c r="M118" s="139"/>
      <c r="N118" s="139"/>
      <c r="O118" s="139"/>
      <c r="P118" s="139"/>
      <c r="Q118" s="139"/>
      <c r="R118" s="139"/>
    </row>
    <row r="119" spans="1:18" ht="15.6" x14ac:dyDescent="0.3">
      <c r="A119" s="139"/>
      <c r="B119" s="139"/>
      <c r="C119" s="139"/>
      <c r="D119" s="139"/>
      <c r="E119" s="139"/>
      <c r="F119" s="139"/>
      <c r="G119" s="139"/>
      <c r="H119" s="139"/>
      <c r="I119" s="139"/>
      <c r="J119" s="139"/>
      <c r="K119" s="139"/>
      <c r="L119" s="139"/>
      <c r="M119" s="139"/>
      <c r="N119" s="139"/>
      <c r="O119" s="139"/>
      <c r="P119" s="139"/>
      <c r="Q119" s="139"/>
      <c r="R119" s="139"/>
    </row>
    <row r="120" spans="1:18" ht="15.6" x14ac:dyDescent="0.3">
      <c r="A120" s="139"/>
      <c r="B120" s="139"/>
      <c r="C120" s="139"/>
      <c r="D120" s="139"/>
      <c r="E120" s="139"/>
      <c r="F120" s="139"/>
      <c r="G120" s="139"/>
      <c r="H120" s="139"/>
      <c r="I120" s="139"/>
      <c r="J120" s="139"/>
      <c r="K120" s="139"/>
      <c r="L120" s="139"/>
      <c r="M120" s="139"/>
      <c r="N120" s="139"/>
      <c r="O120" s="139"/>
      <c r="P120" s="139"/>
      <c r="Q120" s="139"/>
      <c r="R120" s="139"/>
    </row>
    <row r="121" spans="1:18" ht="15.6" x14ac:dyDescent="0.3">
      <c r="A121" s="139"/>
      <c r="B121" s="139"/>
      <c r="C121" s="139"/>
      <c r="D121" s="139"/>
      <c r="E121" s="139"/>
      <c r="F121" s="139"/>
      <c r="G121" s="139"/>
      <c r="H121" s="139"/>
      <c r="I121" s="139"/>
      <c r="J121" s="139"/>
      <c r="K121" s="139"/>
      <c r="L121" s="139"/>
      <c r="M121" s="139"/>
      <c r="N121" s="139"/>
      <c r="O121" s="139"/>
      <c r="P121" s="139"/>
      <c r="Q121" s="139"/>
      <c r="R121" s="139"/>
    </row>
    <row r="122" spans="1:18" ht="15.6" x14ac:dyDescent="0.3">
      <c r="A122" s="139"/>
      <c r="B122" s="139"/>
      <c r="C122" s="139"/>
      <c r="D122" s="139"/>
      <c r="E122" s="139"/>
      <c r="F122" s="139"/>
      <c r="G122" s="139"/>
      <c r="H122" s="139"/>
      <c r="I122" s="139"/>
      <c r="J122" s="139"/>
      <c r="K122" s="139"/>
      <c r="L122" s="139"/>
      <c r="M122" s="139"/>
      <c r="N122" s="139"/>
      <c r="O122" s="139"/>
      <c r="P122" s="139"/>
      <c r="Q122" s="139"/>
      <c r="R122" s="139"/>
    </row>
    <row r="123" spans="1:18" ht="15.6" x14ac:dyDescent="0.3">
      <c r="A123" s="139"/>
      <c r="B123" s="139"/>
      <c r="C123" s="139"/>
      <c r="D123" s="139"/>
      <c r="E123" s="139"/>
      <c r="F123" s="139"/>
      <c r="G123" s="139"/>
      <c r="H123" s="139"/>
      <c r="I123" s="139"/>
      <c r="J123" s="139"/>
      <c r="K123" s="139"/>
      <c r="L123" s="139"/>
      <c r="M123" s="139"/>
      <c r="N123" s="139"/>
      <c r="O123" s="139"/>
      <c r="P123" s="139"/>
      <c r="Q123" s="139"/>
      <c r="R123" s="139"/>
    </row>
    <row r="124" spans="1:18" ht="15.6" x14ac:dyDescent="0.3">
      <c r="A124" s="139"/>
      <c r="B124" s="139"/>
      <c r="C124" s="139"/>
      <c r="D124" s="139"/>
      <c r="E124" s="139"/>
      <c r="F124" s="139"/>
      <c r="G124" s="139"/>
      <c r="H124" s="139"/>
      <c r="I124" s="139"/>
      <c r="J124" s="139"/>
      <c r="K124" s="139"/>
      <c r="L124" s="139"/>
      <c r="M124" s="139"/>
      <c r="N124" s="139"/>
      <c r="O124" s="139"/>
      <c r="P124" s="139"/>
      <c r="Q124" s="139"/>
      <c r="R124" s="139"/>
    </row>
    <row r="125" spans="1:18" ht="15.6" x14ac:dyDescent="0.3">
      <c r="A125" s="139"/>
      <c r="B125" s="139"/>
      <c r="C125" s="139"/>
      <c r="D125" s="139"/>
      <c r="E125" s="139"/>
      <c r="F125" s="139"/>
      <c r="G125" s="139"/>
      <c r="H125" s="139"/>
      <c r="I125" s="139"/>
      <c r="J125" s="139"/>
      <c r="K125" s="139"/>
      <c r="L125" s="139"/>
      <c r="M125" s="139"/>
      <c r="N125" s="139"/>
      <c r="O125" s="139"/>
      <c r="P125" s="139"/>
      <c r="Q125" s="139"/>
      <c r="R125" s="139"/>
    </row>
    <row r="126" spans="1:18" ht="15.6" x14ac:dyDescent="0.3">
      <c r="A126" s="139"/>
      <c r="B126" s="139"/>
      <c r="C126" s="139"/>
      <c r="D126" s="139"/>
      <c r="E126" s="139"/>
      <c r="F126" s="139"/>
      <c r="G126" s="139"/>
      <c r="H126" s="139"/>
      <c r="I126" s="139"/>
      <c r="J126" s="139"/>
      <c r="K126" s="139"/>
      <c r="L126" s="139"/>
      <c r="M126" s="139"/>
      <c r="N126" s="139"/>
      <c r="O126" s="139"/>
      <c r="P126" s="139"/>
      <c r="Q126" s="139"/>
      <c r="R126" s="139"/>
    </row>
    <row r="127" spans="1:18" ht="15.6" x14ac:dyDescent="0.3">
      <c r="A127" s="139"/>
      <c r="B127" s="139"/>
      <c r="C127" s="139"/>
      <c r="D127" s="139"/>
      <c r="E127" s="139"/>
      <c r="F127" s="139"/>
      <c r="G127" s="139"/>
      <c r="H127" s="139"/>
      <c r="I127" s="139"/>
      <c r="J127" s="139"/>
      <c r="K127" s="139"/>
      <c r="L127" s="139"/>
      <c r="M127" s="139"/>
      <c r="N127" s="139"/>
      <c r="O127" s="139"/>
      <c r="P127" s="139"/>
      <c r="Q127" s="139"/>
      <c r="R127" s="139"/>
    </row>
    <row r="128" spans="1:18" ht="15.6" x14ac:dyDescent="0.3">
      <c r="A128" s="139"/>
      <c r="B128" s="139"/>
      <c r="C128" s="139"/>
      <c r="D128" s="139"/>
      <c r="E128" s="139"/>
      <c r="F128" s="139"/>
      <c r="G128" s="139"/>
      <c r="H128" s="139"/>
      <c r="I128" s="139"/>
      <c r="J128" s="139"/>
      <c r="K128" s="139"/>
      <c r="L128" s="139"/>
      <c r="M128" s="139"/>
      <c r="N128" s="139"/>
      <c r="O128" s="139"/>
      <c r="P128" s="139"/>
      <c r="Q128" s="139"/>
      <c r="R128" s="139"/>
    </row>
    <row r="129" spans="1:18" ht="15.6" x14ac:dyDescent="0.3">
      <c r="A129" s="139"/>
      <c r="B129" s="139"/>
      <c r="C129" s="139"/>
      <c r="D129" s="139"/>
      <c r="E129" s="139"/>
      <c r="F129" s="139"/>
      <c r="G129" s="139"/>
      <c r="H129" s="139"/>
      <c r="I129" s="139"/>
      <c r="J129" s="139"/>
      <c r="K129" s="139"/>
      <c r="L129" s="139"/>
      <c r="M129" s="139"/>
      <c r="N129" s="139"/>
      <c r="O129" s="139"/>
      <c r="P129" s="139"/>
      <c r="Q129" s="139"/>
      <c r="R129" s="139"/>
    </row>
    <row r="130" spans="1:18" ht="15.6" x14ac:dyDescent="0.3">
      <c r="A130" s="139"/>
      <c r="B130" s="139"/>
      <c r="C130" s="139"/>
      <c r="D130" s="139"/>
      <c r="E130" s="139"/>
      <c r="F130" s="139"/>
      <c r="G130" s="139"/>
      <c r="H130" s="139"/>
      <c r="I130" s="139"/>
      <c r="J130" s="139"/>
      <c r="K130" s="139"/>
      <c r="L130" s="139"/>
      <c r="M130" s="139"/>
      <c r="N130" s="139"/>
      <c r="O130" s="139"/>
      <c r="P130" s="139"/>
      <c r="Q130" s="139"/>
      <c r="R130" s="139"/>
    </row>
    <row r="131" spans="1:18" ht="15.6" x14ac:dyDescent="0.3">
      <c r="A131" s="139"/>
      <c r="B131" s="139"/>
      <c r="C131" s="139"/>
      <c r="D131" s="139"/>
      <c r="E131" s="139"/>
      <c r="F131" s="139"/>
      <c r="G131" s="139"/>
      <c r="H131" s="139"/>
      <c r="I131" s="139"/>
      <c r="J131" s="139"/>
      <c r="K131" s="139"/>
      <c r="L131" s="139"/>
      <c r="M131" s="139"/>
      <c r="N131" s="139"/>
      <c r="O131" s="139"/>
      <c r="P131" s="139"/>
      <c r="Q131" s="139"/>
      <c r="R131" s="139"/>
    </row>
    <row r="132" spans="1:18" ht="15.6" x14ac:dyDescent="0.3">
      <c r="A132" s="139"/>
      <c r="B132" s="139"/>
      <c r="C132" s="139"/>
      <c r="D132" s="139"/>
      <c r="E132" s="139"/>
      <c r="F132" s="139"/>
      <c r="G132" s="139"/>
      <c r="H132" s="139"/>
      <c r="I132" s="139"/>
      <c r="J132" s="139"/>
      <c r="K132" s="139"/>
      <c r="L132" s="139"/>
      <c r="M132" s="139"/>
      <c r="N132" s="139"/>
      <c r="O132" s="139"/>
      <c r="P132" s="139"/>
      <c r="Q132" s="139"/>
      <c r="R132" s="139"/>
    </row>
    <row r="133" spans="1:18" ht="15.6" x14ac:dyDescent="0.3">
      <c r="A133" s="139"/>
      <c r="B133" s="139"/>
      <c r="C133" s="139"/>
      <c r="D133" s="139"/>
      <c r="E133" s="139"/>
      <c r="F133" s="139"/>
      <c r="G133" s="139"/>
      <c r="H133" s="139"/>
      <c r="I133" s="139"/>
      <c r="J133" s="139"/>
      <c r="K133" s="139"/>
      <c r="L133" s="139"/>
      <c r="M133" s="139"/>
      <c r="N133" s="139"/>
      <c r="O133" s="139"/>
      <c r="P133" s="139"/>
      <c r="Q133" s="139"/>
      <c r="R133" s="139"/>
    </row>
    <row r="134" spans="1:18" ht="15.6" x14ac:dyDescent="0.3">
      <c r="A134" s="139"/>
      <c r="B134" s="139"/>
      <c r="C134" s="139"/>
      <c r="D134" s="139"/>
      <c r="E134" s="139"/>
      <c r="F134" s="139"/>
      <c r="G134" s="139"/>
      <c r="H134" s="139"/>
      <c r="I134" s="139"/>
      <c r="J134" s="139"/>
      <c r="K134" s="139"/>
      <c r="L134" s="139"/>
      <c r="M134" s="139"/>
      <c r="N134" s="139"/>
      <c r="O134" s="139"/>
      <c r="P134" s="139"/>
      <c r="Q134" s="139"/>
      <c r="R134" s="139"/>
    </row>
    <row r="135" spans="1:18" ht="15.6" x14ac:dyDescent="0.3">
      <c r="A135" s="139"/>
      <c r="B135" s="139"/>
      <c r="C135" s="139"/>
      <c r="D135" s="139"/>
      <c r="E135" s="139"/>
      <c r="F135" s="139"/>
      <c r="G135" s="139"/>
      <c r="H135" s="139"/>
      <c r="I135" s="139"/>
      <c r="J135" s="139"/>
      <c r="K135" s="139"/>
      <c r="L135" s="139"/>
      <c r="M135" s="139"/>
      <c r="N135" s="139"/>
      <c r="O135" s="139"/>
      <c r="P135" s="139"/>
      <c r="Q135" s="139"/>
      <c r="R135" s="139"/>
    </row>
    <row r="136" spans="1:18" ht="15.6" x14ac:dyDescent="0.3">
      <c r="A136" s="139"/>
      <c r="B136" s="139"/>
      <c r="C136" s="139"/>
      <c r="D136" s="139"/>
      <c r="E136" s="139"/>
      <c r="F136" s="139"/>
      <c r="G136" s="139"/>
      <c r="H136" s="139"/>
      <c r="I136" s="139"/>
      <c r="J136" s="139"/>
      <c r="K136" s="139"/>
      <c r="L136" s="139"/>
      <c r="M136" s="139"/>
      <c r="N136" s="139"/>
      <c r="O136" s="139"/>
      <c r="P136" s="139"/>
      <c r="Q136" s="139"/>
      <c r="R136" s="139"/>
    </row>
    <row r="137" spans="1:18" ht="15.6" x14ac:dyDescent="0.3">
      <c r="A137" s="139"/>
      <c r="B137" s="139"/>
      <c r="C137" s="139"/>
      <c r="D137" s="139"/>
      <c r="E137" s="139"/>
      <c r="F137" s="139"/>
      <c r="G137" s="139"/>
      <c r="H137" s="139"/>
      <c r="I137" s="139"/>
      <c r="J137" s="139"/>
      <c r="K137" s="139"/>
      <c r="L137" s="139"/>
      <c r="M137" s="139"/>
      <c r="N137" s="139"/>
      <c r="O137" s="139"/>
      <c r="P137" s="139"/>
      <c r="Q137" s="139"/>
      <c r="R137" s="139"/>
    </row>
    <row r="138" spans="1:18" ht="15.6" x14ac:dyDescent="0.3">
      <c r="A138" s="139"/>
      <c r="B138" s="139"/>
      <c r="C138" s="139"/>
      <c r="D138" s="139"/>
      <c r="E138" s="139"/>
      <c r="F138" s="139"/>
      <c r="G138" s="139"/>
      <c r="H138" s="139"/>
      <c r="I138" s="139"/>
      <c r="J138" s="139"/>
      <c r="K138" s="139"/>
      <c r="L138" s="139"/>
      <c r="M138" s="139"/>
      <c r="N138" s="139"/>
      <c r="O138" s="139"/>
      <c r="P138" s="139"/>
      <c r="Q138" s="139"/>
      <c r="R138" s="139"/>
    </row>
    <row r="139" spans="1:18" ht="15.6" x14ac:dyDescent="0.3">
      <c r="A139" s="139"/>
      <c r="B139" s="139"/>
      <c r="C139" s="139"/>
      <c r="D139" s="139"/>
      <c r="E139" s="139"/>
      <c r="F139" s="139"/>
      <c r="G139" s="139"/>
      <c r="H139" s="139"/>
      <c r="I139" s="139"/>
      <c r="J139" s="139"/>
      <c r="K139" s="139"/>
      <c r="L139" s="139"/>
      <c r="M139" s="139"/>
      <c r="N139" s="139"/>
      <c r="O139" s="139"/>
      <c r="P139" s="139"/>
      <c r="Q139" s="139"/>
      <c r="R139" s="139"/>
    </row>
    <row r="140" spans="1:18" ht="15.6" x14ac:dyDescent="0.3">
      <c r="A140" s="139"/>
      <c r="B140" s="139"/>
      <c r="C140" s="139"/>
      <c r="D140" s="139"/>
      <c r="E140" s="139"/>
      <c r="F140" s="139"/>
      <c r="G140" s="139"/>
      <c r="H140" s="139"/>
      <c r="I140" s="139"/>
      <c r="J140" s="139"/>
      <c r="K140" s="139"/>
      <c r="L140" s="139"/>
      <c r="M140" s="139"/>
      <c r="N140" s="139"/>
      <c r="O140" s="139"/>
      <c r="P140" s="139"/>
      <c r="Q140" s="139"/>
      <c r="R140" s="139"/>
    </row>
    <row r="141" spans="1:18" ht="15.6" x14ac:dyDescent="0.3">
      <c r="A141" s="139"/>
      <c r="B141" s="139"/>
      <c r="C141" s="139"/>
      <c r="D141" s="139"/>
      <c r="E141" s="139"/>
      <c r="F141" s="139"/>
      <c r="G141" s="139"/>
      <c r="H141" s="139"/>
      <c r="I141" s="139"/>
      <c r="J141" s="139"/>
      <c r="K141" s="139"/>
      <c r="L141" s="139"/>
      <c r="M141" s="139"/>
      <c r="N141" s="139"/>
      <c r="O141" s="139"/>
      <c r="P141" s="139"/>
      <c r="Q141" s="139"/>
      <c r="R141" s="139"/>
    </row>
    <row r="142" spans="1:18" ht="15.6" x14ac:dyDescent="0.3">
      <c r="A142" s="139"/>
      <c r="B142" s="139"/>
      <c r="C142" s="139"/>
      <c r="D142" s="139"/>
      <c r="E142" s="139"/>
      <c r="F142" s="139"/>
      <c r="G142" s="139"/>
      <c r="H142" s="139"/>
      <c r="I142" s="139"/>
      <c r="J142" s="139"/>
      <c r="K142" s="139"/>
      <c r="L142" s="139"/>
      <c r="M142" s="139"/>
      <c r="N142" s="139"/>
      <c r="O142" s="139"/>
      <c r="P142" s="139"/>
      <c r="Q142" s="139"/>
      <c r="R142" s="139"/>
    </row>
    <row r="143" spans="1:18" ht="15.6" x14ac:dyDescent="0.3">
      <c r="A143" s="139"/>
      <c r="B143" s="139"/>
      <c r="C143" s="139"/>
      <c r="D143" s="139"/>
      <c r="E143" s="139"/>
      <c r="F143" s="139"/>
      <c r="G143" s="139"/>
      <c r="H143" s="139"/>
      <c r="I143" s="139"/>
      <c r="J143" s="139"/>
      <c r="K143" s="139"/>
      <c r="L143" s="139"/>
      <c r="M143" s="139"/>
      <c r="N143" s="139"/>
      <c r="O143" s="139"/>
      <c r="P143" s="139"/>
      <c r="Q143" s="139"/>
      <c r="R143" s="139"/>
    </row>
    <row r="144" spans="1:18" ht="15.6" x14ac:dyDescent="0.3">
      <c r="A144" s="139"/>
      <c r="B144" s="139"/>
      <c r="C144" s="139"/>
      <c r="D144" s="139"/>
      <c r="E144" s="139"/>
      <c r="F144" s="139"/>
      <c r="G144" s="139"/>
      <c r="H144" s="139"/>
      <c r="I144" s="139"/>
      <c r="J144" s="139"/>
      <c r="K144" s="139"/>
      <c r="L144" s="139"/>
      <c r="M144" s="139"/>
      <c r="N144" s="139"/>
      <c r="O144" s="139"/>
      <c r="P144" s="139"/>
      <c r="Q144" s="139"/>
      <c r="R144" s="139"/>
    </row>
    <row r="145" spans="1:18" ht="15.6" x14ac:dyDescent="0.3">
      <c r="A145" s="139"/>
      <c r="B145" s="139"/>
      <c r="C145" s="139"/>
      <c r="D145" s="139"/>
      <c r="E145" s="139"/>
      <c r="F145" s="139"/>
      <c r="G145" s="139"/>
      <c r="H145" s="139"/>
      <c r="I145" s="139"/>
      <c r="J145" s="139"/>
      <c r="K145" s="139"/>
      <c r="L145" s="139"/>
      <c r="M145" s="139"/>
      <c r="N145" s="139"/>
      <c r="O145" s="139"/>
      <c r="P145" s="139"/>
      <c r="Q145" s="139"/>
      <c r="R145" s="139"/>
    </row>
    <row r="146" spans="1:18" ht="15.6" x14ac:dyDescent="0.3">
      <c r="A146" s="139"/>
      <c r="B146" s="139"/>
      <c r="C146" s="139"/>
      <c r="D146" s="139"/>
      <c r="E146" s="139"/>
      <c r="F146" s="139"/>
      <c r="G146" s="139"/>
      <c r="H146" s="139"/>
      <c r="I146" s="139"/>
      <c r="J146" s="139"/>
      <c r="K146" s="139"/>
      <c r="L146" s="139"/>
      <c r="M146" s="139"/>
      <c r="N146" s="139"/>
      <c r="O146" s="139"/>
      <c r="P146" s="139"/>
      <c r="Q146" s="139"/>
      <c r="R146" s="139"/>
    </row>
    <row r="147" spans="1:18" ht="15.6" x14ac:dyDescent="0.3">
      <c r="A147" s="139"/>
      <c r="B147" s="139"/>
      <c r="C147" s="139"/>
      <c r="D147" s="139"/>
      <c r="E147" s="139"/>
      <c r="F147" s="139"/>
      <c r="G147" s="139"/>
      <c r="H147" s="139"/>
      <c r="I147" s="139"/>
      <c r="J147" s="139"/>
      <c r="K147" s="139"/>
      <c r="L147" s="139"/>
      <c r="M147" s="139"/>
      <c r="N147" s="139"/>
      <c r="O147" s="139"/>
      <c r="P147" s="139"/>
      <c r="Q147" s="139"/>
      <c r="R147" s="139"/>
    </row>
    <row r="148" spans="1:18" ht="15.6" x14ac:dyDescent="0.3">
      <c r="A148" s="139"/>
      <c r="B148" s="139"/>
      <c r="C148" s="139"/>
      <c r="D148" s="139"/>
      <c r="E148" s="139"/>
      <c r="F148" s="139"/>
      <c r="G148" s="139"/>
      <c r="H148" s="139"/>
      <c r="I148" s="139"/>
      <c r="J148" s="139"/>
      <c r="K148" s="139"/>
      <c r="L148" s="139"/>
      <c r="M148" s="139"/>
      <c r="N148" s="139"/>
      <c r="O148" s="139"/>
      <c r="P148" s="139"/>
      <c r="Q148" s="139"/>
      <c r="R148" s="139"/>
    </row>
    <row r="149" spans="1:18" ht="15.6" x14ac:dyDescent="0.3">
      <c r="A149" s="139"/>
      <c r="B149" s="139"/>
      <c r="C149" s="139"/>
      <c r="D149" s="139"/>
      <c r="E149" s="139"/>
      <c r="F149" s="139"/>
      <c r="G149" s="139"/>
      <c r="H149" s="139"/>
      <c r="I149" s="139"/>
      <c r="J149" s="139"/>
      <c r="K149" s="139"/>
      <c r="L149" s="139"/>
      <c r="M149" s="139"/>
      <c r="N149" s="139"/>
      <c r="O149" s="139"/>
      <c r="P149" s="139"/>
      <c r="Q149" s="139"/>
      <c r="R149" s="139"/>
    </row>
    <row r="150" spans="1:18" ht="15.6" x14ac:dyDescent="0.3">
      <c r="A150" s="139"/>
      <c r="B150" s="139"/>
      <c r="C150" s="139"/>
      <c r="D150" s="139"/>
      <c r="E150" s="139"/>
      <c r="F150" s="139"/>
      <c r="G150" s="139"/>
      <c r="H150" s="139"/>
      <c r="I150" s="139"/>
      <c r="J150" s="139"/>
      <c r="K150" s="139"/>
      <c r="L150" s="139"/>
      <c r="M150" s="139"/>
      <c r="N150" s="139"/>
      <c r="O150" s="139"/>
      <c r="P150" s="139"/>
      <c r="Q150" s="139"/>
      <c r="R150" s="139"/>
    </row>
    <row r="151" spans="1:18" ht="15.6" x14ac:dyDescent="0.3">
      <c r="A151" s="139"/>
      <c r="B151" s="139"/>
      <c r="C151" s="139"/>
      <c r="D151" s="139"/>
      <c r="E151" s="139"/>
      <c r="F151" s="139"/>
      <c r="G151" s="139"/>
      <c r="H151" s="139"/>
      <c r="I151" s="139"/>
      <c r="J151" s="139"/>
      <c r="K151" s="139"/>
      <c r="L151" s="139"/>
      <c r="M151" s="139"/>
      <c r="N151" s="139"/>
      <c r="O151" s="139"/>
      <c r="P151" s="139"/>
      <c r="Q151" s="139"/>
      <c r="R151" s="139"/>
    </row>
    <row r="152" spans="1:18" ht="15.6" x14ac:dyDescent="0.3">
      <c r="A152" s="139"/>
      <c r="B152" s="139"/>
      <c r="C152" s="139"/>
      <c r="D152" s="139"/>
      <c r="E152" s="139"/>
      <c r="F152" s="139"/>
      <c r="G152" s="139"/>
      <c r="H152" s="139"/>
      <c r="I152" s="139"/>
      <c r="J152" s="139"/>
      <c r="K152" s="139"/>
      <c r="L152" s="139"/>
      <c r="M152" s="139"/>
      <c r="N152" s="139"/>
      <c r="O152" s="139"/>
      <c r="P152" s="139"/>
      <c r="Q152" s="139"/>
      <c r="R152" s="139"/>
    </row>
    <row r="153" spans="1:18" ht="15.6" x14ac:dyDescent="0.3">
      <c r="A153" s="139"/>
      <c r="B153" s="139"/>
      <c r="C153" s="139"/>
      <c r="D153" s="139"/>
      <c r="E153" s="139"/>
      <c r="F153" s="139"/>
      <c r="G153" s="139"/>
      <c r="H153" s="139"/>
      <c r="I153" s="139"/>
      <c r="J153" s="139"/>
      <c r="K153" s="139"/>
      <c r="L153" s="139"/>
      <c r="M153" s="139"/>
      <c r="N153" s="139"/>
      <c r="O153" s="139"/>
      <c r="P153" s="139"/>
      <c r="Q153" s="139"/>
      <c r="R153" s="139"/>
    </row>
    <row r="154" spans="1:18" ht="15.6" x14ac:dyDescent="0.3">
      <c r="A154" s="139"/>
      <c r="B154" s="139"/>
      <c r="C154" s="139"/>
      <c r="D154" s="139"/>
      <c r="E154" s="139"/>
      <c r="F154" s="139"/>
      <c r="G154" s="139"/>
      <c r="H154" s="139"/>
      <c r="I154" s="139"/>
      <c r="J154" s="139"/>
      <c r="K154" s="139"/>
      <c r="L154" s="139"/>
      <c r="M154" s="139"/>
      <c r="N154" s="139"/>
      <c r="O154" s="139"/>
      <c r="P154" s="139"/>
      <c r="Q154" s="139"/>
      <c r="R154" s="139"/>
    </row>
    <row r="155" spans="1:18" ht="15.6" x14ac:dyDescent="0.3">
      <c r="A155" s="139"/>
      <c r="B155" s="139"/>
      <c r="C155" s="139"/>
      <c r="D155" s="139"/>
      <c r="E155" s="139"/>
      <c r="F155" s="139"/>
      <c r="G155" s="139"/>
      <c r="H155" s="139"/>
      <c r="I155" s="139"/>
      <c r="J155" s="139"/>
      <c r="K155" s="139"/>
      <c r="L155" s="139"/>
      <c r="M155" s="139"/>
      <c r="N155" s="139"/>
      <c r="O155" s="139"/>
      <c r="P155" s="139"/>
      <c r="Q155" s="139"/>
      <c r="R155" s="139"/>
    </row>
    <row r="156" spans="1:18" ht="15.6" x14ac:dyDescent="0.3">
      <c r="A156" s="139"/>
      <c r="B156" s="139"/>
      <c r="C156" s="139"/>
      <c r="D156" s="139"/>
      <c r="E156" s="139"/>
      <c r="F156" s="139"/>
      <c r="G156" s="139"/>
      <c r="H156" s="139"/>
      <c r="I156" s="139"/>
      <c r="J156" s="139"/>
      <c r="K156" s="139"/>
      <c r="L156" s="139"/>
      <c r="M156" s="139"/>
      <c r="N156" s="139"/>
      <c r="O156" s="139"/>
      <c r="P156" s="139"/>
      <c r="Q156" s="139"/>
      <c r="R156" s="139"/>
    </row>
    <row r="157" spans="1:18" ht="15.6" x14ac:dyDescent="0.3">
      <c r="A157" s="139"/>
      <c r="B157" s="139"/>
      <c r="C157" s="139"/>
      <c r="D157" s="139"/>
      <c r="E157" s="139"/>
      <c r="F157" s="139"/>
      <c r="G157" s="139"/>
      <c r="H157" s="139"/>
      <c r="I157" s="139"/>
      <c r="J157" s="139"/>
      <c r="K157" s="139"/>
      <c r="L157" s="139"/>
      <c r="M157" s="139"/>
      <c r="N157" s="139"/>
      <c r="O157" s="139"/>
      <c r="P157" s="139"/>
      <c r="Q157" s="139"/>
      <c r="R157" s="139"/>
    </row>
    <row r="158" spans="1:18" ht="15.6" x14ac:dyDescent="0.3">
      <c r="A158" s="139"/>
      <c r="B158" s="139"/>
      <c r="C158" s="139"/>
      <c r="D158" s="139"/>
      <c r="E158" s="139"/>
      <c r="F158" s="139"/>
      <c r="G158" s="139"/>
      <c r="H158" s="139"/>
      <c r="I158" s="139"/>
      <c r="J158" s="139"/>
      <c r="K158" s="139"/>
      <c r="L158" s="139"/>
      <c r="M158" s="139"/>
      <c r="N158" s="139"/>
      <c r="O158" s="139"/>
      <c r="P158" s="139"/>
      <c r="Q158" s="139"/>
      <c r="R158" s="139"/>
    </row>
    <row r="159" spans="1:18" ht="15.6" x14ac:dyDescent="0.3">
      <c r="A159" s="139"/>
      <c r="B159" s="139"/>
      <c r="C159" s="139"/>
      <c r="D159" s="139"/>
      <c r="E159" s="139"/>
      <c r="F159" s="139"/>
      <c r="G159" s="139"/>
      <c r="H159" s="139"/>
      <c r="I159" s="139"/>
      <c r="J159" s="139"/>
      <c r="K159" s="139"/>
      <c r="L159" s="139"/>
      <c r="M159" s="139"/>
      <c r="N159" s="139"/>
      <c r="O159" s="139"/>
      <c r="P159" s="139"/>
      <c r="Q159" s="139"/>
      <c r="R159" s="139"/>
    </row>
    <row r="160" spans="1:18" ht="15.6" x14ac:dyDescent="0.3">
      <c r="A160" s="139"/>
      <c r="B160" s="139"/>
      <c r="C160" s="139"/>
      <c r="D160" s="139"/>
      <c r="E160" s="139"/>
      <c r="F160" s="139"/>
      <c r="G160" s="139"/>
      <c r="H160" s="139"/>
      <c r="I160" s="139"/>
      <c r="J160" s="139"/>
      <c r="K160" s="139"/>
      <c r="L160" s="139"/>
      <c r="M160" s="139"/>
      <c r="N160" s="139"/>
      <c r="O160" s="139"/>
      <c r="P160" s="139"/>
      <c r="Q160" s="139"/>
      <c r="R160" s="139"/>
    </row>
    <row r="161" spans="1:18" ht="15.6" x14ac:dyDescent="0.3">
      <c r="A161" s="139"/>
      <c r="B161" s="139"/>
      <c r="C161" s="139"/>
      <c r="D161" s="139"/>
      <c r="E161" s="139"/>
      <c r="F161" s="139"/>
      <c r="G161" s="139"/>
      <c r="H161" s="139"/>
      <c r="I161" s="139"/>
      <c r="J161" s="139"/>
      <c r="K161" s="139"/>
      <c r="L161" s="139"/>
      <c r="M161" s="139"/>
      <c r="N161" s="139"/>
      <c r="O161" s="139"/>
      <c r="P161" s="139"/>
      <c r="Q161" s="139"/>
      <c r="R161" s="139"/>
    </row>
    <row r="162" spans="1:18" ht="15.6" x14ac:dyDescent="0.3">
      <c r="A162" s="139"/>
      <c r="B162" s="139"/>
      <c r="C162" s="139"/>
      <c r="D162" s="139"/>
      <c r="E162" s="139"/>
      <c r="F162" s="139"/>
      <c r="G162" s="139"/>
      <c r="H162" s="139"/>
      <c r="I162" s="139"/>
      <c r="J162" s="139"/>
      <c r="K162" s="139"/>
      <c r="L162" s="139"/>
      <c r="M162" s="139"/>
      <c r="N162" s="139"/>
      <c r="O162" s="139"/>
      <c r="P162" s="139"/>
      <c r="Q162" s="139"/>
      <c r="R162" s="139"/>
    </row>
    <row r="163" spans="1:18" ht="15.6" x14ac:dyDescent="0.3">
      <c r="A163" s="139"/>
      <c r="B163" s="139"/>
      <c r="C163" s="139"/>
      <c r="D163" s="139"/>
      <c r="E163" s="139"/>
      <c r="F163" s="139"/>
      <c r="G163" s="139"/>
      <c r="H163" s="139"/>
      <c r="I163" s="139"/>
      <c r="J163" s="139"/>
      <c r="K163" s="139"/>
      <c r="L163" s="139"/>
      <c r="M163" s="139"/>
      <c r="N163" s="139"/>
      <c r="O163" s="139"/>
      <c r="P163" s="139"/>
      <c r="Q163" s="139"/>
      <c r="R163" s="139"/>
    </row>
    <row r="164" spans="1:18" ht="15.6" x14ac:dyDescent="0.3">
      <c r="A164" s="139"/>
      <c r="B164" s="139"/>
      <c r="C164" s="139"/>
      <c r="D164" s="139"/>
      <c r="E164" s="139"/>
      <c r="F164" s="139"/>
      <c r="G164" s="139"/>
      <c r="H164" s="139"/>
      <c r="I164" s="139"/>
      <c r="J164" s="139"/>
      <c r="K164" s="139"/>
      <c r="L164" s="139"/>
      <c r="M164" s="139"/>
      <c r="N164" s="139"/>
      <c r="O164" s="139"/>
      <c r="P164" s="139"/>
      <c r="Q164" s="139"/>
      <c r="R164" s="139"/>
    </row>
    <row r="165" spans="1:18" ht="15.6" x14ac:dyDescent="0.3">
      <c r="A165" s="139"/>
      <c r="B165" s="139"/>
      <c r="C165" s="139"/>
      <c r="D165" s="139"/>
      <c r="E165" s="139"/>
      <c r="F165" s="139"/>
      <c r="G165" s="139"/>
      <c r="H165" s="139"/>
      <c r="I165" s="139"/>
      <c r="J165" s="139"/>
      <c r="K165" s="139"/>
      <c r="L165" s="139"/>
      <c r="M165" s="139"/>
      <c r="N165" s="139"/>
      <c r="O165" s="139"/>
      <c r="P165" s="139"/>
      <c r="Q165" s="139"/>
      <c r="R165" s="139"/>
    </row>
    <row r="166" spans="1:18" ht="15.6" x14ac:dyDescent="0.3">
      <c r="A166" s="139"/>
      <c r="B166" s="139"/>
      <c r="C166" s="139"/>
      <c r="D166" s="139"/>
      <c r="E166" s="139"/>
      <c r="F166" s="139"/>
      <c r="G166" s="139"/>
      <c r="H166" s="139"/>
      <c r="I166" s="139"/>
      <c r="J166" s="139"/>
      <c r="K166" s="139"/>
      <c r="L166" s="139"/>
      <c r="M166" s="139"/>
      <c r="N166" s="139"/>
      <c r="O166" s="139"/>
      <c r="P166" s="139"/>
      <c r="Q166" s="139"/>
      <c r="R166" s="139"/>
    </row>
    <row r="167" spans="1:18" ht="15.6" x14ac:dyDescent="0.3">
      <c r="A167" s="139"/>
      <c r="B167" s="139"/>
      <c r="C167" s="139"/>
      <c r="D167" s="139"/>
      <c r="E167" s="139"/>
      <c r="F167" s="139"/>
      <c r="G167" s="139"/>
      <c r="H167" s="139"/>
      <c r="I167" s="139"/>
      <c r="J167" s="139"/>
      <c r="K167" s="139"/>
      <c r="L167" s="139"/>
      <c r="M167" s="139"/>
      <c r="N167" s="139"/>
      <c r="O167" s="139"/>
      <c r="P167" s="139"/>
      <c r="Q167" s="139"/>
      <c r="R167" s="139"/>
    </row>
    <row r="168" spans="1:18" ht="15.6" x14ac:dyDescent="0.3">
      <c r="A168" s="139"/>
      <c r="B168" s="139"/>
      <c r="C168" s="139"/>
      <c r="D168" s="139"/>
      <c r="E168" s="139"/>
      <c r="F168" s="139"/>
      <c r="G168" s="139"/>
      <c r="H168" s="139"/>
      <c r="I168" s="139"/>
      <c r="J168" s="139"/>
      <c r="K168" s="139"/>
      <c r="L168" s="139"/>
      <c r="M168" s="139"/>
      <c r="N168" s="139"/>
      <c r="O168" s="139"/>
      <c r="P168" s="139"/>
      <c r="Q168" s="139"/>
      <c r="R168" s="139"/>
    </row>
    <row r="169" spans="1:18" ht="15.6" x14ac:dyDescent="0.3">
      <c r="A169" s="139"/>
      <c r="B169" s="139"/>
      <c r="C169" s="139"/>
      <c r="D169" s="139"/>
      <c r="E169" s="139"/>
      <c r="F169" s="139"/>
      <c r="G169" s="139"/>
      <c r="H169" s="139"/>
      <c r="I169" s="139"/>
      <c r="J169" s="139"/>
      <c r="K169" s="139"/>
      <c r="L169" s="139"/>
      <c r="M169" s="139"/>
      <c r="N169" s="139"/>
      <c r="O169" s="139"/>
      <c r="P169" s="139"/>
      <c r="Q169" s="139"/>
      <c r="R169" s="139"/>
    </row>
    <row r="170" spans="1:18" ht="15.6" x14ac:dyDescent="0.3">
      <c r="A170" s="139"/>
      <c r="B170" s="139"/>
      <c r="C170" s="139"/>
      <c r="D170" s="139"/>
      <c r="E170" s="139"/>
      <c r="F170" s="139"/>
      <c r="G170" s="139"/>
      <c r="H170" s="139"/>
      <c r="I170" s="139"/>
      <c r="J170" s="139"/>
      <c r="K170" s="139"/>
      <c r="L170" s="139"/>
      <c r="M170" s="139"/>
      <c r="N170" s="139"/>
      <c r="O170" s="139"/>
      <c r="P170" s="139"/>
      <c r="Q170" s="139"/>
      <c r="R170" s="139"/>
    </row>
    <row r="171" spans="1:18" ht="15.6" x14ac:dyDescent="0.3">
      <c r="A171" s="139"/>
      <c r="B171" s="139"/>
      <c r="C171" s="139"/>
      <c r="D171" s="139"/>
      <c r="E171" s="139"/>
      <c r="F171" s="139"/>
      <c r="G171" s="139"/>
      <c r="H171" s="139"/>
      <c r="I171" s="139"/>
      <c r="J171" s="139"/>
      <c r="K171" s="139"/>
      <c r="L171" s="139"/>
      <c r="M171" s="139"/>
      <c r="N171" s="139"/>
      <c r="O171" s="139"/>
      <c r="P171" s="139"/>
      <c r="Q171" s="139"/>
      <c r="R171" s="139"/>
    </row>
    <row r="172" spans="1:18" ht="15.6" x14ac:dyDescent="0.3">
      <c r="A172" s="139"/>
      <c r="B172" s="139"/>
      <c r="C172" s="139"/>
      <c r="D172" s="139"/>
      <c r="E172" s="139"/>
      <c r="F172" s="139"/>
      <c r="G172" s="139"/>
      <c r="H172" s="139"/>
      <c r="I172" s="139"/>
      <c r="J172" s="139"/>
      <c r="K172" s="139"/>
      <c r="L172" s="139"/>
      <c r="M172" s="139"/>
      <c r="N172" s="139"/>
      <c r="O172" s="139"/>
      <c r="P172" s="139"/>
      <c r="Q172" s="139"/>
      <c r="R172" s="139"/>
    </row>
    <row r="173" spans="1:18" ht="15.6" x14ac:dyDescent="0.3">
      <c r="A173" s="139"/>
      <c r="B173" s="139"/>
      <c r="C173" s="139"/>
      <c r="D173" s="139"/>
      <c r="E173" s="139"/>
      <c r="F173" s="139"/>
      <c r="G173" s="139"/>
      <c r="H173" s="139"/>
      <c r="I173" s="139"/>
      <c r="J173" s="139"/>
      <c r="K173" s="139"/>
      <c r="L173" s="139"/>
      <c r="M173" s="139"/>
      <c r="N173" s="139"/>
      <c r="O173" s="139"/>
      <c r="P173" s="139"/>
      <c r="Q173" s="139"/>
      <c r="R173" s="139"/>
    </row>
    <row r="174" spans="1:18" ht="15.6" x14ac:dyDescent="0.3">
      <c r="A174" s="139"/>
      <c r="B174" s="139"/>
      <c r="C174" s="139"/>
      <c r="D174" s="139"/>
      <c r="E174" s="139"/>
      <c r="F174" s="139"/>
      <c r="G174" s="139"/>
      <c r="H174" s="139"/>
      <c r="I174" s="139"/>
      <c r="J174" s="139"/>
      <c r="K174" s="139"/>
      <c r="L174" s="139"/>
      <c r="M174" s="139"/>
      <c r="N174" s="139"/>
      <c r="O174" s="139"/>
      <c r="P174" s="139"/>
      <c r="Q174" s="139"/>
      <c r="R174" s="139"/>
    </row>
    <row r="175" spans="1:18" ht="15.6" x14ac:dyDescent="0.3">
      <c r="A175" s="139"/>
      <c r="B175" s="139"/>
      <c r="C175" s="139"/>
      <c r="D175" s="139"/>
      <c r="E175" s="139"/>
      <c r="F175" s="139"/>
      <c r="G175" s="139"/>
      <c r="H175" s="139"/>
      <c r="I175" s="139"/>
      <c r="J175" s="139"/>
      <c r="K175" s="139"/>
      <c r="L175" s="139"/>
      <c r="M175" s="139"/>
      <c r="N175" s="139"/>
      <c r="O175" s="139"/>
      <c r="P175" s="139"/>
      <c r="Q175" s="139"/>
      <c r="R175" s="139"/>
    </row>
    <row r="176" spans="1:18" ht="15.6" x14ac:dyDescent="0.3">
      <c r="A176" s="139"/>
      <c r="B176" s="139"/>
      <c r="C176" s="139"/>
      <c r="D176" s="139"/>
      <c r="E176" s="139"/>
      <c r="F176" s="139"/>
      <c r="G176" s="139"/>
      <c r="H176" s="139"/>
      <c r="I176" s="139"/>
      <c r="J176" s="139"/>
      <c r="K176" s="139"/>
      <c r="L176" s="139"/>
      <c r="M176" s="139"/>
      <c r="N176" s="139"/>
      <c r="O176" s="139"/>
      <c r="P176" s="139"/>
      <c r="Q176" s="139"/>
      <c r="R176" s="139"/>
    </row>
    <row r="177" spans="1:18" ht="15.6" x14ac:dyDescent="0.3">
      <c r="A177" s="139"/>
      <c r="B177" s="139"/>
      <c r="C177" s="139"/>
      <c r="D177" s="139"/>
      <c r="E177" s="139"/>
      <c r="F177" s="139"/>
      <c r="G177" s="139"/>
      <c r="H177" s="139"/>
      <c r="I177" s="139"/>
      <c r="J177" s="139"/>
      <c r="K177" s="139"/>
      <c r="L177" s="139"/>
      <c r="M177" s="139"/>
      <c r="N177" s="139"/>
      <c r="O177" s="139"/>
      <c r="P177" s="139"/>
      <c r="Q177" s="139"/>
      <c r="R177" s="139"/>
    </row>
    <row r="178" spans="1:18" ht="15.6" x14ac:dyDescent="0.3">
      <c r="A178" s="139"/>
      <c r="B178" s="139"/>
      <c r="C178" s="139"/>
      <c r="D178" s="139"/>
      <c r="E178" s="139"/>
      <c r="F178" s="139"/>
      <c r="G178" s="139"/>
      <c r="H178" s="139"/>
      <c r="I178" s="139"/>
      <c r="J178" s="139"/>
      <c r="K178" s="139"/>
      <c r="L178" s="139"/>
      <c r="M178" s="139"/>
      <c r="N178" s="139"/>
      <c r="O178" s="139"/>
      <c r="P178" s="139"/>
      <c r="Q178" s="139"/>
      <c r="R178" s="139"/>
    </row>
    <row r="179" spans="1:18" ht="15.6" x14ac:dyDescent="0.3">
      <c r="A179" s="139"/>
      <c r="B179" s="139"/>
      <c r="C179" s="139"/>
      <c r="D179" s="139"/>
      <c r="E179" s="139"/>
      <c r="F179" s="139"/>
      <c r="G179" s="139"/>
      <c r="H179" s="139"/>
      <c r="I179" s="139"/>
      <c r="J179" s="139"/>
      <c r="K179" s="139"/>
      <c r="L179" s="139"/>
      <c r="M179" s="139"/>
      <c r="N179" s="139"/>
      <c r="O179" s="139"/>
      <c r="P179" s="139"/>
      <c r="Q179" s="139"/>
      <c r="R179" s="139"/>
    </row>
    <row r="180" spans="1:18" ht="15.6" x14ac:dyDescent="0.3">
      <c r="A180" s="139"/>
      <c r="B180" s="139"/>
      <c r="C180" s="139"/>
      <c r="D180" s="139"/>
      <c r="E180" s="139"/>
      <c r="F180" s="139"/>
      <c r="G180" s="139"/>
      <c r="H180" s="139"/>
      <c r="I180" s="139"/>
      <c r="J180" s="139"/>
      <c r="K180" s="139"/>
      <c r="L180" s="139"/>
      <c r="M180" s="139"/>
      <c r="N180" s="139"/>
      <c r="O180" s="139"/>
      <c r="P180" s="139"/>
      <c r="Q180" s="139"/>
      <c r="R180" s="139"/>
    </row>
    <row r="181" spans="1:18" ht="15.6" x14ac:dyDescent="0.3">
      <c r="A181" s="139"/>
      <c r="B181" s="139"/>
      <c r="C181" s="139"/>
      <c r="D181" s="139"/>
      <c r="E181" s="139"/>
      <c r="F181" s="139"/>
      <c r="G181" s="139"/>
      <c r="H181" s="139"/>
      <c r="I181" s="139"/>
      <c r="J181" s="139"/>
      <c r="K181" s="139"/>
      <c r="L181" s="139"/>
      <c r="M181" s="139"/>
      <c r="N181" s="139"/>
      <c r="O181" s="139"/>
      <c r="P181" s="139"/>
      <c r="Q181" s="139"/>
      <c r="R181" s="139"/>
    </row>
    <row r="182" spans="1:18" ht="15.6" x14ac:dyDescent="0.3">
      <c r="A182" s="139"/>
      <c r="B182" s="139"/>
      <c r="C182" s="139"/>
      <c r="D182" s="139"/>
      <c r="E182" s="139"/>
      <c r="F182" s="139"/>
      <c r="G182" s="139"/>
      <c r="H182" s="139"/>
      <c r="I182" s="139"/>
      <c r="J182" s="139"/>
      <c r="K182" s="139"/>
      <c r="L182" s="139"/>
      <c r="M182" s="139"/>
      <c r="N182" s="139"/>
      <c r="O182" s="139"/>
      <c r="P182" s="139"/>
      <c r="Q182" s="139"/>
      <c r="R182" s="139"/>
    </row>
    <row r="183" spans="1:18" ht="15.6" x14ac:dyDescent="0.3">
      <c r="A183" s="139"/>
      <c r="B183" s="139"/>
      <c r="C183" s="139"/>
      <c r="D183" s="139"/>
      <c r="E183" s="139"/>
      <c r="F183" s="139"/>
      <c r="G183" s="139"/>
      <c r="H183" s="139"/>
      <c r="I183" s="139"/>
      <c r="J183" s="139"/>
      <c r="K183" s="139"/>
      <c r="L183" s="139"/>
      <c r="M183" s="139"/>
      <c r="N183" s="139"/>
      <c r="O183" s="139"/>
      <c r="P183" s="139"/>
      <c r="Q183" s="139"/>
      <c r="R183" s="139"/>
    </row>
    <row r="184" spans="1:18" ht="15.6" x14ac:dyDescent="0.3">
      <c r="A184" s="139"/>
      <c r="B184" s="139"/>
      <c r="C184" s="139"/>
      <c r="D184" s="139"/>
      <c r="E184" s="139"/>
      <c r="F184" s="139"/>
      <c r="G184" s="139"/>
      <c r="H184" s="139"/>
      <c r="I184" s="139"/>
      <c r="J184" s="139"/>
      <c r="K184" s="139"/>
      <c r="L184" s="139"/>
      <c r="M184" s="139"/>
      <c r="N184" s="139"/>
      <c r="O184" s="139"/>
      <c r="P184" s="139"/>
      <c r="Q184" s="139"/>
      <c r="R184" s="139"/>
    </row>
    <row r="185" spans="1:18" ht="15.6" x14ac:dyDescent="0.3">
      <c r="A185" s="139"/>
      <c r="B185" s="139"/>
      <c r="C185" s="139"/>
      <c r="D185" s="139"/>
      <c r="E185" s="139"/>
      <c r="F185" s="139"/>
      <c r="G185" s="139"/>
      <c r="H185" s="139"/>
      <c r="I185" s="139"/>
      <c r="J185" s="139"/>
      <c r="K185" s="139"/>
      <c r="L185" s="139"/>
      <c r="M185" s="139"/>
      <c r="N185" s="139"/>
      <c r="O185" s="139"/>
      <c r="P185" s="139"/>
      <c r="Q185" s="139"/>
      <c r="R185" s="139"/>
    </row>
    <row r="186" spans="1:18" ht="15.6" x14ac:dyDescent="0.3">
      <c r="A186" s="139"/>
      <c r="B186" s="139"/>
      <c r="C186" s="139"/>
      <c r="D186" s="139"/>
      <c r="E186" s="139"/>
      <c r="F186" s="139"/>
      <c r="G186" s="139"/>
      <c r="H186" s="139"/>
      <c r="I186" s="139"/>
      <c r="J186" s="139"/>
      <c r="K186" s="139"/>
      <c r="L186" s="139"/>
      <c r="M186" s="139"/>
      <c r="N186" s="139"/>
      <c r="O186" s="139"/>
      <c r="P186" s="139"/>
      <c r="Q186" s="139"/>
      <c r="R186" s="139"/>
    </row>
    <row r="187" spans="1:18" ht="15.6" x14ac:dyDescent="0.3">
      <c r="A187" s="139"/>
      <c r="B187" s="139"/>
      <c r="C187" s="139"/>
      <c r="D187" s="139"/>
      <c r="E187" s="139"/>
      <c r="F187" s="139"/>
      <c r="G187" s="139"/>
      <c r="H187" s="139"/>
      <c r="I187" s="139"/>
      <c r="J187" s="139"/>
      <c r="K187" s="139"/>
      <c r="L187" s="139"/>
      <c r="M187" s="139"/>
      <c r="N187" s="139"/>
      <c r="O187" s="139"/>
      <c r="P187" s="139"/>
      <c r="Q187" s="139"/>
      <c r="R187" s="139"/>
    </row>
    <row r="188" spans="1:18" ht="15.6" x14ac:dyDescent="0.3">
      <c r="A188" s="139"/>
      <c r="B188" s="139"/>
      <c r="C188" s="139"/>
      <c r="D188" s="139"/>
      <c r="E188" s="139"/>
      <c r="F188" s="139"/>
      <c r="G188" s="139"/>
      <c r="H188" s="139"/>
      <c r="I188" s="139"/>
      <c r="J188" s="139"/>
      <c r="K188" s="139"/>
      <c r="L188" s="139"/>
      <c r="M188" s="139"/>
      <c r="N188" s="139"/>
      <c r="O188" s="139"/>
      <c r="P188" s="139"/>
      <c r="Q188" s="139"/>
      <c r="R188" s="139"/>
    </row>
    <row r="189" spans="1:18" ht="15.6" x14ac:dyDescent="0.3">
      <c r="A189" s="139"/>
      <c r="B189" s="139"/>
      <c r="C189" s="139"/>
      <c r="D189" s="139"/>
      <c r="E189" s="139"/>
      <c r="F189" s="139"/>
      <c r="G189" s="139"/>
      <c r="H189" s="139"/>
      <c r="I189" s="139"/>
      <c r="J189" s="139"/>
      <c r="K189" s="139"/>
      <c r="L189" s="139"/>
      <c r="M189" s="139"/>
      <c r="N189" s="139"/>
      <c r="O189" s="139"/>
      <c r="P189" s="139"/>
      <c r="Q189" s="139"/>
      <c r="R189" s="139"/>
    </row>
    <row r="190" spans="1:18" ht="15.6" x14ac:dyDescent="0.3">
      <c r="A190" s="139"/>
      <c r="B190" s="139"/>
      <c r="C190" s="139"/>
      <c r="D190" s="139"/>
      <c r="E190" s="139"/>
      <c r="F190" s="139"/>
      <c r="G190" s="139"/>
      <c r="H190" s="139"/>
      <c r="I190" s="139"/>
      <c r="J190" s="139"/>
      <c r="K190" s="139"/>
      <c r="L190" s="139"/>
      <c r="M190" s="139"/>
      <c r="N190" s="139"/>
      <c r="O190" s="139"/>
      <c r="P190" s="139"/>
      <c r="Q190" s="139"/>
      <c r="R190" s="139"/>
    </row>
    <row r="191" spans="1:18" ht="15.6" x14ac:dyDescent="0.3">
      <c r="A191" s="139"/>
      <c r="B191" s="139"/>
      <c r="C191" s="139"/>
      <c r="D191" s="139"/>
      <c r="E191" s="139"/>
      <c r="F191" s="139"/>
      <c r="G191" s="139"/>
      <c r="H191" s="139"/>
      <c r="I191" s="139"/>
      <c r="J191" s="139"/>
      <c r="K191" s="139"/>
      <c r="L191" s="139"/>
      <c r="M191" s="139"/>
      <c r="N191" s="139"/>
      <c r="O191" s="139"/>
      <c r="P191" s="139"/>
      <c r="Q191" s="139"/>
      <c r="R191" s="139"/>
    </row>
    <row r="192" spans="1:18" ht="15.6" x14ac:dyDescent="0.3">
      <c r="A192" s="139"/>
      <c r="B192" s="139"/>
      <c r="C192" s="139"/>
      <c r="D192" s="139"/>
      <c r="E192" s="139"/>
      <c r="F192" s="139"/>
      <c r="G192" s="139"/>
      <c r="H192" s="139"/>
      <c r="I192" s="139"/>
      <c r="J192" s="139"/>
      <c r="K192" s="139"/>
      <c r="L192" s="139"/>
      <c r="M192" s="139"/>
      <c r="N192" s="139"/>
      <c r="O192" s="139"/>
      <c r="P192" s="139"/>
      <c r="Q192" s="139"/>
      <c r="R192" s="139"/>
    </row>
    <row r="193" spans="1:18" ht="15.6" x14ac:dyDescent="0.3">
      <c r="A193" s="139"/>
      <c r="B193" s="139"/>
      <c r="C193" s="139"/>
      <c r="D193" s="139"/>
      <c r="E193" s="139"/>
      <c r="F193" s="139"/>
      <c r="G193" s="139"/>
      <c r="H193" s="139"/>
      <c r="I193" s="139"/>
      <c r="J193" s="139"/>
      <c r="K193" s="139"/>
      <c r="L193" s="139"/>
      <c r="M193" s="139"/>
      <c r="N193" s="139"/>
      <c r="O193" s="139"/>
      <c r="P193" s="139"/>
      <c r="Q193" s="139"/>
      <c r="R193" s="139"/>
    </row>
    <row r="194" spans="1:18" ht="15.6" x14ac:dyDescent="0.3">
      <c r="A194" s="139"/>
      <c r="B194" s="139"/>
      <c r="C194" s="139"/>
      <c r="D194" s="139"/>
      <c r="E194" s="139"/>
      <c r="F194" s="139"/>
      <c r="G194" s="139"/>
      <c r="H194" s="139"/>
      <c r="I194" s="139"/>
      <c r="J194" s="139"/>
      <c r="K194" s="139"/>
      <c r="L194" s="139"/>
      <c r="M194" s="139"/>
      <c r="N194" s="139"/>
      <c r="O194" s="139"/>
      <c r="P194" s="139"/>
      <c r="Q194" s="139"/>
      <c r="R194" s="139"/>
    </row>
    <row r="195" spans="1:18" ht="15.6" x14ac:dyDescent="0.3">
      <c r="A195" s="139"/>
      <c r="B195" s="139"/>
      <c r="C195" s="139"/>
      <c r="D195" s="139"/>
      <c r="E195" s="139"/>
      <c r="F195" s="139"/>
      <c r="G195" s="139"/>
      <c r="H195" s="139"/>
      <c r="I195" s="139"/>
      <c r="J195" s="139"/>
      <c r="K195" s="139"/>
      <c r="L195" s="139"/>
      <c r="M195" s="139"/>
      <c r="N195" s="139"/>
      <c r="O195" s="139"/>
      <c r="P195" s="139"/>
      <c r="Q195" s="139"/>
      <c r="R195" s="139"/>
    </row>
    <row r="196" spans="1:18" ht="15.6" x14ac:dyDescent="0.3">
      <c r="A196" s="139"/>
      <c r="B196" s="139"/>
      <c r="C196" s="139"/>
      <c r="D196" s="139"/>
      <c r="E196" s="139"/>
      <c r="F196" s="139"/>
      <c r="G196" s="139"/>
      <c r="H196" s="139"/>
      <c r="I196" s="139"/>
      <c r="J196" s="139"/>
      <c r="K196" s="139"/>
      <c r="L196" s="139"/>
      <c r="M196" s="139"/>
      <c r="N196" s="139"/>
      <c r="O196" s="139"/>
      <c r="P196" s="139"/>
      <c r="Q196" s="139"/>
      <c r="R196" s="139"/>
    </row>
    <row r="197" spans="1:18" ht="15.6" x14ac:dyDescent="0.3">
      <c r="A197" s="139"/>
      <c r="B197" s="139"/>
      <c r="C197" s="139"/>
      <c r="D197" s="139"/>
      <c r="E197" s="139"/>
      <c r="F197" s="139"/>
      <c r="G197" s="139"/>
      <c r="H197" s="139"/>
      <c r="I197" s="139"/>
      <c r="J197" s="139"/>
      <c r="K197" s="139"/>
      <c r="L197" s="139"/>
      <c r="M197" s="139"/>
      <c r="N197" s="139"/>
      <c r="O197" s="139"/>
      <c r="P197" s="139"/>
      <c r="Q197" s="139"/>
      <c r="R197" s="139"/>
    </row>
    <row r="198" spans="1:18" ht="15.6" x14ac:dyDescent="0.3">
      <c r="A198" s="139"/>
      <c r="B198" s="139"/>
      <c r="C198" s="139"/>
      <c r="D198" s="139"/>
      <c r="E198" s="139"/>
      <c r="F198" s="139"/>
      <c r="G198" s="139"/>
      <c r="H198" s="139"/>
      <c r="I198" s="139"/>
      <c r="J198" s="139"/>
      <c r="K198" s="139"/>
      <c r="L198" s="139"/>
      <c r="M198" s="139"/>
      <c r="N198" s="139"/>
      <c r="O198" s="139"/>
      <c r="P198" s="139"/>
      <c r="Q198" s="139"/>
      <c r="R198" s="139"/>
    </row>
    <row r="199" spans="1:18" ht="15.6" x14ac:dyDescent="0.3">
      <c r="A199" s="139"/>
      <c r="B199" s="139"/>
      <c r="C199" s="139"/>
      <c r="D199" s="139"/>
      <c r="E199" s="139"/>
      <c r="F199" s="139"/>
      <c r="G199" s="139"/>
      <c r="H199" s="139"/>
      <c r="I199" s="139"/>
      <c r="J199" s="139"/>
      <c r="K199" s="139"/>
      <c r="L199" s="139"/>
      <c r="M199" s="139"/>
      <c r="N199" s="139"/>
      <c r="O199" s="139"/>
      <c r="P199" s="139"/>
      <c r="Q199" s="139"/>
      <c r="R199" s="139"/>
    </row>
    <row r="200" spans="1:18" ht="15.6" x14ac:dyDescent="0.3">
      <c r="A200" s="139"/>
      <c r="B200" s="139"/>
      <c r="C200" s="139"/>
      <c r="D200" s="139"/>
      <c r="E200" s="139"/>
      <c r="F200" s="139"/>
      <c r="G200" s="139"/>
      <c r="H200" s="139"/>
      <c r="I200" s="139"/>
      <c r="J200" s="139"/>
      <c r="K200" s="139"/>
      <c r="L200" s="139"/>
      <c r="M200" s="139"/>
      <c r="N200" s="139"/>
      <c r="O200" s="139"/>
      <c r="P200" s="139"/>
      <c r="Q200" s="139"/>
      <c r="R200" s="139"/>
    </row>
    <row r="201" spans="1:18" ht="15.6" x14ac:dyDescent="0.3">
      <c r="A201" s="139"/>
      <c r="B201" s="139"/>
      <c r="C201" s="139"/>
      <c r="D201" s="139"/>
      <c r="E201" s="139"/>
      <c r="F201" s="139"/>
      <c r="G201" s="139"/>
      <c r="H201" s="139"/>
      <c r="I201" s="139"/>
      <c r="J201" s="139"/>
      <c r="K201" s="139"/>
      <c r="L201" s="139"/>
      <c r="M201" s="139"/>
      <c r="N201" s="139"/>
      <c r="O201" s="139"/>
      <c r="P201" s="139"/>
      <c r="Q201" s="139"/>
      <c r="R201" s="139"/>
    </row>
    <row r="202" spans="1:18" ht="15.6" x14ac:dyDescent="0.3">
      <c r="A202" s="139"/>
      <c r="B202" s="139"/>
      <c r="C202" s="139"/>
      <c r="D202" s="139"/>
      <c r="E202" s="139"/>
      <c r="F202" s="139"/>
      <c r="G202" s="139"/>
      <c r="H202" s="139"/>
      <c r="I202" s="139"/>
      <c r="J202" s="139"/>
      <c r="K202" s="139"/>
      <c r="L202" s="139"/>
      <c r="M202" s="139"/>
      <c r="N202" s="139"/>
      <c r="O202" s="139"/>
      <c r="P202" s="139"/>
      <c r="Q202" s="139"/>
      <c r="R202" s="139"/>
    </row>
    <row r="203" spans="1:18" ht="15.6" x14ac:dyDescent="0.3">
      <c r="A203" s="139"/>
      <c r="B203" s="139"/>
      <c r="C203" s="139"/>
      <c r="D203" s="139"/>
      <c r="E203" s="139"/>
      <c r="F203" s="139"/>
      <c r="G203" s="139"/>
      <c r="H203" s="139"/>
      <c r="I203" s="139"/>
      <c r="J203" s="139"/>
      <c r="K203" s="139"/>
      <c r="L203" s="139"/>
      <c r="M203" s="139"/>
      <c r="N203" s="139"/>
      <c r="O203" s="139"/>
      <c r="P203" s="139"/>
      <c r="Q203" s="139"/>
      <c r="R203" s="139"/>
    </row>
    <row r="204" spans="1:18" ht="15.6" x14ac:dyDescent="0.3">
      <c r="A204" s="139"/>
      <c r="B204" s="139"/>
      <c r="C204" s="139"/>
      <c r="D204" s="139"/>
      <c r="E204" s="139"/>
      <c r="F204" s="139"/>
      <c r="G204" s="139"/>
      <c r="H204" s="139"/>
      <c r="I204" s="139"/>
      <c r="J204" s="139"/>
      <c r="K204" s="139"/>
      <c r="L204" s="139"/>
      <c r="M204" s="139"/>
      <c r="N204" s="139"/>
      <c r="O204" s="139"/>
      <c r="P204" s="139"/>
      <c r="Q204" s="139"/>
      <c r="R204" s="139"/>
    </row>
    <row r="205" spans="1:18" ht="15.6" x14ac:dyDescent="0.3">
      <c r="A205" s="139"/>
      <c r="B205" s="139"/>
      <c r="C205" s="139"/>
      <c r="D205" s="139"/>
      <c r="E205" s="139"/>
      <c r="F205" s="139"/>
      <c r="G205" s="139"/>
      <c r="H205" s="139"/>
      <c r="I205" s="139"/>
      <c r="J205" s="139"/>
      <c r="K205" s="139"/>
      <c r="L205" s="139"/>
      <c r="M205" s="139"/>
      <c r="N205" s="139"/>
      <c r="O205" s="139"/>
      <c r="P205" s="139"/>
      <c r="Q205" s="139"/>
      <c r="R205" s="139"/>
    </row>
    <row r="206" spans="1:18" ht="15.6" x14ac:dyDescent="0.3">
      <c r="A206" s="139"/>
      <c r="B206" s="139"/>
      <c r="C206" s="139"/>
      <c r="D206" s="139"/>
      <c r="E206" s="139"/>
      <c r="F206" s="139"/>
      <c r="G206" s="139"/>
      <c r="H206" s="139"/>
      <c r="I206" s="139"/>
      <c r="J206" s="139"/>
      <c r="K206" s="139"/>
      <c r="L206" s="139"/>
      <c r="M206" s="139"/>
      <c r="N206" s="139"/>
      <c r="O206" s="139"/>
      <c r="P206" s="139"/>
      <c r="Q206" s="139"/>
      <c r="R206" s="139"/>
    </row>
    <row r="207" spans="1:18" ht="15.6" x14ac:dyDescent="0.3">
      <c r="A207" s="139"/>
      <c r="B207" s="139"/>
      <c r="C207" s="139"/>
      <c r="D207" s="139"/>
      <c r="E207" s="139"/>
      <c r="F207" s="139"/>
      <c r="G207" s="139"/>
      <c r="H207" s="139"/>
      <c r="I207" s="139"/>
      <c r="J207" s="139"/>
      <c r="K207" s="139"/>
      <c r="L207" s="139"/>
      <c r="M207" s="139"/>
      <c r="N207" s="139"/>
      <c r="O207" s="139"/>
      <c r="P207" s="139"/>
      <c r="Q207" s="139"/>
      <c r="R207" s="139"/>
    </row>
    <row r="208" spans="1:18" ht="15.6" x14ac:dyDescent="0.3">
      <c r="A208" s="139"/>
      <c r="B208" s="139"/>
      <c r="C208" s="139"/>
      <c r="D208" s="139"/>
      <c r="E208" s="139"/>
      <c r="F208" s="139"/>
      <c r="G208" s="139"/>
      <c r="H208" s="139"/>
      <c r="I208" s="139"/>
      <c r="J208" s="139"/>
      <c r="K208" s="139"/>
      <c r="L208" s="139"/>
      <c r="M208" s="139"/>
      <c r="N208" s="139"/>
      <c r="O208" s="139"/>
      <c r="P208" s="139"/>
      <c r="Q208" s="139"/>
      <c r="R208" s="139"/>
    </row>
    <row r="209" spans="1:18" ht="15.6" x14ac:dyDescent="0.3">
      <c r="A209" s="139"/>
      <c r="B209" s="139"/>
      <c r="C209" s="139"/>
      <c r="D209" s="139"/>
      <c r="E209" s="139"/>
      <c r="F209" s="139"/>
      <c r="G209" s="139"/>
      <c r="H209" s="139"/>
      <c r="I209" s="139"/>
      <c r="J209" s="139"/>
      <c r="K209" s="139"/>
      <c r="L209" s="139"/>
      <c r="M209" s="139"/>
      <c r="N209" s="139"/>
      <c r="O209" s="139"/>
      <c r="P209" s="139"/>
      <c r="Q209" s="139"/>
      <c r="R209" s="139"/>
    </row>
    <row r="210" spans="1:18" ht="15.6" x14ac:dyDescent="0.3">
      <c r="A210" s="139"/>
      <c r="B210" s="139"/>
      <c r="C210" s="139"/>
      <c r="D210" s="139"/>
      <c r="E210" s="139"/>
      <c r="F210" s="139"/>
      <c r="G210" s="139"/>
      <c r="H210" s="139"/>
      <c r="I210" s="139"/>
      <c r="J210" s="139"/>
      <c r="K210" s="139"/>
      <c r="L210" s="139"/>
      <c r="M210" s="139"/>
      <c r="N210" s="139"/>
      <c r="O210" s="139"/>
      <c r="P210" s="139"/>
      <c r="Q210" s="139"/>
      <c r="R210" s="139"/>
    </row>
    <row r="211" spans="1:18" ht="15.6" x14ac:dyDescent="0.3">
      <c r="A211" s="139"/>
      <c r="B211" s="139"/>
      <c r="C211" s="139"/>
      <c r="D211" s="139"/>
      <c r="E211" s="139"/>
      <c r="F211" s="139"/>
      <c r="G211" s="139"/>
      <c r="H211" s="139"/>
      <c r="I211" s="139"/>
      <c r="J211" s="139"/>
      <c r="K211" s="139"/>
      <c r="L211" s="139"/>
      <c r="M211" s="139"/>
      <c r="N211" s="139"/>
      <c r="O211" s="139"/>
      <c r="P211" s="139"/>
      <c r="Q211" s="139"/>
      <c r="R211" s="139"/>
    </row>
    <row r="212" spans="1:18" ht="15.6" x14ac:dyDescent="0.3">
      <c r="A212" s="139"/>
      <c r="B212" s="139"/>
      <c r="C212" s="139"/>
      <c r="D212" s="139"/>
      <c r="E212" s="139"/>
      <c r="F212" s="139"/>
      <c r="G212" s="139"/>
      <c r="H212" s="139"/>
      <c r="I212" s="139"/>
      <c r="J212" s="139"/>
      <c r="K212" s="139"/>
      <c r="L212" s="139"/>
      <c r="M212" s="139"/>
      <c r="N212" s="139"/>
      <c r="O212" s="139"/>
      <c r="P212" s="139"/>
      <c r="Q212" s="139"/>
      <c r="R212" s="139"/>
    </row>
    <row r="213" spans="1:18" ht="15.6" x14ac:dyDescent="0.3">
      <c r="A213" s="139"/>
      <c r="B213" s="139"/>
      <c r="C213" s="139"/>
      <c r="D213" s="139"/>
      <c r="E213" s="139"/>
      <c r="F213" s="139"/>
      <c r="G213" s="139"/>
      <c r="H213" s="139"/>
      <c r="I213" s="139"/>
      <c r="J213" s="139"/>
      <c r="K213" s="139"/>
      <c r="L213" s="139"/>
      <c r="M213" s="139"/>
      <c r="N213" s="139"/>
      <c r="O213" s="139"/>
      <c r="P213" s="139"/>
      <c r="Q213" s="139"/>
      <c r="R213" s="139"/>
    </row>
    <row r="214" spans="1:18" ht="15.6" x14ac:dyDescent="0.3">
      <c r="A214" s="139"/>
      <c r="B214" s="139"/>
      <c r="C214" s="139"/>
      <c r="D214" s="139"/>
      <c r="E214" s="139"/>
      <c r="F214" s="139"/>
      <c r="G214" s="139"/>
      <c r="H214" s="139"/>
      <c r="I214" s="139"/>
      <c r="J214" s="139"/>
      <c r="K214" s="139"/>
      <c r="L214" s="139"/>
      <c r="M214" s="139"/>
      <c r="N214" s="139"/>
      <c r="O214" s="139"/>
      <c r="P214" s="139"/>
      <c r="Q214" s="139"/>
      <c r="R214" s="139"/>
    </row>
    <row r="215" spans="1:18" ht="15.6" x14ac:dyDescent="0.3">
      <c r="A215" s="139"/>
      <c r="B215" s="139"/>
      <c r="C215" s="139"/>
      <c r="D215" s="139"/>
      <c r="E215" s="139"/>
      <c r="F215" s="139"/>
      <c r="G215" s="139"/>
      <c r="H215" s="139"/>
      <c r="I215" s="139"/>
      <c r="J215" s="139"/>
      <c r="K215" s="139"/>
      <c r="L215" s="139"/>
      <c r="M215" s="139"/>
      <c r="N215" s="139"/>
      <c r="O215" s="139"/>
      <c r="P215" s="139"/>
      <c r="Q215" s="139"/>
      <c r="R215" s="139"/>
    </row>
    <row r="216" spans="1:18" ht="15.6" x14ac:dyDescent="0.3">
      <c r="A216" s="139"/>
      <c r="B216" s="139"/>
      <c r="C216" s="139"/>
      <c r="D216" s="139"/>
      <c r="E216" s="139"/>
      <c r="F216" s="139"/>
      <c r="G216" s="139"/>
      <c r="H216" s="139"/>
      <c r="I216" s="139"/>
      <c r="J216" s="139"/>
      <c r="K216" s="139"/>
      <c r="L216" s="139"/>
      <c r="M216" s="139"/>
      <c r="N216" s="139"/>
      <c r="O216" s="139"/>
      <c r="P216" s="139"/>
      <c r="Q216" s="139"/>
      <c r="R216" s="139"/>
    </row>
    <row r="217" spans="1:18" ht="15.6" x14ac:dyDescent="0.3">
      <c r="A217" s="139"/>
      <c r="B217" s="139"/>
      <c r="C217" s="139"/>
      <c r="D217" s="139"/>
      <c r="E217" s="139"/>
      <c r="F217" s="139"/>
      <c r="G217" s="139"/>
      <c r="H217" s="139"/>
      <c r="I217" s="139"/>
      <c r="J217" s="139"/>
      <c r="K217" s="139"/>
      <c r="L217" s="139"/>
      <c r="M217" s="139"/>
      <c r="N217" s="139"/>
      <c r="O217" s="139"/>
      <c r="P217" s="139"/>
      <c r="Q217" s="139"/>
      <c r="R217" s="139"/>
    </row>
    <row r="218" spans="1:18" ht="15.6" x14ac:dyDescent="0.3">
      <c r="A218" s="139"/>
      <c r="B218" s="139"/>
      <c r="C218" s="139"/>
      <c r="D218" s="139"/>
      <c r="E218" s="139"/>
      <c r="F218" s="139"/>
      <c r="G218" s="139"/>
      <c r="H218" s="139"/>
      <c r="I218" s="139"/>
      <c r="J218" s="139"/>
      <c r="K218" s="139"/>
      <c r="L218" s="139"/>
      <c r="M218" s="139"/>
      <c r="N218" s="139"/>
      <c r="O218" s="139"/>
      <c r="P218" s="139"/>
      <c r="Q218" s="139"/>
      <c r="R218" s="139"/>
    </row>
    <row r="219" spans="1:18" ht="15.6" x14ac:dyDescent="0.3">
      <c r="A219" s="139"/>
      <c r="B219" s="139"/>
      <c r="C219" s="139"/>
      <c r="D219" s="139"/>
      <c r="E219" s="139"/>
      <c r="F219" s="139"/>
      <c r="G219" s="139"/>
      <c r="H219" s="139"/>
      <c r="I219" s="139"/>
      <c r="J219" s="139"/>
      <c r="K219" s="139"/>
      <c r="L219" s="139"/>
      <c r="M219" s="139"/>
      <c r="N219" s="139"/>
      <c r="O219" s="139"/>
      <c r="P219" s="139"/>
      <c r="Q219" s="139"/>
      <c r="R219" s="139"/>
    </row>
    <row r="220" spans="1:18" ht="15.6" x14ac:dyDescent="0.3">
      <c r="A220" s="139"/>
      <c r="B220" s="139"/>
      <c r="C220" s="139"/>
      <c r="D220" s="139"/>
      <c r="E220" s="139"/>
      <c r="F220" s="139"/>
      <c r="G220" s="139"/>
      <c r="H220" s="139"/>
      <c r="I220" s="139"/>
      <c r="J220" s="139"/>
      <c r="K220" s="139"/>
      <c r="L220" s="139"/>
      <c r="M220" s="139"/>
      <c r="N220" s="139"/>
      <c r="O220" s="139"/>
      <c r="P220" s="139"/>
      <c r="Q220" s="139"/>
      <c r="R220" s="139"/>
    </row>
    <row r="221" spans="1:18" ht="15.6" x14ac:dyDescent="0.3">
      <c r="A221" s="139"/>
      <c r="B221" s="139"/>
      <c r="C221" s="139"/>
      <c r="D221" s="139"/>
      <c r="E221" s="139"/>
      <c r="F221" s="139"/>
      <c r="G221" s="139"/>
      <c r="H221" s="139"/>
      <c r="I221" s="139"/>
      <c r="J221" s="139"/>
      <c r="K221" s="139"/>
      <c r="L221" s="139"/>
      <c r="M221" s="139"/>
      <c r="N221" s="139"/>
      <c r="O221" s="139"/>
      <c r="P221" s="139"/>
      <c r="Q221" s="139"/>
      <c r="R221" s="139"/>
    </row>
    <row r="222" spans="1:18" ht="15.6" x14ac:dyDescent="0.3">
      <c r="A222" s="139"/>
      <c r="B222" s="139"/>
      <c r="C222" s="139"/>
      <c r="D222" s="139"/>
      <c r="E222" s="139"/>
      <c r="F222" s="139"/>
      <c r="G222" s="139"/>
      <c r="H222" s="139"/>
      <c r="I222" s="139"/>
      <c r="J222" s="139"/>
      <c r="K222" s="139"/>
      <c r="L222" s="139"/>
      <c r="M222" s="139"/>
      <c r="N222" s="139"/>
      <c r="O222" s="139"/>
      <c r="P222" s="139"/>
      <c r="Q222" s="139"/>
      <c r="R222" s="139"/>
    </row>
    <row r="223" spans="1:18" ht="15.6" x14ac:dyDescent="0.3">
      <c r="A223" s="139"/>
      <c r="B223" s="139"/>
      <c r="C223" s="139"/>
      <c r="D223" s="139"/>
      <c r="E223" s="139"/>
      <c r="F223" s="139"/>
      <c r="G223" s="139"/>
      <c r="H223" s="139"/>
      <c r="I223" s="139"/>
      <c r="J223" s="139"/>
      <c r="K223" s="139"/>
      <c r="L223" s="139"/>
      <c r="M223" s="139"/>
      <c r="N223" s="139"/>
      <c r="O223" s="139"/>
      <c r="P223" s="139"/>
      <c r="Q223" s="139"/>
      <c r="R223" s="139"/>
    </row>
    <row r="224" spans="1:18" ht="15.6" x14ac:dyDescent="0.3">
      <c r="A224" s="139"/>
      <c r="B224" s="139"/>
      <c r="C224" s="139"/>
      <c r="D224" s="139"/>
      <c r="E224" s="139"/>
      <c r="F224" s="139"/>
      <c r="G224" s="139"/>
      <c r="H224" s="139"/>
      <c r="I224" s="139"/>
      <c r="J224" s="139"/>
      <c r="K224" s="139"/>
      <c r="L224" s="139"/>
      <c r="M224" s="139"/>
      <c r="N224" s="139"/>
      <c r="O224" s="139"/>
      <c r="P224" s="139"/>
      <c r="Q224" s="139"/>
      <c r="R224" s="139"/>
    </row>
    <row r="225" spans="1:18" ht="15.6" x14ac:dyDescent="0.3">
      <c r="A225" s="139"/>
      <c r="B225" s="139"/>
      <c r="C225" s="139"/>
      <c r="D225" s="139"/>
      <c r="E225" s="139"/>
      <c r="F225" s="139"/>
      <c r="G225" s="139"/>
      <c r="H225" s="139"/>
      <c r="I225" s="139"/>
      <c r="J225" s="139"/>
      <c r="K225" s="139"/>
      <c r="L225" s="139"/>
      <c r="M225" s="139"/>
      <c r="N225" s="139"/>
      <c r="O225" s="139"/>
      <c r="P225" s="139"/>
      <c r="Q225" s="139"/>
      <c r="R225" s="139"/>
    </row>
    <row r="226" spans="1:18" ht="15.6" x14ac:dyDescent="0.3">
      <c r="A226" s="139"/>
      <c r="B226" s="139"/>
      <c r="C226" s="139"/>
      <c r="D226" s="139"/>
      <c r="E226" s="139"/>
      <c r="F226" s="139"/>
      <c r="G226" s="139"/>
      <c r="H226" s="139"/>
      <c r="I226" s="139"/>
      <c r="J226" s="139"/>
      <c r="K226" s="139"/>
      <c r="L226" s="139"/>
      <c r="M226" s="139"/>
      <c r="N226" s="139"/>
      <c r="O226" s="139"/>
      <c r="P226" s="139"/>
      <c r="Q226" s="139"/>
      <c r="R226" s="139"/>
    </row>
    <row r="227" spans="1:18" ht="15.6" x14ac:dyDescent="0.3">
      <c r="A227" s="139"/>
      <c r="B227" s="139"/>
      <c r="C227" s="139"/>
      <c r="D227" s="139"/>
      <c r="E227" s="139"/>
      <c r="F227" s="139"/>
      <c r="G227" s="139"/>
      <c r="H227" s="139"/>
      <c r="I227" s="139"/>
      <c r="J227" s="139"/>
      <c r="K227" s="139"/>
      <c r="L227" s="139"/>
      <c r="M227" s="139"/>
      <c r="N227" s="139"/>
      <c r="O227" s="139"/>
      <c r="P227" s="139"/>
      <c r="Q227" s="139"/>
      <c r="R227" s="139"/>
    </row>
    <row r="228" spans="1:18" ht="15.6" x14ac:dyDescent="0.3">
      <c r="A228" s="139"/>
      <c r="B228" s="139"/>
      <c r="C228" s="139"/>
      <c r="D228" s="139"/>
      <c r="E228" s="139"/>
      <c r="F228" s="139"/>
      <c r="G228" s="139"/>
      <c r="H228" s="139"/>
      <c r="I228" s="139"/>
      <c r="J228" s="139"/>
      <c r="K228" s="139"/>
      <c r="L228" s="139"/>
      <c r="M228" s="139"/>
      <c r="N228" s="139"/>
      <c r="O228" s="139"/>
      <c r="P228" s="139"/>
      <c r="Q228" s="139"/>
      <c r="R228" s="139"/>
    </row>
    <row r="229" spans="1:18" ht="15.6" x14ac:dyDescent="0.3">
      <c r="A229" s="139"/>
      <c r="B229" s="139"/>
      <c r="C229" s="139"/>
      <c r="D229" s="139"/>
      <c r="E229" s="139"/>
      <c r="F229" s="139"/>
      <c r="G229" s="139"/>
      <c r="H229" s="139"/>
      <c r="I229" s="139"/>
      <c r="J229" s="139"/>
      <c r="K229" s="139"/>
      <c r="L229" s="139"/>
      <c r="M229" s="139"/>
      <c r="N229" s="139"/>
      <c r="O229" s="139"/>
      <c r="P229" s="139"/>
      <c r="Q229" s="139"/>
      <c r="R229" s="139"/>
    </row>
    <row r="230" spans="1:18" ht="15.6" x14ac:dyDescent="0.3">
      <c r="A230" s="139"/>
      <c r="B230" s="139"/>
      <c r="C230" s="139"/>
      <c r="D230" s="139"/>
      <c r="E230" s="139"/>
      <c r="F230" s="139"/>
      <c r="G230" s="139"/>
      <c r="H230" s="139"/>
      <c r="I230" s="139"/>
      <c r="J230" s="139"/>
      <c r="K230" s="139"/>
      <c r="L230" s="139"/>
      <c r="M230" s="139"/>
      <c r="N230" s="139"/>
      <c r="O230" s="139"/>
      <c r="P230" s="139"/>
      <c r="Q230" s="139"/>
      <c r="R230" s="139"/>
    </row>
    <row r="231" spans="1:18" ht="15.6" x14ac:dyDescent="0.3">
      <c r="A231" s="139"/>
      <c r="B231" s="139"/>
      <c r="C231" s="139"/>
      <c r="D231" s="139"/>
      <c r="E231" s="139"/>
      <c r="F231" s="139"/>
      <c r="G231" s="139"/>
      <c r="H231" s="139"/>
      <c r="I231" s="139"/>
      <c r="J231" s="139"/>
      <c r="K231" s="139"/>
      <c r="L231" s="139"/>
      <c r="M231" s="139"/>
      <c r="N231" s="139"/>
      <c r="O231" s="139"/>
      <c r="P231" s="139"/>
      <c r="Q231" s="139"/>
      <c r="R231" s="139"/>
    </row>
    <row r="232" spans="1:18" ht="15.6" x14ac:dyDescent="0.3">
      <c r="A232" s="139"/>
      <c r="B232" s="139"/>
      <c r="C232" s="139"/>
      <c r="D232" s="139"/>
      <c r="E232" s="139"/>
      <c r="F232" s="139"/>
      <c r="G232" s="139"/>
      <c r="H232" s="139"/>
      <c r="I232" s="139"/>
      <c r="J232" s="139"/>
      <c r="K232" s="139"/>
      <c r="L232" s="139"/>
      <c r="M232" s="139"/>
      <c r="N232" s="139"/>
      <c r="O232" s="139"/>
      <c r="P232" s="139"/>
      <c r="Q232" s="139"/>
      <c r="R232" s="139"/>
    </row>
    <row r="233" spans="1:18" ht="15.6" x14ac:dyDescent="0.3">
      <c r="A233" s="139"/>
      <c r="B233" s="139"/>
      <c r="C233" s="139"/>
      <c r="D233" s="139"/>
      <c r="E233" s="139"/>
      <c r="F233" s="139"/>
      <c r="G233" s="139"/>
      <c r="H233" s="139"/>
      <c r="I233" s="139"/>
      <c r="J233" s="139"/>
      <c r="K233" s="139"/>
      <c r="L233" s="139"/>
      <c r="M233" s="139"/>
      <c r="N233" s="139"/>
      <c r="O233" s="139"/>
      <c r="P233" s="139"/>
      <c r="Q233" s="139"/>
      <c r="R233" s="139"/>
    </row>
    <row r="234" spans="1:18" ht="15.6" x14ac:dyDescent="0.3">
      <c r="A234" s="139"/>
      <c r="B234" s="139"/>
      <c r="C234" s="139"/>
      <c r="D234" s="139"/>
      <c r="E234" s="139"/>
      <c r="F234" s="139"/>
      <c r="G234" s="139"/>
      <c r="H234" s="139"/>
      <c r="I234" s="139"/>
      <c r="J234" s="139"/>
      <c r="K234" s="139"/>
      <c r="L234" s="139"/>
      <c r="M234" s="139"/>
      <c r="N234" s="139"/>
      <c r="O234" s="139"/>
      <c r="P234" s="139"/>
      <c r="Q234" s="139"/>
      <c r="R234" s="139"/>
    </row>
    <row r="235" spans="1:18" ht="15.6" x14ac:dyDescent="0.3">
      <c r="A235" s="139"/>
      <c r="B235" s="139"/>
      <c r="C235" s="139"/>
      <c r="D235" s="139"/>
      <c r="E235" s="139"/>
      <c r="F235" s="139"/>
      <c r="G235" s="139"/>
      <c r="H235" s="139"/>
      <c r="I235" s="139"/>
      <c r="J235" s="139"/>
      <c r="K235" s="139"/>
      <c r="L235" s="139"/>
      <c r="M235" s="139"/>
      <c r="N235" s="139"/>
      <c r="O235" s="139"/>
      <c r="P235" s="139"/>
      <c r="Q235" s="139"/>
      <c r="R235" s="139"/>
    </row>
    <row r="236" spans="1:18" ht="15.6" x14ac:dyDescent="0.3">
      <c r="A236" s="139"/>
      <c r="B236" s="139"/>
      <c r="C236" s="139"/>
      <c r="D236" s="139"/>
      <c r="E236" s="139"/>
      <c r="F236" s="139"/>
      <c r="G236" s="139"/>
      <c r="H236" s="139"/>
      <c r="I236" s="139"/>
      <c r="J236" s="139"/>
      <c r="K236" s="139"/>
      <c r="L236" s="139"/>
      <c r="M236" s="139"/>
      <c r="N236" s="139"/>
      <c r="O236" s="139"/>
      <c r="P236" s="139"/>
      <c r="Q236" s="139"/>
      <c r="R236" s="139"/>
    </row>
    <row r="237" spans="1:18" ht="15.6" x14ac:dyDescent="0.3">
      <c r="A237" s="139"/>
      <c r="B237" s="139"/>
      <c r="C237" s="139"/>
      <c r="D237" s="139"/>
      <c r="E237" s="139"/>
      <c r="F237" s="139"/>
      <c r="G237" s="139"/>
      <c r="H237" s="139"/>
      <c r="I237" s="139"/>
      <c r="J237" s="139"/>
      <c r="K237" s="139"/>
      <c r="L237" s="139"/>
      <c r="M237" s="139"/>
      <c r="N237" s="139"/>
      <c r="O237" s="139"/>
      <c r="P237" s="139"/>
      <c r="Q237" s="139"/>
      <c r="R237" s="139"/>
    </row>
    <row r="238" spans="1:18" ht="15.6" x14ac:dyDescent="0.3">
      <c r="A238" s="139"/>
      <c r="B238" s="139"/>
      <c r="C238" s="139"/>
      <c r="D238" s="139"/>
      <c r="E238" s="139"/>
      <c r="F238" s="139"/>
      <c r="G238" s="139"/>
      <c r="H238" s="139"/>
      <c r="I238" s="139"/>
      <c r="J238" s="139"/>
      <c r="K238" s="139"/>
      <c r="L238" s="139"/>
      <c r="M238" s="139"/>
      <c r="N238" s="139"/>
      <c r="O238" s="139"/>
      <c r="P238" s="139"/>
      <c r="Q238" s="139"/>
      <c r="R238" s="139"/>
    </row>
    <row r="239" spans="1:18" ht="15.6" x14ac:dyDescent="0.3">
      <c r="A239" s="139"/>
      <c r="B239" s="139"/>
      <c r="C239" s="139"/>
      <c r="D239" s="139"/>
      <c r="E239" s="139"/>
      <c r="F239" s="139"/>
      <c r="G239" s="139"/>
      <c r="H239" s="139"/>
      <c r="I239" s="139"/>
      <c r="J239" s="139"/>
      <c r="K239" s="139"/>
      <c r="L239" s="139"/>
      <c r="M239" s="139"/>
      <c r="N239" s="139"/>
      <c r="O239" s="139"/>
      <c r="P239" s="139"/>
      <c r="Q239" s="139"/>
      <c r="R239" s="139"/>
    </row>
    <row r="240" spans="1:18" ht="15.6" x14ac:dyDescent="0.3">
      <c r="A240" s="139"/>
      <c r="B240" s="139"/>
      <c r="C240" s="139"/>
      <c r="D240" s="139"/>
      <c r="E240" s="139"/>
      <c r="F240" s="139"/>
      <c r="G240" s="139"/>
      <c r="H240" s="139"/>
      <c r="I240" s="139"/>
      <c r="J240" s="139"/>
      <c r="K240" s="139"/>
      <c r="L240" s="139"/>
      <c r="M240" s="139"/>
      <c r="N240" s="139"/>
      <c r="O240" s="139"/>
      <c r="P240" s="139"/>
      <c r="Q240" s="139"/>
      <c r="R240" s="139"/>
    </row>
    <row r="241" spans="1:18" ht="15.6" x14ac:dyDescent="0.3">
      <c r="A241" s="139"/>
      <c r="B241" s="139"/>
      <c r="C241" s="139"/>
      <c r="D241" s="139"/>
      <c r="E241" s="139"/>
      <c r="F241" s="139"/>
      <c r="G241" s="139"/>
      <c r="H241" s="139"/>
      <c r="I241" s="139"/>
      <c r="J241" s="139"/>
      <c r="K241" s="139"/>
      <c r="L241" s="139"/>
      <c r="M241" s="139"/>
      <c r="N241" s="139"/>
      <c r="O241" s="139"/>
      <c r="P241" s="139"/>
      <c r="Q241" s="139"/>
      <c r="R241" s="139"/>
    </row>
    <row r="242" spans="1:18" ht="15.6" x14ac:dyDescent="0.3">
      <c r="A242" s="139"/>
      <c r="B242" s="139"/>
      <c r="C242" s="139"/>
      <c r="D242" s="139"/>
      <c r="E242" s="139"/>
      <c r="F242" s="139"/>
      <c r="G242" s="139"/>
      <c r="H242" s="139"/>
      <c r="I242" s="139"/>
      <c r="J242" s="139"/>
      <c r="K242" s="139"/>
      <c r="L242" s="139"/>
      <c r="M242" s="139"/>
      <c r="N242" s="139"/>
      <c r="O242" s="139"/>
      <c r="P242" s="139"/>
      <c r="Q242" s="139"/>
      <c r="R242" s="139"/>
    </row>
    <row r="243" spans="1:18" ht="15.6" x14ac:dyDescent="0.3">
      <c r="A243" s="139"/>
      <c r="B243" s="139"/>
      <c r="C243" s="139"/>
      <c r="D243" s="139"/>
      <c r="E243" s="139"/>
      <c r="F243" s="139"/>
      <c r="G243" s="139"/>
      <c r="H243" s="139"/>
      <c r="I243" s="139"/>
      <c r="J243" s="139"/>
      <c r="K243" s="139"/>
      <c r="L243" s="139"/>
      <c r="M243" s="139"/>
      <c r="N243" s="139"/>
      <c r="O243" s="139"/>
      <c r="P243" s="139"/>
      <c r="Q243" s="139"/>
      <c r="R243" s="139"/>
    </row>
    <row r="244" spans="1:18" ht="15.6" x14ac:dyDescent="0.3">
      <c r="A244" s="139"/>
      <c r="B244" s="139"/>
      <c r="C244" s="139"/>
      <c r="D244" s="139"/>
      <c r="E244" s="139"/>
      <c r="F244" s="139"/>
      <c r="G244" s="139"/>
      <c r="H244" s="139"/>
      <c r="I244" s="139"/>
      <c r="J244" s="139"/>
      <c r="K244" s="139"/>
      <c r="L244" s="139"/>
      <c r="M244" s="139"/>
      <c r="N244" s="139"/>
      <c r="O244" s="139"/>
      <c r="P244" s="139"/>
      <c r="Q244" s="139"/>
      <c r="R244" s="139"/>
    </row>
    <row r="245" spans="1:18" ht="15.6" x14ac:dyDescent="0.3">
      <c r="A245" s="139"/>
      <c r="B245" s="139"/>
      <c r="C245" s="139"/>
      <c r="D245" s="139"/>
      <c r="E245" s="139"/>
      <c r="F245" s="139"/>
      <c r="G245" s="139"/>
      <c r="H245" s="139"/>
      <c r="I245" s="139"/>
      <c r="J245" s="139"/>
      <c r="K245" s="139"/>
      <c r="L245" s="139"/>
      <c r="M245" s="139"/>
      <c r="N245" s="139"/>
      <c r="O245" s="139"/>
      <c r="P245" s="139"/>
      <c r="Q245" s="139"/>
      <c r="R245" s="139"/>
    </row>
    <row r="246" spans="1:18" ht="15.6" x14ac:dyDescent="0.3">
      <c r="A246" s="139"/>
      <c r="B246" s="139"/>
      <c r="C246" s="139"/>
      <c r="D246" s="139"/>
      <c r="E246" s="139"/>
      <c r="F246" s="139"/>
      <c r="G246" s="139"/>
      <c r="H246" s="139"/>
      <c r="I246" s="139"/>
      <c r="J246" s="139"/>
      <c r="K246" s="139"/>
      <c r="L246" s="139"/>
      <c r="M246" s="139"/>
      <c r="N246" s="139"/>
      <c r="O246" s="139"/>
      <c r="P246" s="139"/>
      <c r="Q246" s="139"/>
      <c r="R246" s="139"/>
    </row>
    <row r="247" spans="1:18" ht="15.6" x14ac:dyDescent="0.3">
      <c r="A247" s="139"/>
      <c r="B247" s="139"/>
      <c r="C247" s="139"/>
      <c r="D247" s="139"/>
      <c r="E247" s="139"/>
      <c r="F247" s="139"/>
      <c r="G247" s="139"/>
      <c r="H247" s="139"/>
      <c r="I247" s="139"/>
      <c r="J247" s="139"/>
      <c r="K247" s="139"/>
      <c r="L247" s="139"/>
      <c r="M247" s="139"/>
      <c r="N247" s="139"/>
      <c r="O247" s="139"/>
      <c r="P247" s="139"/>
      <c r="Q247" s="139"/>
      <c r="R247" s="139"/>
    </row>
    <row r="248" spans="1:18" ht="15.6" x14ac:dyDescent="0.3">
      <c r="A248" s="139"/>
      <c r="B248" s="139"/>
      <c r="C248" s="139"/>
      <c r="D248" s="139"/>
      <c r="E248" s="139"/>
      <c r="F248" s="139"/>
      <c r="G248" s="139"/>
      <c r="H248" s="139"/>
      <c r="I248" s="139"/>
      <c r="J248" s="139"/>
      <c r="K248" s="139"/>
      <c r="L248" s="139"/>
      <c r="M248" s="139"/>
      <c r="N248" s="139"/>
      <c r="O248" s="139"/>
      <c r="P248" s="139"/>
      <c r="Q248" s="139"/>
      <c r="R248" s="139"/>
    </row>
    <row r="249" spans="1:18" ht="15.6" x14ac:dyDescent="0.3">
      <c r="A249" s="139"/>
      <c r="B249" s="139"/>
      <c r="C249" s="139"/>
      <c r="D249" s="139"/>
      <c r="E249" s="139"/>
      <c r="F249" s="139"/>
      <c r="G249" s="139"/>
      <c r="H249" s="139"/>
      <c r="I249" s="139"/>
      <c r="J249" s="139"/>
      <c r="K249" s="139"/>
      <c r="L249" s="139"/>
      <c r="M249" s="139"/>
      <c r="N249" s="139"/>
      <c r="O249" s="139"/>
      <c r="P249" s="139"/>
      <c r="Q249" s="139"/>
      <c r="R249" s="139"/>
    </row>
    <row r="250" spans="1:18" ht="15.6" x14ac:dyDescent="0.3">
      <c r="A250" s="139"/>
      <c r="B250" s="139"/>
      <c r="C250" s="139"/>
      <c r="D250" s="139"/>
      <c r="E250" s="139"/>
      <c r="F250" s="139"/>
      <c r="G250" s="139"/>
      <c r="H250" s="139"/>
      <c r="I250" s="139"/>
      <c r="J250" s="139"/>
      <c r="K250" s="139"/>
      <c r="L250" s="139"/>
      <c r="M250" s="139"/>
      <c r="N250" s="139"/>
      <c r="O250" s="139"/>
      <c r="P250" s="139"/>
      <c r="Q250" s="139"/>
      <c r="R250" s="139"/>
    </row>
    <row r="251" spans="1:18" ht="15.6" x14ac:dyDescent="0.3">
      <c r="A251" s="139"/>
      <c r="B251" s="139"/>
      <c r="C251" s="139"/>
      <c r="D251" s="139"/>
      <c r="E251" s="139"/>
      <c r="F251" s="139"/>
      <c r="G251" s="139"/>
      <c r="H251" s="139"/>
      <c r="I251" s="139"/>
      <c r="J251" s="139"/>
      <c r="K251" s="139"/>
      <c r="L251" s="139"/>
      <c r="M251" s="139"/>
      <c r="N251" s="139"/>
      <c r="O251" s="139"/>
      <c r="P251" s="139"/>
      <c r="Q251" s="139"/>
      <c r="R251" s="139"/>
    </row>
    <row r="252" spans="1:18" ht="15.6" x14ac:dyDescent="0.3">
      <c r="A252" s="139"/>
      <c r="B252" s="139"/>
      <c r="C252" s="139"/>
      <c r="D252" s="139"/>
      <c r="E252" s="139"/>
      <c r="F252" s="139"/>
      <c r="G252" s="139"/>
      <c r="H252" s="139"/>
      <c r="I252" s="139"/>
      <c r="J252" s="139"/>
      <c r="K252" s="139"/>
      <c r="L252" s="139"/>
      <c r="M252" s="139"/>
      <c r="N252" s="139"/>
      <c r="O252" s="139"/>
      <c r="P252" s="139"/>
      <c r="Q252" s="139"/>
      <c r="R252" s="139"/>
    </row>
    <row r="253" spans="1:18" ht="15.6" x14ac:dyDescent="0.3">
      <c r="A253" s="139"/>
      <c r="B253" s="139"/>
      <c r="C253" s="139"/>
      <c r="D253" s="139"/>
      <c r="E253" s="139"/>
      <c r="F253" s="139"/>
      <c r="G253" s="139"/>
      <c r="H253" s="139"/>
      <c r="I253" s="139"/>
      <c r="J253" s="139"/>
      <c r="K253" s="139"/>
      <c r="L253" s="139"/>
      <c r="M253" s="139"/>
      <c r="N253" s="139"/>
      <c r="O253" s="139"/>
      <c r="P253" s="139"/>
      <c r="Q253" s="139"/>
      <c r="R253" s="139"/>
    </row>
    <row r="254" spans="1:18" ht="15.6" x14ac:dyDescent="0.3">
      <c r="A254" s="139"/>
      <c r="B254" s="139"/>
      <c r="C254" s="139"/>
      <c r="D254" s="139"/>
      <c r="E254" s="139"/>
      <c r="F254" s="139"/>
      <c r="G254" s="139"/>
      <c r="H254" s="139"/>
      <c r="I254" s="139"/>
      <c r="J254" s="139"/>
      <c r="K254" s="139"/>
      <c r="L254" s="139"/>
      <c r="M254" s="139"/>
      <c r="N254" s="139"/>
      <c r="O254" s="139"/>
      <c r="P254" s="139"/>
      <c r="Q254" s="139"/>
      <c r="R254" s="139"/>
    </row>
    <row r="255" spans="1:18" ht="15.6" x14ac:dyDescent="0.3">
      <c r="A255" s="139"/>
      <c r="B255" s="139"/>
      <c r="C255" s="139"/>
      <c r="D255" s="139"/>
      <c r="E255" s="139"/>
      <c r="F255" s="139"/>
      <c r="G255" s="139"/>
      <c r="H255" s="139"/>
      <c r="I255" s="139"/>
      <c r="J255" s="139"/>
      <c r="K255" s="139"/>
      <c r="L255" s="139"/>
      <c r="M255" s="139"/>
      <c r="N255" s="139"/>
      <c r="O255" s="139"/>
      <c r="P255" s="139"/>
      <c r="Q255" s="139"/>
      <c r="R255" s="139"/>
    </row>
    <row r="256" spans="1:18" ht="15.6" x14ac:dyDescent="0.3">
      <c r="A256" s="139"/>
      <c r="B256" s="139"/>
      <c r="C256" s="139"/>
      <c r="D256" s="139"/>
      <c r="E256" s="139"/>
      <c r="F256" s="139"/>
      <c r="G256" s="139"/>
      <c r="H256" s="139"/>
      <c r="I256" s="139"/>
      <c r="J256" s="139"/>
      <c r="K256" s="139"/>
      <c r="L256" s="139"/>
      <c r="M256" s="139"/>
      <c r="N256" s="139"/>
      <c r="O256" s="139"/>
      <c r="P256" s="139"/>
      <c r="Q256" s="139"/>
      <c r="R256" s="139"/>
    </row>
    <row r="257" spans="1:18" ht="15.6" x14ac:dyDescent="0.3">
      <c r="A257" s="139"/>
      <c r="B257" s="139"/>
      <c r="C257" s="139"/>
      <c r="D257" s="139"/>
      <c r="E257" s="139"/>
      <c r="F257" s="139"/>
      <c r="G257" s="139"/>
      <c r="H257" s="139"/>
      <c r="I257" s="139"/>
      <c r="J257" s="139"/>
      <c r="K257" s="139"/>
      <c r="L257" s="139"/>
      <c r="M257" s="139"/>
      <c r="N257" s="139"/>
      <c r="O257" s="139"/>
      <c r="P257" s="139"/>
      <c r="Q257" s="139"/>
      <c r="R257" s="139"/>
    </row>
    <row r="258" spans="1:18" ht="15.6" x14ac:dyDescent="0.3">
      <c r="A258" s="139"/>
      <c r="B258" s="139"/>
      <c r="C258" s="139"/>
      <c r="D258" s="139"/>
      <c r="E258" s="139"/>
      <c r="F258" s="139"/>
      <c r="G258" s="139"/>
      <c r="H258" s="139"/>
      <c r="I258" s="139"/>
      <c r="J258" s="139"/>
      <c r="K258" s="139"/>
      <c r="L258" s="139"/>
      <c r="M258" s="139"/>
      <c r="N258" s="139"/>
      <c r="O258" s="139"/>
      <c r="P258" s="139"/>
      <c r="Q258" s="139"/>
      <c r="R258" s="139"/>
    </row>
    <row r="259" spans="1:18" ht="15.6" x14ac:dyDescent="0.3">
      <c r="A259" s="139"/>
      <c r="B259" s="139"/>
      <c r="C259" s="139"/>
      <c r="D259" s="139"/>
      <c r="E259" s="139"/>
      <c r="F259" s="139"/>
      <c r="G259" s="139"/>
      <c r="H259" s="139"/>
      <c r="I259" s="139"/>
      <c r="J259" s="139"/>
      <c r="K259" s="139"/>
      <c r="L259" s="139"/>
      <c r="M259" s="139"/>
      <c r="N259" s="139"/>
      <c r="O259" s="139"/>
      <c r="P259" s="139"/>
      <c r="Q259" s="139"/>
      <c r="R259" s="139"/>
    </row>
    <row r="260" spans="1:18" ht="15.6" x14ac:dyDescent="0.3">
      <c r="A260" s="139"/>
      <c r="B260" s="139"/>
      <c r="C260" s="139"/>
      <c r="D260" s="139"/>
      <c r="E260" s="139"/>
      <c r="F260" s="139"/>
      <c r="G260" s="139"/>
      <c r="H260" s="139"/>
      <c r="I260" s="139"/>
      <c r="J260" s="139"/>
      <c r="K260" s="139"/>
      <c r="L260" s="139"/>
      <c r="M260" s="139"/>
      <c r="N260" s="139"/>
      <c r="O260" s="139"/>
      <c r="P260" s="139"/>
      <c r="Q260" s="139"/>
      <c r="R260" s="139"/>
    </row>
    <row r="261" spans="1:18" ht="15.6" x14ac:dyDescent="0.3">
      <c r="A261" s="139"/>
      <c r="B261" s="139"/>
      <c r="C261" s="139"/>
      <c r="D261" s="139"/>
      <c r="E261" s="139"/>
      <c r="F261" s="139"/>
      <c r="G261" s="139"/>
      <c r="H261" s="139"/>
      <c r="I261" s="139"/>
      <c r="J261" s="139"/>
      <c r="K261" s="139"/>
      <c r="L261" s="139"/>
      <c r="M261" s="139"/>
      <c r="N261" s="139"/>
      <c r="O261" s="139"/>
      <c r="P261" s="139"/>
      <c r="Q261" s="139"/>
      <c r="R261" s="139"/>
    </row>
    <row r="262" spans="1:18" ht="15.6" x14ac:dyDescent="0.3">
      <c r="A262" s="139"/>
      <c r="B262" s="139"/>
      <c r="C262" s="139"/>
      <c r="D262" s="139"/>
      <c r="E262" s="139"/>
      <c r="F262" s="139"/>
      <c r="G262" s="139"/>
      <c r="H262" s="139"/>
      <c r="I262" s="139"/>
      <c r="J262" s="139"/>
      <c r="K262" s="139"/>
      <c r="L262" s="139"/>
      <c r="M262" s="139"/>
      <c r="N262" s="139"/>
      <c r="O262" s="139"/>
      <c r="P262" s="139"/>
      <c r="Q262" s="139"/>
      <c r="R262" s="139"/>
    </row>
    <row r="263" spans="1:18" ht="15.6" x14ac:dyDescent="0.3">
      <c r="A263" s="139"/>
      <c r="B263" s="139"/>
      <c r="C263" s="139"/>
      <c r="D263" s="139"/>
      <c r="E263" s="139"/>
      <c r="F263" s="139"/>
      <c r="G263" s="139"/>
      <c r="H263" s="139"/>
      <c r="I263" s="139"/>
      <c r="J263" s="139"/>
      <c r="K263" s="139"/>
      <c r="L263" s="139"/>
      <c r="M263" s="139"/>
      <c r="N263" s="139"/>
      <c r="O263" s="139"/>
      <c r="P263" s="139"/>
      <c r="Q263" s="139"/>
      <c r="R263" s="139"/>
    </row>
    <row r="264" spans="1:18" ht="15.6" x14ac:dyDescent="0.3">
      <c r="A264" s="139"/>
      <c r="B264" s="139"/>
      <c r="C264" s="139"/>
      <c r="D264" s="139"/>
      <c r="E264" s="139"/>
      <c r="F264" s="139"/>
      <c r="G264" s="139"/>
      <c r="H264" s="139"/>
      <c r="I264" s="139"/>
      <c r="J264" s="139"/>
      <c r="K264" s="139"/>
      <c r="L264" s="139"/>
      <c r="M264" s="139"/>
      <c r="N264" s="139"/>
      <c r="O264" s="139"/>
      <c r="P264" s="139"/>
      <c r="Q264" s="139"/>
      <c r="R264" s="139"/>
    </row>
    <row r="265" spans="1:18" ht="15.6" x14ac:dyDescent="0.3">
      <c r="A265" s="139"/>
      <c r="B265" s="139"/>
      <c r="C265" s="139"/>
      <c r="D265" s="139"/>
      <c r="E265" s="139"/>
      <c r="F265" s="139"/>
      <c r="G265" s="139"/>
      <c r="H265" s="139"/>
      <c r="I265" s="139"/>
      <c r="J265" s="139"/>
      <c r="K265" s="139"/>
      <c r="L265" s="139"/>
      <c r="M265" s="139"/>
      <c r="N265" s="139"/>
      <c r="O265" s="139"/>
      <c r="P265" s="139"/>
      <c r="Q265" s="139"/>
      <c r="R265" s="139"/>
    </row>
    <row r="266" spans="1:18" ht="15.6" x14ac:dyDescent="0.3">
      <c r="A266" s="139"/>
      <c r="B266" s="139"/>
      <c r="C266" s="139"/>
      <c r="D266" s="139"/>
      <c r="E266" s="139"/>
      <c r="F266" s="139"/>
      <c r="G266" s="139"/>
      <c r="H266" s="139"/>
      <c r="I266" s="139"/>
      <c r="J266" s="139"/>
      <c r="K266" s="139"/>
      <c r="L266" s="139"/>
      <c r="M266" s="139"/>
      <c r="N266" s="139"/>
      <c r="O266" s="139"/>
      <c r="P266" s="139"/>
      <c r="Q266" s="139"/>
      <c r="R266" s="139"/>
    </row>
    <row r="267" spans="1:18" ht="15.6" x14ac:dyDescent="0.3">
      <c r="A267" s="139"/>
      <c r="B267" s="139"/>
      <c r="C267" s="139"/>
      <c r="D267" s="139"/>
      <c r="E267" s="139"/>
      <c r="F267" s="139"/>
      <c r="G267" s="139"/>
      <c r="H267" s="139"/>
      <c r="I267" s="139"/>
      <c r="J267" s="139"/>
      <c r="K267" s="139"/>
      <c r="L267" s="139"/>
      <c r="M267" s="139"/>
      <c r="N267" s="139"/>
      <c r="O267" s="139"/>
      <c r="P267" s="139"/>
      <c r="Q267" s="139"/>
      <c r="R267" s="139"/>
    </row>
    <row r="268" spans="1:18" ht="15.6" x14ac:dyDescent="0.3">
      <c r="A268" s="139"/>
      <c r="B268" s="139"/>
      <c r="C268" s="139"/>
      <c r="D268" s="139"/>
      <c r="E268" s="139"/>
      <c r="F268" s="139"/>
      <c r="G268" s="139"/>
      <c r="H268" s="139"/>
      <c r="I268" s="139"/>
      <c r="J268" s="139"/>
      <c r="K268" s="139"/>
      <c r="L268" s="139"/>
      <c r="M268" s="139"/>
      <c r="N268" s="139"/>
      <c r="O268" s="139"/>
      <c r="P268" s="139"/>
      <c r="Q268" s="139"/>
      <c r="R268" s="139"/>
    </row>
    <row r="269" spans="1:18" ht="15.6" x14ac:dyDescent="0.3">
      <c r="A269" s="139"/>
      <c r="B269" s="139"/>
      <c r="C269" s="139"/>
      <c r="D269" s="139"/>
      <c r="E269" s="139"/>
      <c r="F269" s="139"/>
      <c r="G269" s="139"/>
      <c r="H269" s="139"/>
      <c r="I269" s="139"/>
      <c r="J269" s="139"/>
      <c r="K269" s="139"/>
      <c r="L269" s="139"/>
      <c r="M269" s="139"/>
      <c r="N269" s="139"/>
      <c r="O269" s="139"/>
      <c r="P269" s="139"/>
      <c r="Q269" s="139"/>
      <c r="R269" s="139"/>
    </row>
    <row r="270" spans="1:18" ht="15.6" x14ac:dyDescent="0.3">
      <c r="A270" s="139"/>
      <c r="B270" s="139"/>
      <c r="C270" s="139"/>
      <c r="D270" s="139"/>
      <c r="E270" s="139"/>
      <c r="F270" s="139"/>
      <c r="G270" s="139"/>
      <c r="H270" s="139"/>
      <c r="I270" s="139"/>
      <c r="J270" s="139"/>
      <c r="K270" s="139"/>
      <c r="L270" s="139"/>
      <c r="M270" s="139"/>
      <c r="N270" s="139"/>
      <c r="O270" s="139"/>
      <c r="P270" s="139"/>
      <c r="Q270" s="139"/>
      <c r="R270" s="139"/>
    </row>
    <row r="271" spans="1:18" ht="15.6" x14ac:dyDescent="0.3">
      <c r="A271" s="139"/>
      <c r="B271" s="139"/>
      <c r="C271" s="139"/>
      <c r="D271" s="139"/>
      <c r="E271" s="139"/>
      <c r="F271" s="139"/>
      <c r="G271" s="139"/>
      <c r="H271" s="139"/>
      <c r="I271" s="139"/>
      <c r="J271" s="139"/>
      <c r="K271" s="139"/>
      <c r="L271" s="139"/>
      <c r="M271" s="139"/>
      <c r="N271" s="139"/>
      <c r="O271" s="139"/>
      <c r="P271" s="139"/>
      <c r="Q271" s="139"/>
      <c r="R271" s="139"/>
    </row>
    <row r="272" spans="1:18" ht="15.6" x14ac:dyDescent="0.3">
      <c r="A272" s="139"/>
      <c r="B272" s="139"/>
      <c r="C272" s="139"/>
      <c r="D272" s="139"/>
      <c r="E272" s="139"/>
      <c r="F272" s="139"/>
      <c r="G272" s="139"/>
      <c r="H272" s="139"/>
      <c r="I272" s="139"/>
      <c r="J272" s="139"/>
      <c r="K272" s="139"/>
      <c r="L272" s="139"/>
      <c r="M272" s="139"/>
      <c r="N272" s="139"/>
      <c r="O272" s="139"/>
      <c r="P272" s="139"/>
      <c r="Q272" s="139"/>
      <c r="R272" s="139"/>
    </row>
    <row r="273" spans="1:18" ht="15.6" x14ac:dyDescent="0.3">
      <c r="A273" s="139"/>
      <c r="B273" s="139"/>
      <c r="C273" s="139"/>
      <c r="D273" s="139"/>
      <c r="E273" s="139"/>
      <c r="F273" s="139"/>
      <c r="G273" s="139"/>
      <c r="H273" s="139"/>
      <c r="I273" s="139"/>
      <c r="J273" s="139"/>
      <c r="K273" s="139"/>
      <c r="L273" s="139"/>
      <c r="M273" s="139"/>
      <c r="N273" s="139"/>
      <c r="O273" s="139"/>
      <c r="P273" s="139"/>
      <c r="Q273" s="139"/>
      <c r="R273" s="139"/>
    </row>
    <row r="274" spans="1:18" ht="15.6" x14ac:dyDescent="0.3">
      <c r="A274" s="139"/>
      <c r="B274" s="139"/>
      <c r="C274" s="139"/>
      <c r="D274" s="139"/>
      <c r="E274" s="139"/>
      <c r="F274" s="139"/>
      <c r="G274" s="139"/>
      <c r="H274" s="139"/>
      <c r="I274" s="139"/>
      <c r="J274" s="139"/>
      <c r="K274" s="139"/>
      <c r="L274" s="139"/>
      <c r="M274" s="139"/>
      <c r="N274" s="139"/>
      <c r="O274" s="139"/>
      <c r="P274" s="139"/>
      <c r="Q274" s="139"/>
      <c r="R274" s="139"/>
    </row>
    <row r="275" spans="1:18" ht="15.6" x14ac:dyDescent="0.3">
      <c r="A275" s="139"/>
      <c r="B275" s="139"/>
      <c r="C275" s="139"/>
      <c r="D275" s="139"/>
      <c r="E275" s="139"/>
      <c r="F275" s="139"/>
      <c r="G275" s="139"/>
      <c r="H275" s="139"/>
      <c r="I275" s="139"/>
      <c r="J275" s="139"/>
      <c r="K275" s="139"/>
      <c r="L275" s="139"/>
      <c r="M275" s="139"/>
      <c r="N275" s="139"/>
      <c r="O275" s="139"/>
      <c r="P275" s="139"/>
      <c r="Q275" s="139"/>
      <c r="R275" s="139"/>
    </row>
    <row r="276" spans="1:18" ht="15.6" x14ac:dyDescent="0.3">
      <c r="A276" s="139"/>
      <c r="B276" s="139"/>
      <c r="C276" s="139"/>
      <c r="D276" s="139"/>
      <c r="E276" s="139"/>
      <c r="F276" s="139"/>
      <c r="G276" s="139"/>
      <c r="H276" s="139"/>
      <c r="I276" s="139"/>
      <c r="J276" s="139"/>
      <c r="K276" s="139"/>
      <c r="L276" s="139"/>
      <c r="M276" s="139"/>
      <c r="N276" s="139"/>
      <c r="O276" s="139"/>
      <c r="P276" s="139"/>
      <c r="Q276" s="139"/>
      <c r="R276" s="139"/>
    </row>
    <row r="277" spans="1:18" ht="15.6" x14ac:dyDescent="0.3">
      <c r="A277" s="139"/>
      <c r="B277" s="139"/>
      <c r="C277" s="139"/>
      <c r="D277" s="139"/>
      <c r="E277" s="139"/>
      <c r="F277" s="139"/>
      <c r="G277" s="139"/>
      <c r="H277" s="139"/>
      <c r="I277" s="139"/>
      <c r="J277" s="139"/>
      <c r="K277" s="139"/>
      <c r="L277" s="139"/>
      <c r="M277" s="139"/>
      <c r="N277" s="139"/>
      <c r="O277" s="139"/>
      <c r="P277" s="139"/>
      <c r="Q277" s="139"/>
      <c r="R277" s="139"/>
    </row>
    <row r="278" spans="1:18" ht="15.6" x14ac:dyDescent="0.3">
      <c r="A278" s="139"/>
      <c r="B278" s="139"/>
      <c r="C278" s="139"/>
      <c r="D278" s="139"/>
      <c r="E278" s="139"/>
      <c r="F278" s="139"/>
      <c r="G278" s="139"/>
      <c r="H278" s="139"/>
      <c r="I278" s="139"/>
      <c r="J278" s="139"/>
      <c r="K278" s="139"/>
      <c r="L278" s="139"/>
      <c r="M278" s="139"/>
      <c r="N278" s="139"/>
      <c r="O278" s="139"/>
      <c r="P278" s="139"/>
      <c r="Q278" s="139"/>
      <c r="R278" s="139"/>
    </row>
    <row r="279" spans="1:18" ht="15.6" x14ac:dyDescent="0.3">
      <c r="A279" s="139"/>
      <c r="B279" s="139"/>
      <c r="C279" s="139"/>
      <c r="D279" s="139"/>
      <c r="E279" s="139"/>
      <c r="F279" s="139"/>
      <c r="G279" s="139"/>
      <c r="H279" s="139"/>
      <c r="I279" s="139"/>
      <c r="J279" s="139"/>
      <c r="K279" s="139"/>
      <c r="L279" s="139"/>
      <c r="M279" s="139"/>
      <c r="N279" s="139"/>
      <c r="O279" s="139"/>
      <c r="P279" s="139"/>
      <c r="Q279" s="139"/>
      <c r="R279" s="139"/>
    </row>
    <row r="280" spans="1:18" ht="15.6" x14ac:dyDescent="0.3">
      <c r="A280" s="139"/>
      <c r="B280" s="139"/>
      <c r="C280" s="139"/>
      <c r="D280" s="139"/>
      <c r="E280" s="139"/>
      <c r="F280" s="139"/>
      <c r="G280" s="139"/>
      <c r="H280" s="139"/>
      <c r="I280" s="139"/>
      <c r="J280" s="139"/>
      <c r="K280" s="139"/>
      <c r="L280" s="139"/>
      <c r="M280" s="139"/>
      <c r="N280" s="139"/>
      <c r="O280" s="139"/>
      <c r="P280" s="139"/>
      <c r="Q280" s="139"/>
      <c r="R280" s="139"/>
    </row>
    <row r="281" spans="1:18" ht="15.6" x14ac:dyDescent="0.3">
      <c r="A281" s="139"/>
      <c r="B281" s="139"/>
      <c r="C281" s="139"/>
      <c r="D281" s="139"/>
      <c r="E281" s="139"/>
      <c r="F281" s="139"/>
      <c r="G281" s="139"/>
      <c r="H281" s="139"/>
      <c r="I281" s="139"/>
      <c r="J281" s="139"/>
      <c r="K281" s="139"/>
      <c r="L281" s="139"/>
      <c r="M281" s="139"/>
      <c r="N281" s="139"/>
      <c r="O281" s="139"/>
      <c r="P281" s="139"/>
      <c r="Q281" s="139"/>
      <c r="R281" s="139"/>
    </row>
    <row r="282" spans="1:18" ht="15.6" x14ac:dyDescent="0.3">
      <c r="A282" s="139"/>
      <c r="B282" s="139"/>
      <c r="C282" s="139"/>
      <c r="D282" s="139"/>
      <c r="E282" s="139"/>
      <c r="F282" s="139"/>
      <c r="G282" s="139"/>
      <c r="H282" s="139"/>
      <c r="I282" s="139"/>
      <c r="J282" s="139"/>
      <c r="K282" s="139"/>
      <c r="L282" s="139"/>
      <c r="M282" s="139"/>
      <c r="N282" s="139"/>
      <c r="O282" s="139"/>
      <c r="P282" s="139"/>
      <c r="Q282" s="139"/>
      <c r="R282" s="139"/>
    </row>
    <row r="283" spans="1:18" ht="15.6" x14ac:dyDescent="0.3">
      <c r="A283" s="139"/>
      <c r="B283" s="139"/>
      <c r="C283" s="139"/>
      <c r="D283" s="139"/>
      <c r="E283" s="139"/>
      <c r="F283" s="139"/>
      <c r="G283" s="139"/>
      <c r="H283" s="139"/>
      <c r="I283" s="139"/>
      <c r="J283" s="139"/>
      <c r="K283" s="139"/>
      <c r="L283" s="139"/>
      <c r="M283" s="139"/>
      <c r="N283" s="139"/>
      <c r="O283" s="139"/>
      <c r="P283" s="139"/>
      <c r="Q283" s="139"/>
      <c r="R283" s="139"/>
    </row>
    <row r="284" spans="1:18" ht="15.6" x14ac:dyDescent="0.3">
      <c r="A284" s="139"/>
      <c r="B284" s="139"/>
      <c r="C284" s="139"/>
      <c r="D284" s="139"/>
      <c r="E284" s="139"/>
      <c r="F284" s="139"/>
      <c r="G284" s="139"/>
      <c r="H284" s="139"/>
      <c r="I284" s="139"/>
      <c r="J284" s="139"/>
      <c r="K284" s="139"/>
      <c r="L284" s="139"/>
      <c r="M284" s="139"/>
      <c r="N284" s="139"/>
      <c r="O284" s="139"/>
      <c r="P284" s="139"/>
      <c r="Q284" s="139"/>
      <c r="R284" s="139"/>
    </row>
    <row r="285" spans="1:18" ht="15.6" x14ac:dyDescent="0.3">
      <c r="A285" s="139"/>
      <c r="B285" s="139"/>
      <c r="C285" s="139"/>
      <c r="D285" s="139"/>
      <c r="E285" s="139"/>
      <c r="F285" s="139"/>
      <c r="G285" s="139"/>
      <c r="H285" s="139"/>
      <c r="I285" s="139"/>
      <c r="J285" s="139"/>
      <c r="K285" s="139"/>
      <c r="L285" s="139"/>
      <c r="M285" s="139"/>
      <c r="N285" s="139"/>
      <c r="O285" s="139"/>
      <c r="P285" s="139"/>
      <c r="Q285" s="139"/>
      <c r="R285" s="139"/>
    </row>
    <row r="286" spans="1:18" ht="15.6" x14ac:dyDescent="0.3">
      <c r="A286" s="139"/>
      <c r="B286" s="139"/>
      <c r="C286" s="139"/>
      <c r="D286" s="139"/>
      <c r="E286" s="139"/>
      <c r="F286" s="139"/>
      <c r="G286" s="139"/>
      <c r="H286" s="139"/>
      <c r="I286" s="139"/>
      <c r="J286" s="139"/>
      <c r="K286" s="139"/>
      <c r="L286" s="139"/>
      <c r="M286" s="139"/>
      <c r="N286" s="139"/>
      <c r="O286" s="139"/>
      <c r="P286" s="139"/>
      <c r="Q286" s="139"/>
      <c r="R286" s="139"/>
    </row>
    <row r="287" spans="1:18" ht="15.6" x14ac:dyDescent="0.3">
      <c r="A287" s="139"/>
      <c r="B287" s="139"/>
      <c r="C287" s="139"/>
      <c r="D287" s="139"/>
      <c r="E287" s="139"/>
      <c r="F287" s="139"/>
      <c r="G287" s="139"/>
      <c r="H287" s="139"/>
      <c r="I287" s="139"/>
      <c r="J287" s="139"/>
      <c r="K287" s="139"/>
      <c r="L287" s="139"/>
      <c r="M287" s="139"/>
      <c r="N287" s="139"/>
      <c r="O287" s="139"/>
      <c r="P287" s="139"/>
      <c r="Q287" s="139"/>
      <c r="R287" s="139"/>
    </row>
    <row r="288" spans="1:18" ht="15.6" x14ac:dyDescent="0.3">
      <c r="A288" s="139"/>
      <c r="B288" s="139"/>
      <c r="C288" s="139"/>
      <c r="D288" s="139"/>
      <c r="E288" s="139"/>
      <c r="F288" s="139"/>
      <c r="G288" s="139"/>
      <c r="H288" s="139"/>
      <c r="I288" s="139"/>
      <c r="J288" s="139"/>
      <c r="K288" s="139"/>
      <c r="L288" s="139"/>
      <c r="M288" s="139"/>
      <c r="N288" s="139"/>
      <c r="O288" s="139"/>
      <c r="P288" s="139"/>
      <c r="Q288" s="139"/>
      <c r="R288" s="139"/>
    </row>
    <row r="289" spans="1:18" ht="15.6" x14ac:dyDescent="0.3">
      <c r="A289" s="139"/>
      <c r="B289" s="139"/>
      <c r="C289" s="139"/>
      <c r="D289" s="139"/>
      <c r="E289" s="139"/>
      <c r="F289" s="139"/>
      <c r="G289" s="139"/>
      <c r="H289" s="139"/>
      <c r="I289" s="139"/>
      <c r="J289" s="139"/>
      <c r="K289" s="139"/>
      <c r="L289" s="139"/>
      <c r="M289" s="139"/>
      <c r="N289" s="139"/>
      <c r="O289" s="139"/>
      <c r="P289" s="139"/>
      <c r="Q289" s="139"/>
      <c r="R289" s="139"/>
    </row>
    <row r="290" spans="1:18" ht="15.6" x14ac:dyDescent="0.3">
      <c r="A290" s="139"/>
      <c r="B290" s="139"/>
      <c r="C290" s="139"/>
      <c r="D290" s="139"/>
      <c r="E290" s="139"/>
      <c r="F290" s="139"/>
      <c r="G290" s="139"/>
      <c r="H290" s="139"/>
      <c r="I290" s="139"/>
      <c r="J290" s="139"/>
      <c r="K290" s="139"/>
      <c r="L290" s="139"/>
      <c r="M290" s="139"/>
      <c r="N290" s="139"/>
      <c r="O290" s="139"/>
      <c r="P290" s="139"/>
      <c r="Q290" s="139"/>
      <c r="R290" s="139"/>
    </row>
    <row r="291" spans="1:18" ht="15.6" x14ac:dyDescent="0.3">
      <c r="A291" s="139"/>
      <c r="B291" s="139"/>
      <c r="C291" s="139"/>
      <c r="D291" s="139"/>
      <c r="E291" s="139"/>
      <c r="F291" s="139"/>
      <c r="G291" s="139"/>
      <c r="H291" s="139"/>
      <c r="I291" s="139"/>
      <c r="J291" s="139"/>
      <c r="K291" s="139"/>
      <c r="L291" s="139"/>
      <c r="M291" s="139"/>
      <c r="N291" s="139"/>
      <c r="O291" s="139"/>
      <c r="P291" s="139"/>
      <c r="Q291" s="139"/>
      <c r="R291" s="139"/>
    </row>
    <row r="292" spans="1:18" ht="15.6" x14ac:dyDescent="0.3">
      <c r="A292" s="139"/>
      <c r="B292" s="139"/>
      <c r="C292" s="139"/>
      <c r="D292" s="139"/>
      <c r="E292" s="139"/>
      <c r="F292" s="139"/>
      <c r="G292" s="139"/>
      <c r="H292" s="139"/>
      <c r="I292" s="139"/>
      <c r="J292" s="139"/>
      <c r="K292" s="139"/>
      <c r="L292" s="139"/>
      <c r="M292" s="139"/>
      <c r="N292" s="139"/>
      <c r="O292" s="139"/>
      <c r="P292" s="139"/>
      <c r="Q292" s="139"/>
      <c r="R292" s="139"/>
    </row>
    <row r="293" spans="1:18" ht="15.6" x14ac:dyDescent="0.3">
      <c r="A293" s="139"/>
      <c r="B293" s="139"/>
      <c r="C293" s="139"/>
      <c r="D293" s="139"/>
      <c r="E293" s="139"/>
      <c r="F293" s="139"/>
      <c r="G293" s="139"/>
      <c r="H293" s="139"/>
      <c r="I293" s="139"/>
      <c r="J293" s="139"/>
      <c r="K293" s="139"/>
      <c r="L293" s="139"/>
      <c r="M293" s="139"/>
      <c r="N293" s="139"/>
      <c r="O293" s="139"/>
      <c r="P293" s="139"/>
      <c r="Q293" s="139"/>
      <c r="R293" s="139"/>
    </row>
    <row r="294" spans="1:18" ht="15.6" x14ac:dyDescent="0.3">
      <c r="A294" s="139"/>
      <c r="B294" s="139"/>
      <c r="C294" s="139"/>
      <c r="D294" s="139"/>
      <c r="E294" s="139"/>
      <c r="F294" s="139"/>
      <c r="G294" s="139"/>
      <c r="H294" s="139"/>
      <c r="I294" s="139"/>
      <c r="J294" s="139"/>
      <c r="K294" s="139"/>
      <c r="L294" s="139"/>
      <c r="M294" s="139"/>
      <c r="N294" s="139"/>
      <c r="O294" s="139"/>
      <c r="P294" s="139"/>
      <c r="Q294" s="139"/>
      <c r="R294" s="139"/>
    </row>
    <row r="295" spans="1:18" ht="15.6" x14ac:dyDescent="0.3">
      <c r="A295" s="139"/>
      <c r="B295" s="139"/>
      <c r="C295" s="139"/>
      <c r="D295" s="139"/>
      <c r="E295" s="139"/>
      <c r="F295" s="139"/>
      <c r="G295" s="139"/>
      <c r="H295" s="139"/>
      <c r="I295" s="139"/>
      <c r="J295" s="139"/>
      <c r="K295" s="139"/>
      <c r="L295" s="139"/>
      <c r="M295" s="139"/>
      <c r="N295" s="139"/>
      <c r="O295" s="139"/>
      <c r="P295" s="139"/>
      <c r="Q295" s="139"/>
      <c r="R295" s="139"/>
    </row>
    <row r="296" spans="1:18" ht="15.6" x14ac:dyDescent="0.3">
      <c r="A296" s="139"/>
      <c r="B296" s="139"/>
      <c r="C296" s="139"/>
      <c r="D296" s="139"/>
      <c r="E296" s="139"/>
      <c r="F296" s="139"/>
      <c r="G296" s="139"/>
      <c r="H296" s="139"/>
      <c r="I296" s="139"/>
      <c r="J296" s="139"/>
      <c r="K296" s="139"/>
      <c r="L296" s="139"/>
      <c r="M296" s="139"/>
      <c r="N296" s="139"/>
      <c r="O296" s="139"/>
      <c r="P296" s="139"/>
      <c r="Q296" s="139"/>
      <c r="R296" s="139"/>
    </row>
    <row r="297" spans="1:18" ht="15.6" x14ac:dyDescent="0.3">
      <c r="A297" s="139"/>
      <c r="B297" s="139"/>
      <c r="C297" s="139"/>
      <c r="D297" s="139"/>
      <c r="E297" s="139"/>
      <c r="F297" s="139"/>
      <c r="G297" s="139"/>
      <c r="H297" s="139"/>
      <c r="I297" s="139"/>
      <c r="J297" s="139"/>
      <c r="K297" s="139"/>
      <c r="L297" s="139"/>
      <c r="M297" s="139"/>
      <c r="N297" s="139"/>
      <c r="O297" s="139"/>
      <c r="P297" s="139"/>
      <c r="Q297" s="139"/>
      <c r="R297" s="139"/>
    </row>
    <row r="298" spans="1:18" ht="15.6" x14ac:dyDescent="0.3">
      <c r="A298" s="139"/>
      <c r="B298" s="139"/>
      <c r="C298" s="139"/>
      <c r="D298" s="139"/>
      <c r="E298" s="139"/>
      <c r="F298" s="139"/>
      <c r="G298" s="139"/>
      <c r="H298" s="139"/>
      <c r="I298" s="139"/>
      <c r="J298" s="139"/>
      <c r="K298" s="139"/>
      <c r="L298" s="139"/>
      <c r="M298" s="139"/>
      <c r="N298" s="139"/>
      <c r="O298" s="139"/>
      <c r="P298" s="139"/>
      <c r="Q298" s="139"/>
      <c r="R298" s="139"/>
    </row>
    <row r="299" spans="1:18" ht="15.6" x14ac:dyDescent="0.3">
      <c r="A299" s="139"/>
      <c r="B299" s="139"/>
      <c r="C299" s="139"/>
      <c r="D299" s="139"/>
      <c r="E299" s="139"/>
      <c r="F299" s="139"/>
      <c r="G299" s="139"/>
      <c r="H299" s="139"/>
      <c r="I299" s="139"/>
      <c r="J299" s="139"/>
      <c r="K299" s="139"/>
      <c r="L299" s="139"/>
      <c r="M299" s="139"/>
      <c r="N299" s="139"/>
      <c r="O299" s="139"/>
      <c r="P299" s="139"/>
      <c r="Q299" s="139"/>
      <c r="R299" s="139"/>
    </row>
    <row r="300" spans="1:18" ht="15.6" x14ac:dyDescent="0.3">
      <c r="A300" s="139"/>
      <c r="B300" s="139"/>
      <c r="C300" s="139"/>
      <c r="D300" s="139"/>
      <c r="E300" s="139"/>
      <c r="F300" s="139"/>
      <c r="G300" s="139"/>
      <c r="H300" s="139"/>
      <c r="I300" s="139"/>
      <c r="J300" s="139"/>
      <c r="K300" s="139"/>
      <c r="L300" s="139"/>
      <c r="M300" s="139"/>
      <c r="N300" s="139"/>
      <c r="O300" s="139"/>
      <c r="P300" s="139"/>
      <c r="Q300" s="139"/>
      <c r="R300" s="139"/>
    </row>
    <row r="301" spans="1:18" ht="15.6" x14ac:dyDescent="0.3">
      <c r="A301" s="139"/>
      <c r="B301" s="139"/>
      <c r="C301" s="139"/>
      <c r="D301" s="139"/>
      <c r="E301" s="139"/>
      <c r="F301" s="139"/>
      <c r="G301" s="139"/>
      <c r="H301" s="139"/>
      <c r="I301" s="139"/>
      <c r="J301" s="139"/>
      <c r="K301" s="139"/>
      <c r="L301" s="139"/>
      <c r="M301" s="139"/>
      <c r="N301" s="139"/>
      <c r="O301" s="139"/>
      <c r="P301" s="139"/>
      <c r="Q301" s="139"/>
      <c r="R301" s="139"/>
    </row>
    <row r="302" spans="1:18" ht="15.6" x14ac:dyDescent="0.3">
      <c r="A302" s="139"/>
      <c r="B302" s="139"/>
      <c r="C302" s="139"/>
      <c r="D302" s="139"/>
      <c r="E302" s="139"/>
      <c r="F302" s="139"/>
      <c r="G302" s="139"/>
      <c r="H302" s="139"/>
      <c r="I302" s="139"/>
      <c r="J302" s="139"/>
      <c r="K302" s="139"/>
      <c r="L302" s="139"/>
      <c r="M302" s="139"/>
      <c r="N302" s="139"/>
      <c r="O302" s="139"/>
      <c r="P302" s="139"/>
      <c r="Q302" s="139"/>
      <c r="R302" s="139"/>
    </row>
    <row r="303" spans="1:18" ht="15.6" x14ac:dyDescent="0.3">
      <c r="A303" s="139"/>
      <c r="B303" s="139"/>
      <c r="C303" s="139"/>
      <c r="D303" s="139"/>
      <c r="E303" s="139"/>
      <c r="F303" s="139"/>
      <c r="G303" s="139"/>
      <c r="H303" s="139"/>
      <c r="I303" s="139"/>
      <c r="J303" s="139"/>
      <c r="K303" s="139"/>
      <c r="L303" s="139"/>
      <c r="M303" s="139"/>
      <c r="N303" s="139"/>
      <c r="O303" s="139"/>
      <c r="P303" s="139"/>
      <c r="Q303" s="139"/>
      <c r="R303" s="139"/>
    </row>
    <row r="304" spans="1:18" ht="15.6" x14ac:dyDescent="0.3">
      <c r="A304" s="139"/>
      <c r="B304" s="139"/>
      <c r="C304" s="139"/>
      <c r="D304" s="139"/>
      <c r="E304" s="139"/>
      <c r="F304" s="139"/>
      <c r="G304" s="139"/>
      <c r="H304" s="139"/>
      <c r="I304" s="139"/>
      <c r="J304" s="139"/>
      <c r="K304" s="139"/>
      <c r="L304" s="139"/>
      <c r="M304" s="139"/>
      <c r="N304" s="139"/>
      <c r="O304" s="139"/>
      <c r="P304" s="139"/>
      <c r="Q304" s="139"/>
      <c r="R304" s="139"/>
    </row>
    <row r="305" spans="1:18" ht="15.6" x14ac:dyDescent="0.3">
      <c r="A305" s="139"/>
      <c r="B305" s="139"/>
      <c r="C305" s="139"/>
      <c r="D305" s="139"/>
      <c r="E305" s="139"/>
      <c r="F305" s="139"/>
      <c r="G305" s="139"/>
      <c r="H305" s="139"/>
      <c r="I305" s="139"/>
      <c r="J305" s="139"/>
      <c r="K305" s="139"/>
      <c r="L305" s="139"/>
      <c r="M305" s="139"/>
      <c r="N305" s="139"/>
      <c r="O305" s="139"/>
      <c r="P305" s="139"/>
      <c r="Q305" s="139"/>
      <c r="R305" s="139"/>
    </row>
    <row r="306" spans="1:18" ht="15.6" x14ac:dyDescent="0.3">
      <c r="A306" s="139"/>
      <c r="B306" s="139"/>
      <c r="C306" s="139"/>
      <c r="D306" s="139"/>
      <c r="E306" s="139"/>
      <c r="F306" s="139"/>
      <c r="G306" s="139"/>
      <c r="H306" s="139"/>
      <c r="I306" s="139"/>
      <c r="J306" s="139"/>
      <c r="K306" s="139"/>
      <c r="L306" s="139"/>
      <c r="M306" s="139"/>
      <c r="N306" s="139"/>
      <c r="O306" s="139"/>
      <c r="P306" s="139"/>
      <c r="Q306" s="139"/>
      <c r="R306" s="139"/>
    </row>
    <row r="307" spans="1:18" ht="15.6" x14ac:dyDescent="0.3">
      <c r="A307" s="139"/>
      <c r="B307" s="139"/>
      <c r="C307" s="139"/>
      <c r="D307" s="139"/>
      <c r="E307" s="139"/>
      <c r="F307" s="139"/>
      <c r="G307" s="139"/>
      <c r="H307" s="139"/>
      <c r="I307" s="139"/>
      <c r="J307" s="139"/>
      <c r="K307" s="139"/>
      <c r="L307" s="139"/>
      <c r="M307" s="139"/>
      <c r="N307" s="139"/>
      <c r="O307" s="139"/>
      <c r="P307" s="139"/>
      <c r="Q307" s="139"/>
      <c r="R307" s="139"/>
    </row>
    <row r="308" spans="1:18" ht="15.6" x14ac:dyDescent="0.3">
      <c r="A308" s="139"/>
      <c r="B308" s="139"/>
      <c r="C308" s="139"/>
      <c r="D308" s="139"/>
      <c r="E308" s="139"/>
      <c r="F308" s="139"/>
      <c r="G308" s="139"/>
      <c r="H308" s="139"/>
      <c r="I308" s="139"/>
      <c r="J308" s="139"/>
      <c r="K308" s="139"/>
      <c r="L308" s="139"/>
      <c r="M308" s="139"/>
      <c r="N308" s="139"/>
      <c r="O308" s="139"/>
      <c r="P308" s="139"/>
      <c r="Q308" s="139"/>
      <c r="R308" s="139"/>
    </row>
    <row r="309" spans="1:18" ht="15.6" x14ac:dyDescent="0.3">
      <c r="A309" s="139"/>
      <c r="B309" s="139"/>
      <c r="C309" s="139"/>
      <c r="D309" s="139"/>
      <c r="E309" s="139"/>
      <c r="F309" s="139"/>
      <c r="G309" s="139"/>
      <c r="H309" s="139"/>
      <c r="I309" s="139"/>
      <c r="J309" s="139"/>
      <c r="K309" s="139"/>
      <c r="L309" s="139"/>
      <c r="M309" s="139"/>
      <c r="N309" s="139"/>
      <c r="O309" s="139"/>
      <c r="P309" s="139"/>
      <c r="Q309" s="139"/>
      <c r="R309" s="139"/>
    </row>
    <row r="310" spans="1:18" ht="15.6" x14ac:dyDescent="0.3">
      <c r="A310" s="139"/>
      <c r="B310" s="139"/>
      <c r="C310" s="139"/>
      <c r="D310" s="139"/>
      <c r="E310" s="139"/>
      <c r="F310" s="139"/>
      <c r="G310" s="139"/>
      <c r="H310" s="139"/>
      <c r="I310" s="139"/>
      <c r="J310" s="139"/>
      <c r="K310" s="139"/>
      <c r="L310" s="139"/>
      <c r="M310" s="139"/>
      <c r="N310" s="139"/>
      <c r="O310" s="139"/>
      <c r="P310" s="139"/>
      <c r="Q310" s="139"/>
      <c r="R310" s="139"/>
    </row>
    <row r="311" spans="1:18" ht="15.6" x14ac:dyDescent="0.3">
      <c r="A311" s="139"/>
      <c r="B311" s="139"/>
      <c r="C311" s="139"/>
      <c r="D311" s="139"/>
      <c r="E311" s="139"/>
      <c r="F311" s="139"/>
      <c r="G311" s="139"/>
      <c r="H311" s="139"/>
      <c r="I311" s="139"/>
      <c r="J311" s="139"/>
      <c r="K311" s="139"/>
      <c r="L311" s="139"/>
      <c r="M311" s="139"/>
      <c r="N311" s="139"/>
      <c r="O311" s="139"/>
      <c r="P311" s="139"/>
      <c r="Q311" s="139"/>
      <c r="R311" s="139"/>
    </row>
    <row r="312" spans="1:18" ht="15.6" x14ac:dyDescent="0.3">
      <c r="A312" s="139"/>
      <c r="B312" s="139"/>
      <c r="C312" s="139"/>
      <c r="D312" s="139"/>
      <c r="E312" s="139"/>
      <c r="F312" s="139"/>
      <c r="G312" s="139"/>
      <c r="H312" s="139"/>
      <c r="I312" s="139"/>
      <c r="J312" s="139"/>
      <c r="K312" s="139"/>
      <c r="L312" s="139"/>
      <c r="M312" s="139"/>
      <c r="N312" s="139"/>
      <c r="O312" s="139"/>
      <c r="P312" s="139"/>
      <c r="Q312" s="139"/>
      <c r="R312" s="139"/>
    </row>
    <row r="313" spans="1:18" ht="15.6" x14ac:dyDescent="0.3">
      <c r="A313" s="139"/>
      <c r="B313" s="139"/>
      <c r="C313" s="139"/>
      <c r="D313" s="139"/>
      <c r="E313" s="139"/>
      <c r="F313" s="139"/>
      <c r="G313" s="139"/>
      <c r="H313" s="139"/>
      <c r="I313" s="139"/>
      <c r="J313" s="139"/>
      <c r="K313" s="139"/>
      <c r="L313" s="139"/>
      <c r="M313" s="139"/>
      <c r="N313" s="139"/>
      <c r="O313" s="139"/>
      <c r="P313" s="139"/>
      <c r="Q313" s="139"/>
      <c r="R313" s="139"/>
    </row>
    <row r="314" spans="1:18" ht="15.6" x14ac:dyDescent="0.3">
      <c r="A314" s="139"/>
      <c r="B314" s="139"/>
      <c r="C314" s="139"/>
      <c r="D314" s="139"/>
      <c r="E314" s="139"/>
      <c r="F314" s="139"/>
      <c r="G314" s="139"/>
      <c r="H314" s="139"/>
      <c r="I314" s="139"/>
      <c r="J314" s="139"/>
      <c r="K314" s="139"/>
      <c r="L314" s="139"/>
      <c r="M314" s="139"/>
      <c r="N314" s="139"/>
      <c r="O314" s="139"/>
      <c r="P314" s="139"/>
      <c r="Q314" s="139"/>
      <c r="R314" s="139"/>
    </row>
    <row r="315" spans="1:18" ht="15.6" x14ac:dyDescent="0.3">
      <c r="A315" s="139"/>
      <c r="B315" s="139"/>
      <c r="C315" s="139"/>
      <c r="D315" s="139"/>
      <c r="E315" s="139"/>
      <c r="F315" s="139"/>
      <c r="G315" s="139"/>
      <c r="H315" s="139"/>
      <c r="I315" s="139"/>
      <c r="J315" s="139"/>
      <c r="K315" s="139"/>
      <c r="L315" s="139"/>
      <c r="M315" s="139"/>
      <c r="N315" s="139"/>
      <c r="O315" s="139"/>
      <c r="P315" s="139"/>
      <c r="Q315" s="139"/>
      <c r="R315" s="139"/>
    </row>
    <row r="316" spans="1:18" ht="15.6" x14ac:dyDescent="0.3">
      <c r="A316" s="139"/>
      <c r="B316" s="139"/>
      <c r="C316" s="139"/>
      <c r="D316" s="139"/>
      <c r="E316" s="139"/>
      <c r="F316" s="139"/>
      <c r="G316" s="139"/>
      <c r="H316" s="139"/>
      <c r="I316" s="139"/>
      <c r="J316" s="139"/>
      <c r="K316" s="139"/>
      <c r="L316" s="139"/>
      <c r="M316" s="139"/>
      <c r="N316" s="139"/>
      <c r="O316" s="139"/>
      <c r="P316" s="139"/>
      <c r="Q316" s="139"/>
      <c r="R316" s="139"/>
    </row>
    <row r="317" spans="1:18" ht="15.6" x14ac:dyDescent="0.3">
      <c r="A317" s="139"/>
      <c r="B317" s="139"/>
      <c r="C317" s="139"/>
      <c r="D317" s="139"/>
      <c r="E317" s="139"/>
      <c r="F317" s="139"/>
      <c r="G317" s="139"/>
      <c r="H317" s="139"/>
      <c r="I317" s="139"/>
      <c r="J317" s="139"/>
      <c r="K317" s="139"/>
      <c r="L317" s="139"/>
      <c r="M317" s="139"/>
      <c r="N317" s="139"/>
      <c r="O317" s="139"/>
      <c r="P317" s="139"/>
      <c r="Q317" s="139"/>
      <c r="R317" s="139"/>
    </row>
    <row r="318" spans="1:18" ht="15.6" x14ac:dyDescent="0.3">
      <c r="A318" s="139"/>
      <c r="B318" s="139"/>
      <c r="C318" s="139"/>
      <c r="D318" s="139"/>
      <c r="E318" s="139"/>
      <c r="F318" s="139"/>
      <c r="G318" s="139"/>
      <c r="H318" s="139"/>
      <c r="I318" s="139"/>
      <c r="J318" s="139"/>
      <c r="K318" s="139"/>
      <c r="L318" s="139"/>
      <c r="M318" s="139"/>
      <c r="N318" s="139"/>
      <c r="O318" s="139"/>
      <c r="P318" s="139"/>
      <c r="Q318" s="139"/>
      <c r="R318" s="139"/>
    </row>
    <row r="319" spans="1:18" ht="15.6" x14ac:dyDescent="0.3">
      <c r="A319" s="139"/>
      <c r="B319" s="139"/>
      <c r="C319" s="139"/>
      <c r="D319" s="139"/>
      <c r="E319" s="139"/>
      <c r="F319" s="139"/>
      <c r="G319" s="139"/>
      <c r="H319" s="139"/>
      <c r="I319" s="139"/>
      <c r="J319" s="139"/>
      <c r="K319" s="139"/>
      <c r="L319" s="139"/>
      <c r="M319" s="139"/>
      <c r="N319" s="139"/>
      <c r="O319" s="139"/>
      <c r="P319" s="139"/>
      <c r="Q319" s="139"/>
      <c r="R319" s="139"/>
    </row>
    <row r="320" spans="1:18" ht="15.6" x14ac:dyDescent="0.3">
      <c r="A320" s="139"/>
      <c r="B320" s="139"/>
      <c r="C320" s="139"/>
      <c r="D320" s="139"/>
      <c r="E320" s="139"/>
      <c r="F320" s="139"/>
      <c r="G320" s="139"/>
      <c r="H320" s="139"/>
      <c r="I320" s="139"/>
      <c r="J320" s="139"/>
      <c r="K320" s="139"/>
      <c r="L320" s="139"/>
      <c r="M320" s="139"/>
      <c r="N320" s="139"/>
      <c r="O320" s="139"/>
      <c r="P320" s="139"/>
      <c r="Q320" s="139"/>
      <c r="R320" s="139"/>
    </row>
    <row r="321" spans="1:18" ht="15.6" x14ac:dyDescent="0.3">
      <c r="A321" s="139"/>
      <c r="B321" s="139"/>
      <c r="C321" s="139"/>
      <c r="D321" s="139"/>
      <c r="E321" s="139"/>
      <c r="F321" s="139"/>
      <c r="G321" s="139"/>
      <c r="H321" s="139"/>
      <c r="I321" s="139"/>
      <c r="J321" s="139"/>
      <c r="K321" s="139"/>
      <c r="L321" s="139"/>
      <c r="M321" s="139"/>
      <c r="N321" s="139"/>
      <c r="O321" s="139"/>
      <c r="P321" s="139"/>
      <c r="Q321" s="139"/>
      <c r="R321" s="139"/>
    </row>
    <row r="322" spans="1:18" ht="15.6" x14ac:dyDescent="0.3">
      <c r="A322" s="139"/>
      <c r="B322" s="139"/>
      <c r="C322" s="139"/>
      <c r="D322" s="139"/>
      <c r="E322" s="139"/>
      <c r="F322" s="139"/>
      <c r="G322" s="139"/>
      <c r="H322" s="139"/>
      <c r="I322" s="139"/>
      <c r="J322" s="139"/>
      <c r="K322" s="139"/>
      <c r="L322" s="139"/>
      <c r="M322" s="139"/>
      <c r="N322" s="139"/>
      <c r="O322" s="139"/>
      <c r="P322" s="139"/>
      <c r="Q322" s="139"/>
      <c r="R322" s="139"/>
    </row>
    <row r="323" spans="1:18" ht="15.6" x14ac:dyDescent="0.3">
      <c r="A323" s="139"/>
      <c r="B323" s="139"/>
      <c r="C323" s="139"/>
      <c r="D323" s="139"/>
      <c r="E323" s="139"/>
      <c r="F323" s="139"/>
      <c r="G323" s="139"/>
      <c r="H323" s="139"/>
      <c r="I323" s="139"/>
      <c r="J323" s="139"/>
      <c r="K323" s="139"/>
      <c r="L323" s="139"/>
      <c r="M323" s="139"/>
      <c r="N323" s="139"/>
      <c r="O323" s="139"/>
      <c r="P323" s="139"/>
      <c r="Q323" s="139"/>
      <c r="R323" s="139"/>
    </row>
    <row r="324" spans="1:18" ht="15.6" x14ac:dyDescent="0.3">
      <c r="A324" s="139"/>
      <c r="B324" s="139"/>
      <c r="C324" s="139"/>
      <c r="D324" s="139"/>
      <c r="E324" s="139"/>
      <c r="F324" s="139"/>
      <c r="G324" s="139"/>
      <c r="H324" s="139"/>
      <c r="I324" s="139"/>
      <c r="J324" s="139"/>
      <c r="K324" s="139"/>
      <c r="L324" s="139"/>
      <c r="M324" s="139"/>
      <c r="N324" s="139"/>
      <c r="O324" s="139"/>
      <c r="P324" s="139"/>
      <c r="Q324" s="139"/>
      <c r="R324" s="139"/>
    </row>
    <row r="325" spans="1:18" ht="16.8" x14ac:dyDescent="0.3">
      <c r="A325" s="140"/>
      <c r="B325" s="140"/>
      <c r="C325" s="140"/>
      <c r="D325" s="140"/>
      <c r="E325" s="140"/>
      <c r="F325" s="140"/>
      <c r="G325" s="140"/>
      <c r="H325" s="140"/>
      <c r="I325" s="140"/>
      <c r="J325" s="140"/>
      <c r="K325" s="140"/>
      <c r="L325" s="140"/>
      <c r="M325" s="140"/>
      <c r="N325" s="140"/>
      <c r="O325" s="140"/>
      <c r="P325" s="140"/>
      <c r="Q325" s="140"/>
      <c r="R325" s="140"/>
    </row>
    <row r="326" spans="1:18" ht="16.8" x14ac:dyDescent="0.3">
      <c r="A326" s="140"/>
      <c r="B326" s="140"/>
      <c r="C326" s="140"/>
      <c r="D326" s="140"/>
      <c r="E326" s="140"/>
      <c r="F326" s="140"/>
      <c r="G326" s="140"/>
      <c r="H326" s="140"/>
      <c r="I326" s="140"/>
      <c r="J326" s="140"/>
      <c r="K326" s="140"/>
      <c r="L326" s="140"/>
      <c r="M326" s="140"/>
      <c r="N326" s="140"/>
      <c r="O326" s="140"/>
      <c r="P326" s="140"/>
      <c r="Q326" s="140"/>
      <c r="R326" s="140"/>
    </row>
    <row r="327" spans="1:18" ht="16.8" x14ac:dyDescent="0.3">
      <c r="A327" s="140"/>
      <c r="B327" s="140"/>
      <c r="C327" s="140"/>
      <c r="D327" s="140"/>
      <c r="E327" s="140"/>
      <c r="F327" s="140"/>
      <c r="G327" s="140"/>
      <c r="H327" s="140"/>
      <c r="I327" s="140"/>
      <c r="J327" s="140"/>
      <c r="K327" s="140"/>
      <c r="L327" s="140"/>
      <c r="M327" s="140"/>
      <c r="N327" s="140"/>
      <c r="O327" s="140"/>
      <c r="P327" s="140"/>
      <c r="Q327" s="140"/>
      <c r="R327" s="140"/>
    </row>
    <row r="328" spans="1:18" ht="16.8" x14ac:dyDescent="0.3">
      <c r="A328" s="140"/>
      <c r="B328" s="140"/>
      <c r="C328" s="140"/>
      <c r="D328" s="140"/>
      <c r="E328" s="140"/>
      <c r="F328" s="140"/>
      <c r="G328" s="140"/>
      <c r="H328" s="140"/>
      <c r="I328" s="140"/>
      <c r="J328" s="140"/>
      <c r="K328" s="140"/>
      <c r="L328" s="140"/>
      <c r="M328" s="140"/>
      <c r="N328" s="140"/>
      <c r="O328" s="140"/>
      <c r="P328" s="140"/>
      <c r="Q328" s="140"/>
      <c r="R328" s="140"/>
    </row>
    <row r="329" spans="1:18" ht="16.8" x14ac:dyDescent="0.3">
      <c r="A329" s="140"/>
      <c r="B329" s="140"/>
      <c r="C329" s="140"/>
      <c r="D329" s="140"/>
      <c r="E329" s="140"/>
      <c r="F329" s="140"/>
      <c r="G329" s="140"/>
      <c r="H329" s="140"/>
      <c r="I329" s="140"/>
      <c r="J329" s="140"/>
      <c r="K329" s="140"/>
      <c r="L329" s="140"/>
      <c r="M329" s="140"/>
      <c r="N329" s="140"/>
      <c r="O329" s="140"/>
      <c r="P329" s="140"/>
      <c r="Q329" s="140"/>
      <c r="R329" s="140"/>
    </row>
    <row r="330" spans="1:18" ht="16.8" x14ac:dyDescent="0.3">
      <c r="A330" s="140"/>
      <c r="B330" s="140"/>
      <c r="C330" s="140"/>
      <c r="D330" s="140"/>
      <c r="E330" s="140"/>
      <c r="F330" s="140"/>
      <c r="G330" s="140"/>
      <c r="H330" s="140"/>
      <c r="I330" s="140"/>
      <c r="J330" s="140"/>
      <c r="K330" s="140"/>
      <c r="L330" s="140"/>
      <c r="M330" s="140"/>
      <c r="N330" s="140"/>
      <c r="O330" s="140"/>
      <c r="P330" s="140"/>
      <c r="Q330" s="140"/>
      <c r="R330" s="140"/>
    </row>
    <row r="331" spans="1:18" ht="16.8" x14ac:dyDescent="0.3">
      <c r="A331" s="140"/>
      <c r="B331" s="140"/>
      <c r="C331" s="140"/>
      <c r="D331" s="140"/>
      <c r="E331" s="140"/>
      <c r="F331" s="140"/>
      <c r="G331" s="140"/>
      <c r="H331" s="140"/>
      <c r="I331" s="140"/>
      <c r="J331" s="140"/>
      <c r="K331" s="140"/>
      <c r="L331" s="140"/>
      <c r="M331" s="140"/>
      <c r="N331" s="140"/>
      <c r="O331" s="140"/>
      <c r="P331" s="140"/>
      <c r="Q331" s="140"/>
      <c r="R331" s="140"/>
    </row>
    <row r="332" spans="1:18" ht="16.8" x14ac:dyDescent="0.3">
      <c r="A332" s="140"/>
      <c r="B332" s="140"/>
      <c r="C332" s="140"/>
      <c r="D332" s="140"/>
      <c r="E332" s="140"/>
      <c r="F332" s="140"/>
      <c r="G332" s="140"/>
      <c r="H332" s="140"/>
      <c r="I332" s="140"/>
      <c r="J332" s="140"/>
      <c r="K332" s="140"/>
      <c r="L332" s="140"/>
      <c r="M332" s="140"/>
      <c r="N332" s="140"/>
      <c r="O332" s="140"/>
      <c r="P332" s="140"/>
      <c r="Q332" s="140"/>
      <c r="R332" s="140"/>
    </row>
    <row r="333" spans="1:18" ht="16.8" x14ac:dyDescent="0.3">
      <c r="A333" s="140"/>
      <c r="B333" s="140"/>
      <c r="C333" s="140"/>
      <c r="D333" s="140"/>
      <c r="E333" s="140"/>
      <c r="F333" s="140"/>
      <c r="G333" s="140"/>
      <c r="H333" s="140"/>
      <c r="I333" s="140"/>
      <c r="J333" s="140"/>
      <c r="K333" s="140"/>
      <c r="L333" s="140"/>
      <c r="M333" s="140"/>
      <c r="N333" s="140"/>
      <c r="O333" s="140"/>
      <c r="P333" s="140"/>
      <c r="Q333" s="140"/>
      <c r="R333" s="140"/>
    </row>
    <row r="334" spans="1:18" ht="16.8" x14ac:dyDescent="0.3">
      <c r="A334" s="140"/>
      <c r="B334" s="140"/>
      <c r="C334" s="140"/>
      <c r="D334" s="140"/>
      <c r="E334" s="140"/>
      <c r="F334" s="140"/>
      <c r="G334" s="140"/>
      <c r="H334" s="140"/>
      <c r="I334" s="140"/>
      <c r="J334" s="140"/>
      <c r="K334" s="140"/>
      <c r="L334" s="140"/>
      <c r="M334" s="140"/>
      <c r="N334" s="140"/>
      <c r="O334" s="140"/>
      <c r="P334" s="140"/>
      <c r="Q334" s="140"/>
      <c r="R334" s="140"/>
    </row>
    <row r="335" spans="1:18" ht="16.8" x14ac:dyDescent="0.3">
      <c r="A335" s="140"/>
      <c r="B335" s="140"/>
      <c r="C335" s="140"/>
      <c r="D335" s="140"/>
      <c r="E335" s="140"/>
      <c r="F335" s="140"/>
      <c r="G335" s="140"/>
      <c r="H335" s="140"/>
      <c r="I335" s="140"/>
      <c r="J335" s="140"/>
      <c r="K335" s="140"/>
      <c r="L335" s="140"/>
      <c r="M335" s="140"/>
      <c r="N335" s="140"/>
      <c r="O335" s="140"/>
      <c r="P335" s="140"/>
      <c r="Q335" s="140"/>
      <c r="R335" s="140"/>
    </row>
    <row r="336" spans="1:18" ht="16.8" x14ac:dyDescent="0.3">
      <c r="A336" s="140"/>
      <c r="B336" s="140"/>
      <c r="C336" s="140"/>
      <c r="D336" s="140"/>
      <c r="E336" s="140"/>
      <c r="F336" s="140"/>
      <c r="G336" s="140"/>
      <c r="H336" s="140"/>
      <c r="I336" s="140"/>
      <c r="J336" s="140"/>
      <c r="K336" s="140"/>
      <c r="L336" s="140"/>
      <c r="M336" s="140"/>
      <c r="N336" s="140"/>
      <c r="O336" s="140"/>
      <c r="P336" s="140"/>
      <c r="Q336" s="140"/>
      <c r="R336" s="140"/>
    </row>
    <row r="337" spans="1:18" ht="16.8" x14ac:dyDescent="0.3">
      <c r="A337" s="140"/>
      <c r="B337" s="140"/>
      <c r="C337" s="140"/>
      <c r="D337" s="140"/>
      <c r="E337" s="140"/>
      <c r="F337" s="140"/>
      <c r="G337" s="140"/>
      <c r="H337" s="140"/>
      <c r="I337" s="140"/>
      <c r="J337" s="140"/>
      <c r="K337" s="140"/>
      <c r="L337" s="140"/>
      <c r="M337" s="140"/>
      <c r="N337" s="140"/>
      <c r="O337" s="140"/>
      <c r="P337" s="140"/>
      <c r="Q337" s="140"/>
      <c r="R337" s="140"/>
    </row>
    <row r="338" spans="1:18" ht="16.8" x14ac:dyDescent="0.3">
      <c r="A338" s="140"/>
      <c r="B338" s="140"/>
      <c r="C338" s="140"/>
      <c r="D338" s="140"/>
      <c r="E338" s="140"/>
      <c r="F338" s="140"/>
      <c r="G338" s="140"/>
      <c r="H338" s="140"/>
      <c r="I338" s="140"/>
      <c r="J338" s="140"/>
      <c r="K338" s="140"/>
      <c r="L338" s="140"/>
      <c r="M338" s="140"/>
      <c r="N338" s="140"/>
      <c r="O338" s="140"/>
      <c r="P338" s="140"/>
      <c r="Q338" s="140"/>
      <c r="R338" s="140"/>
    </row>
    <row r="339" spans="1:18" ht="16.8" x14ac:dyDescent="0.3">
      <c r="A339" s="140"/>
      <c r="B339" s="140"/>
      <c r="C339" s="140"/>
      <c r="D339" s="140"/>
      <c r="E339" s="140"/>
      <c r="F339" s="140"/>
      <c r="G339" s="140"/>
      <c r="H339" s="140"/>
      <c r="I339" s="140"/>
      <c r="J339" s="140"/>
      <c r="K339" s="140"/>
      <c r="L339" s="140"/>
      <c r="M339" s="140"/>
      <c r="N339" s="140"/>
      <c r="O339" s="140"/>
      <c r="P339" s="140"/>
      <c r="Q339" s="140"/>
      <c r="R339" s="140"/>
    </row>
    <row r="340" spans="1:18" ht="16.8" x14ac:dyDescent="0.3">
      <c r="A340" s="140"/>
      <c r="B340" s="140"/>
      <c r="C340" s="140"/>
      <c r="D340" s="140"/>
      <c r="E340" s="140"/>
      <c r="F340" s="140"/>
      <c r="G340" s="140"/>
      <c r="H340" s="140"/>
      <c r="I340" s="140"/>
      <c r="J340" s="140"/>
      <c r="K340" s="140"/>
      <c r="L340" s="140"/>
      <c r="M340" s="140"/>
      <c r="N340" s="140"/>
      <c r="O340" s="140"/>
      <c r="P340" s="140"/>
      <c r="Q340" s="140"/>
      <c r="R340" s="140"/>
    </row>
    <row r="341" spans="1:18" ht="16.8" x14ac:dyDescent="0.3">
      <c r="A341" s="140"/>
      <c r="B341" s="140"/>
      <c r="C341" s="140"/>
      <c r="D341" s="140"/>
      <c r="E341" s="140"/>
      <c r="F341" s="140"/>
      <c r="G341" s="140"/>
      <c r="H341" s="140"/>
      <c r="I341" s="140"/>
      <c r="J341" s="140"/>
      <c r="K341" s="140"/>
      <c r="L341" s="140"/>
      <c r="M341" s="140"/>
      <c r="N341" s="140"/>
      <c r="O341" s="140"/>
      <c r="P341" s="140"/>
      <c r="Q341" s="140"/>
      <c r="R341" s="140"/>
    </row>
    <row r="342" spans="1:18" ht="16.8" x14ac:dyDescent="0.3">
      <c r="A342" s="140"/>
      <c r="B342" s="140"/>
      <c r="C342" s="140"/>
      <c r="D342" s="140"/>
      <c r="E342" s="140"/>
      <c r="F342" s="140"/>
      <c r="G342" s="140"/>
      <c r="H342" s="140"/>
      <c r="I342" s="140"/>
      <c r="J342" s="140"/>
      <c r="K342" s="140"/>
      <c r="L342" s="140"/>
      <c r="M342" s="140"/>
      <c r="N342" s="140"/>
      <c r="O342" s="140"/>
      <c r="P342" s="140"/>
      <c r="Q342" s="140"/>
      <c r="R342" s="140"/>
    </row>
    <row r="343" spans="1:18" ht="16.8" x14ac:dyDescent="0.3">
      <c r="A343" s="140"/>
      <c r="B343" s="140"/>
      <c r="C343" s="140"/>
      <c r="D343" s="140"/>
      <c r="E343" s="140"/>
      <c r="F343" s="140"/>
      <c r="G343" s="140"/>
      <c r="H343" s="140"/>
      <c r="I343" s="140"/>
      <c r="J343" s="140"/>
      <c r="K343" s="140"/>
      <c r="L343" s="140"/>
      <c r="M343" s="140"/>
      <c r="N343" s="140"/>
      <c r="O343" s="140"/>
      <c r="P343" s="140"/>
      <c r="Q343" s="140"/>
      <c r="R343" s="140"/>
    </row>
    <row r="344" spans="1:18" ht="16.8" x14ac:dyDescent="0.3">
      <c r="A344" s="140"/>
      <c r="B344" s="140"/>
      <c r="C344" s="140"/>
      <c r="D344" s="140"/>
      <c r="E344" s="140"/>
      <c r="F344" s="140"/>
      <c r="G344" s="140"/>
      <c r="H344" s="140"/>
      <c r="I344" s="140"/>
      <c r="J344" s="140"/>
      <c r="K344" s="140"/>
      <c r="L344" s="140"/>
      <c r="M344" s="140"/>
      <c r="N344" s="140"/>
      <c r="O344" s="140"/>
      <c r="P344" s="140"/>
      <c r="Q344" s="140"/>
      <c r="R344" s="140"/>
    </row>
    <row r="345" spans="1:18" ht="16.8" x14ac:dyDescent="0.3">
      <c r="A345" s="140"/>
      <c r="B345" s="140"/>
      <c r="C345" s="140"/>
      <c r="D345" s="140"/>
      <c r="E345" s="140"/>
      <c r="F345" s="140"/>
      <c r="G345" s="140"/>
      <c r="H345" s="140"/>
      <c r="I345" s="140"/>
      <c r="J345" s="140"/>
      <c r="K345" s="140"/>
      <c r="L345" s="140"/>
      <c r="M345" s="140"/>
      <c r="N345" s="140"/>
      <c r="O345" s="140"/>
      <c r="P345" s="140"/>
      <c r="Q345" s="140"/>
      <c r="R345" s="140"/>
    </row>
    <row r="346" spans="1:18" ht="16.8" x14ac:dyDescent="0.3">
      <c r="A346" s="140"/>
      <c r="B346" s="140"/>
      <c r="C346" s="140"/>
      <c r="D346" s="140"/>
      <c r="E346" s="140"/>
      <c r="F346" s="140"/>
      <c r="G346" s="140"/>
      <c r="H346" s="140"/>
      <c r="I346" s="140"/>
      <c r="J346" s="140"/>
      <c r="K346" s="140"/>
      <c r="L346" s="140"/>
      <c r="M346" s="140"/>
      <c r="N346" s="140"/>
      <c r="O346" s="140"/>
      <c r="P346" s="140"/>
      <c r="Q346" s="140"/>
      <c r="R346" s="140"/>
    </row>
    <row r="347" spans="1:18" ht="16.8" x14ac:dyDescent="0.3">
      <c r="A347" s="140"/>
      <c r="B347" s="140"/>
      <c r="C347" s="140"/>
      <c r="D347" s="140"/>
      <c r="E347" s="140"/>
      <c r="F347" s="140"/>
      <c r="G347" s="140"/>
      <c r="H347" s="140"/>
      <c r="I347" s="140"/>
      <c r="J347" s="140"/>
      <c r="K347" s="140"/>
      <c r="L347" s="140"/>
      <c r="M347" s="140"/>
      <c r="N347" s="140"/>
      <c r="O347" s="140"/>
      <c r="P347" s="140"/>
      <c r="Q347" s="140"/>
      <c r="R347" s="140"/>
    </row>
    <row r="348" spans="1:18" ht="16.8" x14ac:dyDescent="0.3">
      <c r="A348" s="140"/>
      <c r="B348" s="140"/>
      <c r="C348" s="140"/>
      <c r="D348" s="140"/>
      <c r="E348" s="140"/>
      <c r="F348" s="140"/>
      <c r="G348" s="140"/>
      <c r="H348" s="140"/>
      <c r="I348" s="140"/>
      <c r="J348" s="140"/>
      <c r="K348" s="140"/>
      <c r="L348" s="140"/>
      <c r="M348" s="140"/>
      <c r="N348" s="140"/>
      <c r="O348" s="140"/>
      <c r="P348" s="140"/>
      <c r="Q348" s="140"/>
      <c r="R348" s="140"/>
    </row>
    <row r="349" spans="1:18" ht="16.8" x14ac:dyDescent="0.3">
      <c r="A349" s="140"/>
      <c r="B349" s="140"/>
      <c r="C349" s="140"/>
      <c r="D349" s="140"/>
      <c r="E349" s="140"/>
      <c r="F349" s="140"/>
      <c r="G349" s="140"/>
      <c r="H349" s="140"/>
      <c r="I349" s="140"/>
      <c r="J349" s="140"/>
      <c r="K349" s="140"/>
      <c r="L349" s="140"/>
      <c r="M349" s="140"/>
      <c r="N349" s="140"/>
      <c r="O349" s="140"/>
      <c r="P349" s="140"/>
      <c r="Q349" s="140"/>
      <c r="R349" s="140"/>
    </row>
    <row r="350" spans="1:18" ht="16.8" x14ac:dyDescent="0.3">
      <c r="A350" s="140"/>
      <c r="B350" s="140"/>
      <c r="C350" s="140"/>
      <c r="D350" s="140"/>
      <c r="E350" s="140"/>
      <c r="F350" s="140"/>
      <c r="G350" s="140"/>
      <c r="H350" s="140"/>
      <c r="I350" s="140"/>
      <c r="J350" s="140"/>
      <c r="K350" s="140"/>
      <c r="L350" s="140"/>
      <c r="M350" s="140"/>
      <c r="N350" s="140"/>
      <c r="O350" s="140"/>
      <c r="P350" s="140"/>
      <c r="Q350" s="140"/>
      <c r="R350" s="140"/>
    </row>
    <row r="351" spans="1:18" ht="16.8" x14ac:dyDescent="0.3">
      <c r="A351" s="140"/>
      <c r="B351" s="140"/>
      <c r="C351" s="140"/>
      <c r="D351" s="140"/>
      <c r="E351" s="140"/>
      <c r="F351" s="140"/>
      <c r="G351" s="140"/>
      <c r="H351" s="140"/>
      <c r="I351" s="140"/>
      <c r="J351" s="140"/>
      <c r="K351" s="140"/>
      <c r="L351" s="140"/>
      <c r="M351" s="140"/>
      <c r="N351" s="140"/>
      <c r="O351" s="140"/>
      <c r="P351" s="140"/>
      <c r="Q351" s="140"/>
      <c r="R351" s="140"/>
    </row>
    <row r="352" spans="1:18" ht="16.8" x14ac:dyDescent="0.3">
      <c r="A352" s="140"/>
      <c r="B352" s="140"/>
      <c r="C352" s="140"/>
      <c r="D352" s="140"/>
      <c r="E352" s="140"/>
      <c r="F352" s="140"/>
      <c r="G352" s="140"/>
      <c r="H352" s="140"/>
      <c r="I352" s="140"/>
      <c r="J352" s="140"/>
      <c r="K352" s="140"/>
      <c r="L352" s="140"/>
      <c r="M352" s="140"/>
      <c r="N352" s="140"/>
      <c r="O352" s="140"/>
      <c r="P352" s="140"/>
      <c r="Q352" s="140"/>
      <c r="R352" s="140"/>
    </row>
    <row r="353" spans="1:18" ht="16.8" x14ac:dyDescent="0.3">
      <c r="A353" s="140"/>
      <c r="B353" s="140"/>
      <c r="C353" s="140"/>
      <c r="D353" s="140"/>
      <c r="E353" s="140"/>
      <c r="F353" s="140"/>
      <c r="G353" s="140"/>
      <c r="H353" s="140"/>
      <c r="I353" s="140"/>
      <c r="J353" s="140"/>
      <c r="K353" s="140"/>
      <c r="L353" s="140"/>
      <c r="M353" s="140"/>
      <c r="N353" s="140"/>
      <c r="O353" s="140"/>
      <c r="P353" s="140"/>
      <c r="Q353" s="140"/>
      <c r="R353" s="140"/>
    </row>
    <row r="354" spans="1:18" ht="16.8" x14ac:dyDescent="0.3">
      <c r="A354" s="140"/>
      <c r="B354" s="140"/>
      <c r="C354" s="140"/>
      <c r="D354" s="140"/>
      <c r="E354" s="140"/>
      <c r="F354" s="140"/>
      <c r="G354" s="140"/>
      <c r="H354" s="140"/>
      <c r="I354" s="140"/>
      <c r="J354" s="140"/>
      <c r="K354" s="140"/>
      <c r="L354" s="140"/>
      <c r="M354" s="140"/>
      <c r="N354" s="140"/>
      <c r="O354" s="140"/>
      <c r="P354" s="140"/>
      <c r="Q354" s="140"/>
      <c r="R354" s="140"/>
    </row>
    <row r="355" spans="1:18" ht="16.8" x14ac:dyDescent="0.3">
      <c r="A355" s="140"/>
      <c r="B355" s="140"/>
      <c r="C355" s="140"/>
      <c r="D355" s="140"/>
      <c r="E355" s="140"/>
      <c r="F355" s="140"/>
      <c r="G355" s="140"/>
      <c r="H355" s="140"/>
      <c r="I355" s="140"/>
      <c r="J355" s="140"/>
      <c r="K355" s="140"/>
      <c r="L355" s="140"/>
      <c r="M355" s="140"/>
      <c r="N355" s="140"/>
      <c r="O355" s="140"/>
      <c r="P355" s="140"/>
      <c r="Q355" s="140"/>
      <c r="R355" s="140"/>
    </row>
    <row r="356" spans="1:18" ht="16.8" x14ac:dyDescent="0.3">
      <c r="A356" s="140"/>
      <c r="B356" s="140"/>
      <c r="C356" s="140"/>
      <c r="D356" s="140"/>
      <c r="E356" s="140"/>
      <c r="F356" s="140"/>
      <c r="G356" s="140"/>
      <c r="H356" s="140"/>
      <c r="I356" s="140"/>
      <c r="J356" s="140"/>
      <c r="K356" s="140"/>
      <c r="L356" s="140"/>
      <c r="M356" s="140"/>
      <c r="N356" s="140"/>
      <c r="O356" s="140"/>
      <c r="P356" s="140"/>
      <c r="Q356" s="140"/>
      <c r="R356" s="140"/>
    </row>
    <row r="357" spans="1:18" ht="16.8" x14ac:dyDescent="0.3">
      <c r="A357" s="140"/>
      <c r="B357" s="140"/>
      <c r="C357" s="140"/>
      <c r="D357" s="140"/>
      <c r="E357" s="140"/>
      <c r="F357" s="140"/>
      <c r="G357" s="140"/>
      <c r="H357" s="140"/>
      <c r="I357" s="140"/>
      <c r="J357" s="140"/>
      <c r="K357" s="140"/>
      <c r="L357" s="140"/>
      <c r="M357" s="140"/>
      <c r="N357" s="140"/>
      <c r="O357" s="140"/>
      <c r="P357" s="140"/>
      <c r="Q357" s="140"/>
      <c r="R357" s="140"/>
    </row>
    <row r="358" spans="1:18" ht="16.8" x14ac:dyDescent="0.3">
      <c r="A358" s="140"/>
      <c r="B358" s="140"/>
      <c r="C358" s="140"/>
      <c r="D358" s="140"/>
      <c r="E358" s="140"/>
      <c r="F358" s="140"/>
      <c r="G358" s="140"/>
      <c r="H358" s="140"/>
      <c r="I358" s="140"/>
      <c r="J358" s="140"/>
      <c r="K358" s="140"/>
      <c r="L358" s="140"/>
      <c r="M358" s="140"/>
      <c r="N358" s="140"/>
      <c r="O358" s="140"/>
      <c r="P358" s="140"/>
      <c r="Q358" s="140"/>
      <c r="R358" s="140"/>
    </row>
    <row r="359" spans="1:18" ht="16.8" x14ac:dyDescent="0.3">
      <c r="A359" s="140"/>
      <c r="B359" s="140"/>
      <c r="C359" s="140"/>
      <c r="D359" s="140"/>
      <c r="E359" s="140"/>
      <c r="F359" s="140"/>
      <c r="G359" s="140"/>
      <c r="H359" s="140"/>
      <c r="I359" s="140"/>
      <c r="J359" s="140"/>
      <c r="K359" s="140"/>
      <c r="L359" s="140"/>
      <c r="M359" s="140"/>
      <c r="N359" s="140"/>
      <c r="O359" s="140"/>
      <c r="P359" s="140"/>
      <c r="Q359" s="140"/>
      <c r="R359" s="140"/>
    </row>
    <row r="360" spans="1:18" ht="16.8" x14ac:dyDescent="0.3">
      <c r="A360" s="140"/>
      <c r="B360" s="140"/>
      <c r="C360" s="140"/>
      <c r="D360" s="140"/>
      <c r="E360" s="140"/>
      <c r="F360" s="140"/>
      <c r="G360" s="140"/>
      <c r="H360" s="140"/>
      <c r="I360" s="140"/>
      <c r="J360" s="140"/>
      <c r="K360" s="140"/>
      <c r="L360" s="140"/>
      <c r="M360" s="140"/>
      <c r="N360" s="140"/>
      <c r="O360" s="140"/>
      <c r="P360" s="140"/>
      <c r="Q360" s="140"/>
      <c r="R360" s="140"/>
    </row>
    <row r="361" spans="1:18" ht="16.8" x14ac:dyDescent="0.3">
      <c r="A361" s="140"/>
      <c r="B361" s="140"/>
      <c r="C361" s="140"/>
      <c r="D361" s="140"/>
      <c r="E361" s="140"/>
      <c r="F361" s="140"/>
      <c r="G361" s="140"/>
      <c r="H361" s="140"/>
      <c r="I361" s="140"/>
      <c r="J361" s="140"/>
      <c r="K361" s="140"/>
      <c r="L361" s="140"/>
      <c r="M361" s="140"/>
      <c r="N361" s="140"/>
      <c r="O361" s="140"/>
      <c r="P361" s="140"/>
      <c r="Q361" s="140"/>
      <c r="R361" s="140"/>
    </row>
    <row r="362" spans="1:18" ht="16.8" x14ac:dyDescent="0.3">
      <c r="A362" s="140"/>
      <c r="B362" s="140"/>
      <c r="C362" s="140"/>
      <c r="D362" s="140"/>
      <c r="E362" s="140"/>
      <c r="F362" s="140"/>
      <c r="G362" s="140"/>
      <c r="H362" s="140"/>
      <c r="I362" s="140"/>
      <c r="J362" s="140"/>
      <c r="K362" s="140"/>
      <c r="L362" s="140"/>
      <c r="M362" s="140"/>
      <c r="N362" s="140"/>
      <c r="O362" s="140"/>
      <c r="P362" s="140"/>
      <c r="Q362" s="140"/>
      <c r="R362" s="140"/>
    </row>
    <row r="363" spans="1:18" ht="16.8" x14ac:dyDescent="0.3">
      <c r="A363" s="140"/>
      <c r="B363" s="140"/>
      <c r="C363" s="140"/>
      <c r="D363" s="140"/>
      <c r="E363" s="140"/>
      <c r="F363" s="140"/>
      <c r="G363" s="140"/>
      <c r="H363" s="140"/>
      <c r="I363" s="140"/>
      <c r="J363" s="140"/>
      <c r="K363" s="140"/>
      <c r="L363" s="140"/>
      <c r="M363" s="140"/>
      <c r="N363" s="140"/>
      <c r="O363" s="140"/>
      <c r="P363" s="140"/>
      <c r="Q363" s="140"/>
      <c r="R363" s="140"/>
    </row>
    <row r="364" spans="1:18" ht="16.8" x14ac:dyDescent="0.3">
      <c r="A364" s="140"/>
      <c r="B364" s="140"/>
      <c r="C364" s="140"/>
      <c r="D364" s="140"/>
      <c r="E364" s="140"/>
      <c r="F364" s="140"/>
      <c r="G364" s="140"/>
      <c r="H364" s="140"/>
      <c r="I364" s="140"/>
      <c r="J364" s="140"/>
      <c r="K364" s="140"/>
      <c r="L364" s="140"/>
      <c r="M364" s="140"/>
      <c r="N364" s="140"/>
      <c r="O364" s="140"/>
      <c r="P364" s="140"/>
      <c r="Q364" s="140"/>
      <c r="R364" s="140"/>
    </row>
    <row r="365" spans="1:18" ht="16.8" x14ac:dyDescent="0.3">
      <c r="A365" s="140"/>
      <c r="B365" s="140"/>
      <c r="C365" s="140"/>
      <c r="D365" s="140"/>
      <c r="E365" s="140"/>
      <c r="F365" s="140"/>
      <c r="G365" s="140"/>
      <c r="H365" s="140"/>
      <c r="I365" s="140"/>
      <c r="J365" s="140"/>
      <c r="K365" s="140"/>
      <c r="L365" s="140"/>
      <c r="M365" s="140"/>
      <c r="N365" s="140"/>
      <c r="O365" s="140"/>
      <c r="P365" s="140"/>
      <c r="Q365" s="140"/>
      <c r="R365" s="140"/>
    </row>
    <row r="366" spans="1:18" ht="16.8" x14ac:dyDescent="0.3">
      <c r="A366" s="140"/>
      <c r="B366" s="140"/>
      <c r="C366" s="140"/>
      <c r="D366" s="140"/>
      <c r="E366" s="140"/>
      <c r="F366" s="140"/>
      <c r="G366" s="140"/>
      <c r="H366" s="140"/>
      <c r="I366" s="140"/>
      <c r="J366" s="140"/>
      <c r="K366" s="140"/>
      <c r="L366" s="140"/>
      <c r="M366" s="140"/>
      <c r="N366" s="140"/>
      <c r="O366" s="140"/>
      <c r="P366" s="140"/>
      <c r="Q366" s="140"/>
      <c r="R366" s="140"/>
    </row>
    <row r="367" spans="1:18" ht="16.8" x14ac:dyDescent="0.3">
      <c r="A367" s="140"/>
      <c r="B367" s="140"/>
      <c r="C367" s="140"/>
      <c r="D367" s="140"/>
      <c r="E367" s="140"/>
      <c r="F367" s="140"/>
      <c r="G367" s="140"/>
      <c r="H367" s="140"/>
      <c r="I367" s="140"/>
      <c r="J367" s="140"/>
      <c r="K367" s="140"/>
      <c r="L367" s="140"/>
      <c r="M367" s="140"/>
      <c r="N367" s="140"/>
      <c r="O367" s="140"/>
      <c r="P367" s="140"/>
      <c r="Q367" s="140"/>
      <c r="R367" s="140"/>
    </row>
    <row r="368" spans="1:18" ht="16.8" x14ac:dyDescent="0.3">
      <c r="A368" s="140"/>
      <c r="B368" s="140"/>
      <c r="C368" s="140"/>
      <c r="D368" s="140"/>
      <c r="E368" s="140"/>
      <c r="F368" s="140"/>
      <c r="G368" s="140"/>
      <c r="H368" s="140"/>
      <c r="I368" s="140"/>
      <c r="J368" s="140"/>
      <c r="K368" s="140"/>
      <c r="L368" s="140"/>
      <c r="M368" s="140"/>
      <c r="N368" s="140"/>
      <c r="O368" s="140"/>
      <c r="P368" s="140"/>
      <c r="Q368" s="140"/>
      <c r="R368" s="140"/>
    </row>
    <row r="369" spans="1:18" ht="16.8" x14ac:dyDescent="0.3">
      <c r="A369" s="140"/>
      <c r="B369" s="140"/>
      <c r="C369" s="140"/>
      <c r="D369" s="140"/>
      <c r="E369" s="140"/>
      <c r="F369" s="140"/>
      <c r="G369" s="140"/>
      <c r="H369" s="140"/>
      <c r="I369" s="140"/>
      <c r="J369" s="140"/>
      <c r="K369" s="140"/>
      <c r="L369" s="140"/>
      <c r="M369" s="140"/>
      <c r="N369" s="140"/>
      <c r="O369" s="140"/>
      <c r="P369" s="140"/>
      <c r="Q369" s="140"/>
      <c r="R369" s="140"/>
    </row>
    <row r="370" spans="1:18" ht="16.8" x14ac:dyDescent="0.3">
      <c r="A370" s="140"/>
      <c r="B370" s="140"/>
      <c r="C370" s="140"/>
      <c r="D370" s="140"/>
      <c r="E370" s="140"/>
      <c r="F370" s="140"/>
      <c r="G370" s="140"/>
      <c r="H370" s="140"/>
      <c r="I370" s="140"/>
      <c r="J370" s="140"/>
      <c r="K370" s="140"/>
      <c r="L370" s="140"/>
      <c r="M370" s="140"/>
      <c r="N370" s="140"/>
      <c r="O370" s="140"/>
      <c r="P370" s="140"/>
      <c r="Q370" s="140"/>
      <c r="R370" s="140"/>
    </row>
    <row r="371" spans="1:18" ht="16.8" x14ac:dyDescent="0.3">
      <c r="A371" s="140"/>
      <c r="B371" s="140"/>
      <c r="C371" s="140"/>
      <c r="D371" s="140"/>
      <c r="E371" s="140"/>
      <c r="F371" s="140"/>
      <c r="G371" s="140"/>
      <c r="H371" s="140"/>
      <c r="I371" s="140"/>
      <c r="J371" s="140"/>
      <c r="K371" s="140"/>
      <c r="L371" s="140"/>
      <c r="M371" s="140"/>
      <c r="N371" s="140"/>
      <c r="O371" s="140"/>
      <c r="P371" s="140"/>
      <c r="Q371" s="140"/>
      <c r="R371" s="140"/>
    </row>
    <row r="372" spans="1:18" ht="16.8" x14ac:dyDescent="0.3">
      <c r="A372" s="140"/>
      <c r="B372" s="140"/>
      <c r="C372" s="140"/>
      <c r="D372" s="140"/>
      <c r="E372" s="140"/>
      <c r="F372" s="140"/>
      <c r="G372" s="140"/>
      <c r="H372" s="140"/>
      <c r="I372" s="140"/>
      <c r="J372" s="140"/>
      <c r="K372" s="140"/>
      <c r="L372" s="140"/>
      <c r="M372" s="140"/>
      <c r="N372" s="140"/>
      <c r="O372" s="140"/>
      <c r="P372" s="140"/>
      <c r="Q372" s="140"/>
      <c r="R372" s="140"/>
    </row>
    <row r="373" spans="1:18" ht="16.8" x14ac:dyDescent="0.3">
      <c r="A373" s="140"/>
      <c r="B373" s="140"/>
      <c r="C373" s="140"/>
      <c r="D373" s="140"/>
      <c r="E373" s="140"/>
      <c r="F373" s="140"/>
      <c r="G373" s="140"/>
      <c r="H373" s="140"/>
      <c r="I373" s="140"/>
      <c r="J373" s="140"/>
      <c r="K373" s="140"/>
      <c r="L373" s="140"/>
      <c r="M373" s="140"/>
      <c r="N373" s="140"/>
      <c r="O373" s="140"/>
      <c r="P373" s="140"/>
      <c r="Q373" s="140"/>
      <c r="R373" s="140"/>
    </row>
    <row r="374" spans="1:18" ht="16.8" x14ac:dyDescent="0.3">
      <c r="A374" s="140"/>
      <c r="B374" s="140"/>
      <c r="C374" s="140"/>
      <c r="D374" s="140"/>
      <c r="E374" s="140"/>
      <c r="F374" s="140"/>
      <c r="G374" s="140"/>
      <c r="H374" s="140"/>
      <c r="I374" s="140"/>
      <c r="J374" s="140"/>
      <c r="K374" s="140"/>
      <c r="L374" s="140"/>
      <c r="M374" s="140"/>
      <c r="N374" s="140"/>
      <c r="O374" s="140"/>
      <c r="P374" s="140"/>
      <c r="Q374" s="140"/>
      <c r="R374" s="140"/>
    </row>
    <row r="375" spans="1:18" ht="16.8" x14ac:dyDescent="0.3">
      <c r="A375" s="140"/>
      <c r="B375" s="140"/>
      <c r="C375" s="140"/>
      <c r="D375" s="140"/>
      <c r="E375" s="140"/>
      <c r="F375" s="140"/>
      <c r="G375" s="140"/>
      <c r="H375" s="140"/>
      <c r="I375" s="140"/>
      <c r="J375" s="140"/>
      <c r="K375" s="140"/>
      <c r="L375" s="140"/>
      <c r="M375" s="140"/>
      <c r="N375" s="140"/>
      <c r="O375" s="140"/>
      <c r="P375" s="140"/>
      <c r="Q375" s="140"/>
      <c r="R375" s="140"/>
    </row>
    <row r="376" spans="1:18" ht="16.8" x14ac:dyDescent="0.3">
      <c r="A376" s="140"/>
      <c r="B376" s="140"/>
      <c r="C376" s="140"/>
      <c r="D376" s="140"/>
      <c r="E376" s="140"/>
      <c r="F376" s="140"/>
      <c r="G376" s="140"/>
      <c r="H376" s="140"/>
      <c r="I376" s="140"/>
      <c r="J376" s="140"/>
      <c r="K376" s="140"/>
      <c r="L376" s="140"/>
      <c r="M376" s="140"/>
      <c r="N376" s="140"/>
      <c r="O376" s="140"/>
      <c r="P376" s="140"/>
      <c r="Q376" s="140"/>
      <c r="R376" s="140"/>
    </row>
    <row r="377" spans="1:18" ht="16.8" x14ac:dyDescent="0.3">
      <c r="A377" s="140"/>
      <c r="B377" s="140"/>
      <c r="C377" s="140"/>
      <c r="D377" s="140"/>
      <c r="E377" s="140"/>
      <c r="F377" s="140"/>
      <c r="G377" s="140"/>
      <c r="H377" s="140"/>
      <c r="I377" s="140"/>
      <c r="J377" s="140"/>
      <c r="K377" s="140"/>
      <c r="L377" s="140"/>
      <c r="M377" s="140"/>
      <c r="N377" s="140"/>
      <c r="O377" s="140"/>
      <c r="P377" s="140"/>
      <c r="Q377" s="140"/>
      <c r="R377" s="140"/>
    </row>
    <row r="378" spans="1:18" ht="16.8" x14ac:dyDescent="0.3">
      <c r="A378" s="140"/>
      <c r="B378" s="140"/>
      <c r="C378" s="140"/>
      <c r="D378" s="140"/>
      <c r="E378" s="140"/>
      <c r="F378" s="140"/>
      <c r="G378" s="140"/>
      <c r="H378" s="140"/>
      <c r="I378" s="140"/>
      <c r="J378" s="140"/>
      <c r="K378" s="140"/>
      <c r="L378" s="140"/>
      <c r="M378" s="140"/>
      <c r="N378" s="140"/>
      <c r="O378" s="140"/>
      <c r="P378" s="140"/>
      <c r="Q378" s="140"/>
      <c r="R378" s="140"/>
    </row>
    <row r="379" spans="1:18" ht="16.8" x14ac:dyDescent="0.3">
      <c r="A379" s="140"/>
      <c r="B379" s="140"/>
      <c r="C379" s="140"/>
      <c r="D379" s="140"/>
      <c r="E379" s="140"/>
      <c r="F379" s="140"/>
      <c r="G379" s="140"/>
      <c r="H379" s="140"/>
      <c r="I379" s="140"/>
      <c r="J379" s="140"/>
      <c r="K379" s="140"/>
      <c r="L379" s="140"/>
      <c r="M379" s="140"/>
      <c r="N379" s="140"/>
      <c r="O379" s="140"/>
      <c r="P379" s="140"/>
      <c r="Q379" s="140"/>
      <c r="R379" s="140"/>
    </row>
    <row r="380" spans="1:18" ht="16.8" x14ac:dyDescent="0.3">
      <c r="A380" s="140"/>
      <c r="B380" s="140"/>
      <c r="C380" s="140"/>
      <c r="D380" s="140"/>
      <c r="E380" s="140"/>
      <c r="F380" s="140"/>
      <c r="G380" s="140"/>
      <c r="H380" s="140"/>
      <c r="I380" s="140"/>
      <c r="J380" s="140"/>
      <c r="K380" s="140"/>
      <c r="L380" s="140"/>
      <c r="M380" s="140"/>
      <c r="N380" s="140"/>
      <c r="O380" s="140"/>
      <c r="P380" s="140"/>
      <c r="Q380" s="140"/>
      <c r="R380" s="140"/>
    </row>
    <row r="381" spans="1:18" ht="16.8" x14ac:dyDescent="0.3">
      <c r="A381" s="140"/>
      <c r="B381" s="140"/>
      <c r="C381" s="140"/>
      <c r="D381" s="140"/>
      <c r="E381" s="140"/>
      <c r="F381" s="140"/>
      <c r="G381" s="140"/>
      <c r="H381" s="140"/>
      <c r="I381" s="140"/>
      <c r="J381" s="140"/>
      <c r="K381" s="140"/>
      <c r="L381" s="140"/>
      <c r="M381" s="140"/>
      <c r="N381" s="140"/>
      <c r="O381" s="140"/>
      <c r="P381" s="140"/>
      <c r="Q381" s="140"/>
      <c r="R381" s="140"/>
    </row>
    <row r="382" spans="1:18" ht="16.8" x14ac:dyDescent="0.3">
      <c r="A382" s="140"/>
      <c r="B382" s="140"/>
      <c r="C382" s="140"/>
      <c r="D382" s="140"/>
      <c r="E382" s="140"/>
      <c r="F382" s="140"/>
      <c r="G382" s="140"/>
      <c r="H382" s="140"/>
      <c r="I382" s="140"/>
      <c r="J382" s="140"/>
      <c r="K382" s="140"/>
      <c r="L382" s="140"/>
      <c r="M382" s="140"/>
      <c r="N382" s="140"/>
      <c r="O382" s="140"/>
      <c r="P382" s="140"/>
      <c r="Q382" s="140"/>
      <c r="R382" s="140"/>
    </row>
    <row r="383" spans="1:18" ht="16.8" x14ac:dyDescent="0.3">
      <c r="A383" s="140"/>
      <c r="B383" s="140"/>
      <c r="C383" s="140"/>
      <c r="D383" s="140"/>
      <c r="E383" s="140"/>
      <c r="F383" s="140"/>
      <c r="G383" s="140"/>
      <c r="H383" s="140"/>
      <c r="I383" s="140"/>
      <c r="J383" s="140"/>
      <c r="K383" s="140"/>
      <c r="L383" s="140"/>
      <c r="M383" s="140"/>
      <c r="N383" s="140"/>
      <c r="O383" s="140"/>
      <c r="P383" s="140"/>
      <c r="Q383" s="140"/>
      <c r="R383" s="140"/>
    </row>
    <row r="384" spans="1:18" ht="16.8" x14ac:dyDescent="0.3">
      <c r="A384" s="140"/>
      <c r="B384" s="140"/>
      <c r="C384" s="140"/>
      <c r="D384" s="140"/>
      <c r="E384" s="140"/>
      <c r="F384" s="140"/>
      <c r="G384" s="140"/>
      <c r="H384" s="140"/>
      <c r="I384" s="140"/>
      <c r="J384" s="140"/>
      <c r="K384" s="140"/>
      <c r="L384" s="140"/>
      <c r="M384" s="140"/>
      <c r="N384" s="140"/>
      <c r="O384" s="140"/>
      <c r="P384" s="140"/>
      <c r="Q384" s="140"/>
      <c r="R384" s="140"/>
    </row>
  </sheetData>
  <mergeCells count="28">
    <mergeCell ref="I18:K18"/>
    <mergeCell ref="O18:R18"/>
    <mergeCell ref="A1:F2"/>
    <mergeCell ref="I1:R1"/>
    <mergeCell ref="I2:R2"/>
    <mergeCell ref="I3:R3"/>
    <mergeCell ref="A6:R6"/>
    <mergeCell ref="A24:R24"/>
    <mergeCell ref="A26:R26"/>
    <mergeCell ref="A29:R29"/>
    <mergeCell ref="A36:R36"/>
    <mergeCell ref="A37:R37"/>
    <mergeCell ref="A80:I81"/>
    <mergeCell ref="J80:R81"/>
    <mergeCell ref="D16:F16"/>
    <mergeCell ref="A64:R64"/>
    <mergeCell ref="A66:R66"/>
    <mergeCell ref="A68:R68"/>
    <mergeCell ref="A74:R74"/>
    <mergeCell ref="A76:R76"/>
    <mergeCell ref="A77:R77"/>
    <mergeCell ref="A48:R48"/>
    <mergeCell ref="A51:R51"/>
    <mergeCell ref="A56:R56"/>
    <mergeCell ref="A57:R57"/>
    <mergeCell ref="A61:R61"/>
    <mergeCell ref="A63:R63"/>
    <mergeCell ref="A20:R20"/>
  </mergeCells>
  <pageMargins left="0.7" right="0.7" top="0.75" bottom="0.75" header="0.3" footer="0.3"/>
  <pageSetup scale="92"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927C0-C361-46DC-A614-6F5DB7EEE423}">
  <sheetPr codeName="Sheet6">
    <tabColor theme="1"/>
    <pageSetUpPr fitToPage="1"/>
  </sheetPr>
  <dimension ref="A1:X23"/>
  <sheetViews>
    <sheetView workbookViewId="0">
      <selection activeCell="F10" sqref="F10"/>
    </sheetView>
  </sheetViews>
  <sheetFormatPr defaultRowHeight="14.4" x14ac:dyDescent="0.3"/>
  <cols>
    <col min="1" max="1" width="6" style="5" customWidth="1"/>
    <col min="2" max="2" width="10.44140625" style="55" customWidth="1"/>
    <col min="3" max="3" width="21.44140625" style="7" customWidth="1"/>
    <col min="4" max="5" width="15" style="7" customWidth="1"/>
    <col min="6" max="6" width="8.88671875" style="55" customWidth="1"/>
    <col min="7" max="8" width="12.109375" style="7" customWidth="1"/>
    <col min="9" max="12" width="11.21875" style="51" customWidth="1"/>
    <col min="13" max="13" width="14" style="51" customWidth="1"/>
    <col min="14" max="14" width="15.33203125" style="51" customWidth="1"/>
    <col min="15" max="15" width="14.88671875" style="9" customWidth="1"/>
    <col min="16" max="16" width="11.5546875" style="51" customWidth="1"/>
    <col min="17" max="17" width="14.77734375" style="51" customWidth="1"/>
    <col min="18" max="18" width="11.5546875" style="51" customWidth="1"/>
    <col min="19" max="19" width="14.109375" style="51" customWidth="1"/>
    <col min="20" max="20" width="14.6640625" style="3" customWidth="1"/>
    <col min="21" max="21" width="13.109375" style="51" customWidth="1"/>
    <col min="22" max="24" width="12.5546875" style="3" customWidth="1"/>
    <col min="25" max="16384" width="8.88671875" style="3"/>
  </cols>
  <sheetData>
    <row r="1" spans="1:24" ht="15.6" x14ac:dyDescent="0.3">
      <c r="A1" s="17" t="str">
        <f>Company_Name</f>
        <v>CÔNG TY TNHH CƠ KHÍ SỬA CHỮA HOÀNG KIÊN</v>
      </c>
      <c r="B1" s="3"/>
      <c r="C1" s="3"/>
      <c r="D1" s="3"/>
      <c r="E1" s="3"/>
      <c r="F1" s="3"/>
      <c r="G1" s="3"/>
      <c r="H1" s="3"/>
      <c r="I1" s="3"/>
      <c r="J1" s="3"/>
      <c r="K1" s="3"/>
      <c r="L1" s="3"/>
      <c r="M1" s="3"/>
      <c r="N1" s="3"/>
      <c r="O1" s="3"/>
      <c r="P1" s="3"/>
      <c r="Q1" s="3"/>
      <c r="R1" s="3"/>
      <c r="S1" s="3"/>
      <c r="U1" s="3"/>
    </row>
    <row r="2" spans="1:24" ht="15.6" x14ac:dyDescent="0.3">
      <c r="A2" s="17" t="str">
        <f>Company_Address</f>
        <v>SN 16N3, ngõ 90 đường Nguyễn Tuân, P. Thanh Xuân, Q. Thanh Xuân, Hà Nội</v>
      </c>
      <c r="B2" s="3"/>
      <c r="C2" s="3"/>
      <c r="D2" s="3"/>
      <c r="E2" s="3"/>
      <c r="F2" s="3"/>
      <c r="G2" s="3"/>
      <c r="H2" s="3"/>
      <c r="I2" s="3"/>
      <c r="J2" s="3"/>
      <c r="K2" s="3"/>
      <c r="L2" s="3"/>
      <c r="M2" s="3"/>
      <c r="N2" s="3"/>
      <c r="O2" s="3"/>
      <c r="P2" s="3"/>
      <c r="Q2" s="3"/>
      <c r="R2" s="3"/>
      <c r="S2" s="3"/>
      <c r="U2" s="3"/>
    </row>
    <row r="3" spans="1:24" x14ac:dyDescent="0.3">
      <c r="A3" s="3"/>
      <c r="B3" s="3"/>
      <c r="C3" s="3"/>
      <c r="D3" s="3"/>
      <c r="E3" s="3"/>
      <c r="F3" s="3"/>
      <c r="G3" s="3"/>
      <c r="H3" s="3"/>
      <c r="I3" s="3"/>
      <c r="J3" s="3"/>
      <c r="K3" s="3"/>
      <c r="L3" s="3"/>
      <c r="M3" s="3"/>
      <c r="N3" s="3"/>
      <c r="O3" s="3"/>
      <c r="P3" s="3"/>
      <c r="Q3" s="3"/>
      <c r="R3" s="3"/>
      <c r="S3" s="3"/>
      <c r="U3" s="3"/>
    </row>
    <row r="4" spans="1:24" ht="23.4" x14ac:dyDescent="0.3">
      <c r="A4" s="218" t="s">
        <v>346</v>
      </c>
      <c r="B4" s="218"/>
      <c r="C4" s="218"/>
      <c r="D4" s="218"/>
      <c r="E4" s="218"/>
      <c r="F4" s="218"/>
      <c r="G4" s="218"/>
      <c r="H4" s="218"/>
      <c r="I4" s="218"/>
      <c r="J4" s="218"/>
      <c r="K4" s="218"/>
      <c r="L4" s="218"/>
      <c r="M4" s="218"/>
      <c r="N4" s="218"/>
      <c r="O4" s="218"/>
      <c r="P4" s="218"/>
      <c r="Q4" s="218"/>
      <c r="R4" s="218"/>
      <c r="S4" s="218"/>
      <c r="T4" s="218"/>
      <c r="U4" s="218"/>
      <c r="V4" s="218"/>
      <c r="W4" s="218"/>
      <c r="X4" s="218"/>
    </row>
    <row r="5" spans="1:24" ht="18" x14ac:dyDescent="0.3">
      <c r="A5" s="219" t="str">
        <f>"Năm "&amp;Nam_Bang_Luong</f>
        <v>Năm 2023</v>
      </c>
      <c r="B5" s="219"/>
      <c r="C5" s="219"/>
      <c r="D5" s="219"/>
      <c r="E5" s="219"/>
      <c r="F5" s="219"/>
      <c r="G5" s="219"/>
      <c r="H5" s="219"/>
      <c r="I5" s="219"/>
      <c r="J5" s="219"/>
      <c r="K5" s="219"/>
      <c r="L5" s="219"/>
      <c r="M5" s="219"/>
      <c r="N5" s="219"/>
      <c r="O5" s="219"/>
      <c r="P5" s="219"/>
      <c r="Q5" s="219"/>
      <c r="R5" s="219"/>
      <c r="S5" s="219"/>
      <c r="T5" s="219"/>
      <c r="U5" s="219"/>
      <c r="V5" s="219"/>
      <c r="W5" s="219"/>
      <c r="X5" s="219"/>
    </row>
    <row r="6" spans="1:24" x14ac:dyDescent="0.3">
      <c r="A6" s="3"/>
      <c r="B6" s="3"/>
      <c r="C6" s="3"/>
      <c r="D6" s="3"/>
      <c r="E6" s="3"/>
      <c r="F6" s="3"/>
      <c r="G6" s="3"/>
      <c r="H6" s="3"/>
      <c r="I6" s="3"/>
      <c r="J6" s="3"/>
      <c r="K6" s="3"/>
      <c r="L6" s="3"/>
      <c r="M6" s="3"/>
      <c r="N6" s="3"/>
      <c r="O6" s="3"/>
      <c r="P6" s="3"/>
      <c r="Q6" s="3"/>
      <c r="R6" s="3"/>
      <c r="S6" s="3"/>
      <c r="U6" s="3"/>
    </row>
    <row r="7" spans="1:24" ht="31.8" customHeight="1" x14ac:dyDescent="0.3">
      <c r="A7" s="220" t="s">
        <v>5</v>
      </c>
      <c r="B7" s="220" t="s">
        <v>91</v>
      </c>
      <c r="C7" s="220" t="s">
        <v>6</v>
      </c>
      <c r="D7" s="220" t="s">
        <v>347</v>
      </c>
      <c r="E7" s="220"/>
      <c r="F7" s="217" t="s">
        <v>350</v>
      </c>
      <c r="G7" s="220" t="s">
        <v>7</v>
      </c>
      <c r="H7" s="220" t="s">
        <v>8</v>
      </c>
      <c r="I7" s="220" t="s">
        <v>351</v>
      </c>
      <c r="J7" s="220"/>
      <c r="K7" s="220"/>
      <c r="L7" s="220"/>
      <c r="M7" s="220"/>
      <c r="N7" s="220"/>
      <c r="O7" s="217" t="s">
        <v>354</v>
      </c>
      <c r="P7" s="220" t="s">
        <v>355</v>
      </c>
      <c r="Q7" s="220"/>
      <c r="R7" s="220"/>
      <c r="S7" s="220"/>
      <c r="T7" s="217" t="s">
        <v>362</v>
      </c>
      <c r="U7" s="217" t="s">
        <v>367</v>
      </c>
      <c r="V7" s="217" t="s">
        <v>369</v>
      </c>
      <c r="W7" s="217"/>
      <c r="X7" s="217"/>
    </row>
    <row r="8" spans="1:24" ht="59.4" customHeight="1" x14ac:dyDescent="0.3">
      <c r="A8" s="220"/>
      <c r="B8" s="220"/>
      <c r="C8" s="220"/>
      <c r="D8" s="19" t="s">
        <v>348</v>
      </c>
      <c r="E8" s="19" t="s">
        <v>349</v>
      </c>
      <c r="F8" s="217"/>
      <c r="G8" s="220"/>
      <c r="H8" s="220"/>
      <c r="I8" s="40" t="s">
        <v>113</v>
      </c>
      <c r="J8" s="40" t="s">
        <v>352</v>
      </c>
      <c r="K8" s="40" t="s">
        <v>183</v>
      </c>
      <c r="L8" s="40" t="s">
        <v>184</v>
      </c>
      <c r="M8" s="40" t="s">
        <v>185</v>
      </c>
      <c r="N8" s="40" t="s">
        <v>353</v>
      </c>
      <c r="O8" s="217"/>
      <c r="P8" s="40" t="s">
        <v>359</v>
      </c>
      <c r="Q8" s="40" t="s">
        <v>408</v>
      </c>
      <c r="R8" s="40" t="s">
        <v>366</v>
      </c>
      <c r="S8" s="40" t="s">
        <v>114</v>
      </c>
      <c r="T8" s="217"/>
      <c r="U8" s="217"/>
      <c r="V8" s="40" t="s">
        <v>368</v>
      </c>
      <c r="W8" s="40" t="s">
        <v>370</v>
      </c>
      <c r="X8" s="40" t="s">
        <v>371</v>
      </c>
    </row>
    <row r="9" spans="1:24" x14ac:dyDescent="0.3">
      <c r="A9" s="23">
        <v>1</v>
      </c>
      <c r="B9" s="57" t="s">
        <v>9</v>
      </c>
      <c r="C9" s="35" t="s">
        <v>10</v>
      </c>
      <c r="D9" s="35" t="s">
        <v>465</v>
      </c>
      <c r="E9" s="35" t="s">
        <v>13</v>
      </c>
      <c r="F9" s="57" t="s">
        <v>345</v>
      </c>
      <c r="G9" s="35" t="s">
        <v>11</v>
      </c>
      <c r="H9" s="35" t="s">
        <v>438</v>
      </c>
      <c r="I9" s="58">
        <v>97022800</v>
      </c>
      <c r="J9" s="58">
        <v>8760000</v>
      </c>
      <c r="K9" s="58">
        <v>6000000</v>
      </c>
      <c r="L9" s="58">
        <v>14400000</v>
      </c>
      <c r="M9" s="58">
        <v>360000000</v>
      </c>
      <c r="N9" s="58">
        <v>486182800</v>
      </c>
      <c r="O9" s="59">
        <v>486182800</v>
      </c>
      <c r="P9" s="58">
        <v>43200000</v>
      </c>
      <c r="Q9" s="58">
        <v>132000000</v>
      </c>
      <c r="R9" s="58">
        <v>6309576</v>
      </c>
      <c r="S9" s="58">
        <v>181509576</v>
      </c>
      <c r="T9" s="59">
        <v>304673224</v>
      </c>
      <c r="U9" s="58">
        <v>42396560</v>
      </c>
      <c r="V9" s="59">
        <v>41134644</v>
      </c>
      <c r="W9" s="59">
        <v>1261916</v>
      </c>
      <c r="X9" s="59">
        <v>0</v>
      </c>
    </row>
    <row r="10" spans="1:24" x14ac:dyDescent="0.3">
      <c r="A10" s="23">
        <v>2</v>
      </c>
      <c r="B10" s="57" t="s">
        <v>14</v>
      </c>
      <c r="C10" s="35" t="s">
        <v>15</v>
      </c>
      <c r="D10" s="35" t="s">
        <v>466</v>
      </c>
      <c r="E10" s="35" t="s">
        <v>18</v>
      </c>
      <c r="F10" s="57" t="s">
        <v>345</v>
      </c>
      <c r="G10" s="35" t="s">
        <v>16</v>
      </c>
      <c r="H10" s="35" t="s">
        <v>438</v>
      </c>
      <c r="I10" s="58">
        <v>104022800</v>
      </c>
      <c r="J10" s="58">
        <v>8760000</v>
      </c>
      <c r="K10" s="58">
        <v>6000000</v>
      </c>
      <c r="L10" s="58">
        <v>14400000</v>
      </c>
      <c r="M10" s="58">
        <v>42000000</v>
      </c>
      <c r="N10" s="58">
        <v>175182800</v>
      </c>
      <c r="O10" s="59">
        <v>175182800</v>
      </c>
      <c r="P10" s="58">
        <v>43200000</v>
      </c>
      <c r="Q10" s="58">
        <v>132000000</v>
      </c>
      <c r="R10" s="58">
        <v>6309576</v>
      </c>
      <c r="S10" s="58">
        <v>181509576</v>
      </c>
      <c r="T10" s="59">
        <v>0</v>
      </c>
      <c r="U10" s="58">
        <v>582500</v>
      </c>
      <c r="V10" s="59">
        <v>0</v>
      </c>
      <c r="W10" s="59">
        <v>582500</v>
      </c>
      <c r="X10" s="59">
        <v>0</v>
      </c>
    </row>
    <row r="11" spans="1:24" x14ac:dyDescent="0.3">
      <c r="A11" s="23">
        <v>3</v>
      </c>
      <c r="B11" s="57" t="s">
        <v>19</v>
      </c>
      <c r="C11" s="35" t="s">
        <v>20</v>
      </c>
      <c r="D11" s="35" t="s">
        <v>467</v>
      </c>
      <c r="E11" s="35" t="s">
        <v>23</v>
      </c>
      <c r="F11" s="57" t="s">
        <v>345</v>
      </c>
      <c r="G11" s="35" t="s">
        <v>21</v>
      </c>
      <c r="H11" s="35" t="s">
        <v>438</v>
      </c>
      <c r="I11" s="58">
        <v>104022800</v>
      </c>
      <c r="J11" s="58">
        <v>8760000</v>
      </c>
      <c r="K11" s="58">
        <v>6000000</v>
      </c>
      <c r="L11" s="58">
        <v>14400000</v>
      </c>
      <c r="M11" s="58">
        <v>42000000</v>
      </c>
      <c r="N11" s="58">
        <v>175182800</v>
      </c>
      <c r="O11" s="59">
        <v>175182800</v>
      </c>
      <c r="P11" s="58">
        <v>43200000</v>
      </c>
      <c r="Q11" s="58">
        <v>132000000</v>
      </c>
      <c r="R11" s="58">
        <v>6309576</v>
      </c>
      <c r="S11" s="58">
        <v>181509576</v>
      </c>
      <c r="T11" s="59">
        <v>0</v>
      </c>
      <c r="U11" s="58">
        <v>582500</v>
      </c>
      <c r="V11" s="59">
        <v>0</v>
      </c>
      <c r="W11" s="59">
        <v>582500</v>
      </c>
      <c r="X11" s="59">
        <v>0</v>
      </c>
    </row>
    <row r="12" spans="1:24" x14ac:dyDescent="0.3">
      <c r="A12" s="23">
        <v>4</v>
      </c>
      <c r="B12" s="57" t="s">
        <v>24</v>
      </c>
      <c r="C12" s="35" t="s">
        <v>25</v>
      </c>
      <c r="D12" s="35" t="s">
        <v>468</v>
      </c>
      <c r="E12" s="35" t="s">
        <v>28</v>
      </c>
      <c r="F12" s="57" t="s">
        <v>345</v>
      </c>
      <c r="G12" s="35" t="s">
        <v>26</v>
      </c>
      <c r="H12" s="35" t="s">
        <v>439</v>
      </c>
      <c r="I12" s="58">
        <v>60091200</v>
      </c>
      <c r="J12" s="58">
        <v>8760000</v>
      </c>
      <c r="K12" s="58">
        <v>6000000</v>
      </c>
      <c r="L12" s="58">
        <v>14400000</v>
      </c>
      <c r="M12" s="58">
        <v>42000000</v>
      </c>
      <c r="N12" s="58">
        <v>131251200</v>
      </c>
      <c r="O12" s="59">
        <v>131251200</v>
      </c>
      <c r="P12" s="58">
        <v>43200000</v>
      </c>
      <c r="Q12" s="58">
        <v>132000000</v>
      </c>
      <c r="R12" s="58">
        <v>6309576</v>
      </c>
      <c r="S12" s="58">
        <v>181509576</v>
      </c>
      <c r="T12" s="59">
        <v>0</v>
      </c>
      <c r="U12" s="58">
        <v>0</v>
      </c>
      <c r="V12" s="59">
        <v>0</v>
      </c>
      <c r="W12" s="59">
        <v>0</v>
      </c>
      <c r="X12" s="59">
        <v>0</v>
      </c>
    </row>
    <row r="13" spans="1:24" x14ac:dyDescent="0.3">
      <c r="A13" s="23">
        <v>5</v>
      </c>
      <c r="B13" s="57" t="s">
        <v>29</v>
      </c>
      <c r="C13" s="35" t="s">
        <v>30</v>
      </c>
      <c r="D13" s="35" t="s">
        <v>469</v>
      </c>
      <c r="E13" s="35" t="s">
        <v>31</v>
      </c>
      <c r="F13" s="57" t="s">
        <v>345</v>
      </c>
      <c r="G13" s="35" t="s">
        <v>26</v>
      </c>
      <c r="H13" s="35" t="s">
        <v>439</v>
      </c>
      <c r="I13" s="58">
        <v>60091200</v>
      </c>
      <c r="J13" s="58">
        <v>8760000</v>
      </c>
      <c r="K13" s="58">
        <v>6000000</v>
      </c>
      <c r="L13" s="58">
        <v>14400000</v>
      </c>
      <c r="M13" s="58">
        <v>42000000</v>
      </c>
      <c r="N13" s="58">
        <v>131251200</v>
      </c>
      <c r="O13" s="59">
        <v>131251200</v>
      </c>
      <c r="P13" s="58">
        <v>43200000</v>
      </c>
      <c r="Q13" s="58">
        <v>132000000</v>
      </c>
      <c r="R13" s="58">
        <v>6309576</v>
      </c>
      <c r="S13" s="58">
        <v>181509576</v>
      </c>
      <c r="T13" s="59">
        <v>0</v>
      </c>
      <c r="U13" s="58">
        <v>0</v>
      </c>
      <c r="V13" s="59">
        <v>0</v>
      </c>
      <c r="W13" s="59">
        <v>0</v>
      </c>
      <c r="X13" s="59">
        <v>0</v>
      </c>
    </row>
    <row r="14" spans="1:24" x14ac:dyDescent="0.3">
      <c r="A14" s="23">
        <v>6</v>
      </c>
      <c r="B14" s="57" t="s">
        <v>32</v>
      </c>
      <c r="C14" s="35" t="s">
        <v>33</v>
      </c>
      <c r="D14" s="35" t="s">
        <v>470</v>
      </c>
      <c r="E14" s="35" t="s">
        <v>34</v>
      </c>
      <c r="F14" s="57" t="s">
        <v>345</v>
      </c>
      <c r="G14" s="35" t="s">
        <v>26</v>
      </c>
      <c r="H14" s="35" t="s">
        <v>439</v>
      </c>
      <c r="I14" s="58">
        <v>60091200</v>
      </c>
      <c r="J14" s="58">
        <v>8760000</v>
      </c>
      <c r="K14" s="58">
        <v>6000000</v>
      </c>
      <c r="L14" s="58">
        <v>14400000</v>
      </c>
      <c r="M14" s="58">
        <v>42000000</v>
      </c>
      <c r="N14" s="58">
        <v>131251200</v>
      </c>
      <c r="O14" s="59">
        <v>131251200</v>
      </c>
      <c r="P14" s="58">
        <v>43200000</v>
      </c>
      <c r="Q14" s="58">
        <v>132000000</v>
      </c>
      <c r="R14" s="58">
        <v>6309576</v>
      </c>
      <c r="S14" s="58">
        <v>181509576</v>
      </c>
      <c r="T14" s="59">
        <v>0</v>
      </c>
      <c r="U14" s="58">
        <v>0</v>
      </c>
      <c r="V14" s="59">
        <v>0</v>
      </c>
      <c r="W14" s="59">
        <v>0</v>
      </c>
      <c r="X14" s="59">
        <v>0</v>
      </c>
    </row>
    <row r="15" spans="1:24" x14ac:dyDescent="0.3">
      <c r="A15" s="23">
        <v>7</v>
      </c>
      <c r="B15" s="57" t="s">
        <v>35</v>
      </c>
      <c r="C15" s="35" t="s">
        <v>36</v>
      </c>
      <c r="D15" s="35" t="s">
        <v>471</v>
      </c>
      <c r="E15" s="35" t="s">
        <v>37</v>
      </c>
      <c r="F15" s="57" t="s">
        <v>345</v>
      </c>
      <c r="G15" s="35" t="s">
        <v>26</v>
      </c>
      <c r="H15" s="35" t="s">
        <v>439</v>
      </c>
      <c r="I15" s="58">
        <v>60091200</v>
      </c>
      <c r="J15" s="58">
        <v>8760000</v>
      </c>
      <c r="K15" s="58">
        <v>6000000</v>
      </c>
      <c r="L15" s="58">
        <v>14400000</v>
      </c>
      <c r="M15" s="58">
        <v>42000000</v>
      </c>
      <c r="N15" s="58">
        <v>131251200</v>
      </c>
      <c r="O15" s="59">
        <v>131251200</v>
      </c>
      <c r="P15" s="58">
        <v>43200000</v>
      </c>
      <c r="Q15" s="58">
        <v>132000000</v>
      </c>
      <c r="R15" s="58">
        <v>6309576</v>
      </c>
      <c r="S15" s="58">
        <v>181509576</v>
      </c>
      <c r="T15" s="59">
        <v>0</v>
      </c>
      <c r="U15" s="58">
        <v>0</v>
      </c>
      <c r="V15" s="59">
        <v>0</v>
      </c>
      <c r="W15" s="59">
        <v>0</v>
      </c>
      <c r="X15" s="59">
        <v>0</v>
      </c>
    </row>
    <row r="16" spans="1:24" x14ac:dyDescent="0.3">
      <c r="A16" s="23">
        <v>8</v>
      </c>
      <c r="B16" s="57" t="s">
        <v>38</v>
      </c>
      <c r="C16" s="35" t="s">
        <v>39</v>
      </c>
      <c r="D16" s="35" t="s">
        <v>472</v>
      </c>
      <c r="E16" s="35" t="s">
        <v>40</v>
      </c>
      <c r="F16" s="57" t="s">
        <v>345</v>
      </c>
      <c r="G16" s="35" t="s">
        <v>26</v>
      </c>
      <c r="H16" s="35" t="s">
        <v>439</v>
      </c>
      <c r="I16" s="58">
        <v>60091200</v>
      </c>
      <c r="J16" s="58">
        <v>8760000</v>
      </c>
      <c r="K16" s="58">
        <v>6000000</v>
      </c>
      <c r="L16" s="58">
        <v>14400000</v>
      </c>
      <c r="M16" s="58">
        <v>42000000</v>
      </c>
      <c r="N16" s="58">
        <v>131251200</v>
      </c>
      <c r="O16" s="59">
        <v>131251200</v>
      </c>
      <c r="P16" s="58">
        <v>43200000</v>
      </c>
      <c r="Q16" s="58">
        <v>132000000</v>
      </c>
      <c r="R16" s="58">
        <v>6309576</v>
      </c>
      <c r="S16" s="58">
        <v>181509576</v>
      </c>
      <c r="T16" s="59">
        <v>0</v>
      </c>
      <c r="U16" s="58">
        <v>0</v>
      </c>
      <c r="V16" s="59">
        <v>0</v>
      </c>
      <c r="W16" s="59">
        <v>0</v>
      </c>
      <c r="X16" s="59">
        <v>0</v>
      </c>
    </row>
    <row r="17" spans="1:24" x14ac:dyDescent="0.3">
      <c r="A17" s="23">
        <v>9</v>
      </c>
      <c r="B17" s="57" t="s">
        <v>41</v>
      </c>
      <c r="C17" s="35" t="s">
        <v>42</v>
      </c>
      <c r="D17" s="35" t="s">
        <v>473</v>
      </c>
      <c r="E17" s="35" t="s">
        <v>43</v>
      </c>
      <c r="F17" s="57" t="s">
        <v>345</v>
      </c>
      <c r="G17" s="35" t="s">
        <v>26</v>
      </c>
      <c r="H17" s="35" t="s">
        <v>439</v>
      </c>
      <c r="I17" s="58">
        <v>60091200</v>
      </c>
      <c r="J17" s="58">
        <v>8760000</v>
      </c>
      <c r="K17" s="58">
        <v>6000000</v>
      </c>
      <c r="L17" s="58">
        <v>14400000</v>
      </c>
      <c r="M17" s="58">
        <v>42000000</v>
      </c>
      <c r="N17" s="58">
        <v>131251200</v>
      </c>
      <c r="O17" s="59">
        <v>131251200</v>
      </c>
      <c r="P17" s="58">
        <v>43200000</v>
      </c>
      <c r="Q17" s="58">
        <v>132000000</v>
      </c>
      <c r="R17" s="58">
        <v>6309576</v>
      </c>
      <c r="S17" s="58">
        <v>181509576</v>
      </c>
      <c r="T17" s="59">
        <v>0</v>
      </c>
      <c r="U17" s="58">
        <v>0</v>
      </c>
      <c r="V17" s="59">
        <v>0</v>
      </c>
      <c r="W17" s="59">
        <v>0</v>
      </c>
      <c r="X17" s="59">
        <v>0</v>
      </c>
    </row>
    <row r="18" spans="1:24" x14ac:dyDescent="0.3">
      <c r="A18" s="23">
        <v>10</v>
      </c>
      <c r="B18" s="57" t="s">
        <v>44</v>
      </c>
      <c r="C18" s="35" t="s">
        <v>45</v>
      </c>
      <c r="D18" s="35" t="s">
        <v>474</v>
      </c>
      <c r="E18" s="35" t="s">
        <v>46</v>
      </c>
      <c r="F18" s="57" t="s">
        <v>345</v>
      </c>
      <c r="G18" s="35" t="s">
        <v>26</v>
      </c>
      <c r="H18" s="35" t="s">
        <v>439</v>
      </c>
      <c r="I18" s="58">
        <v>60091200</v>
      </c>
      <c r="J18" s="58">
        <v>8760000</v>
      </c>
      <c r="K18" s="58">
        <v>6000000</v>
      </c>
      <c r="L18" s="58">
        <v>14400000</v>
      </c>
      <c r="M18" s="58">
        <v>42000000</v>
      </c>
      <c r="N18" s="58">
        <v>131251200</v>
      </c>
      <c r="O18" s="59">
        <v>131251200</v>
      </c>
      <c r="P18" s="58">
        <v>43200000</v>
      </c>
      <c r="Q18" s="58">
        <v>132000000</v>
      </c>
      <c r="R18" s="58">
        <v>6309576</v>
      </c>
      <c r="S18" s="58">
        <v>181509576</v>
      </c>
      <c r="T18" s="59">
        <v>0</v>
      </c>
      <c r="U18" s="58">
        <v>0</v>
      </c>
      <c r="V18" s="59">
        <v>0</v>
      </c>
      <c r="W18" s="59">
        <v>0</v>
      </c>
      <c r="X18" s="59">
        <v>0</v>
      </c>
    </row>
    <row r="19" spans="1:24" x14ac:dyDescent="0.3">
      <c r="A19" s="23">
        <v>11</v>
      </c>
      <c r="B19" s="57" t="s">
        <v>47</v>
      </c>
      <c r="C19" s="35" t="s">
        <v>48</v>
      </c>
      <c r="D19" s="35"/>
      <c r="E19" s="35"/>
      <c r="F19" s="57" t="s">
        <v>345</v>
      </c>
      <c r="G19" s="35" t="s">
        <v>26</v>
      </c>
      <c r="H19" s="35" t="s">
        <v>439</v>
      </c>
      <c r="I19" s="58">
        <v>60600000</v>
      </c>
      <c r="J19" s="58">
        <v>8760000</v>
      </c>
      <c r="K19" s="58">
        <v>6000000</v>
      </c>
      <c r="L19" s="58">
        <v>14400000</v>
      </c>
      <c r="M19" s="58">
        <v>42000000</v>
      </c>
      <c r="N19" s="58">
        <v>131760000</v>
      </c>
      <c r="O19" s="59">
        <v>131760000</v>
      </c>
      <c r="P19" s="58">
        <v>0</v>
      </c>
      <c r="Q19" s="58">
        <v>132000000</v>
      </c>
      <c r="R19" s="58">
        <v>5832750</v>
      </c>
      <c r="S19" s="58">
        <v>126832750</v>
      </c>
      <c r="T19" s="59">
        <v>4927250</v>
      </c>
      <c r="U19" s="58">
        <v>1098000</v>
      </c>
      <c r="V19" s="59">
        <v>246362</v>
      </c>
      <c r="W19" s="59">
        <v>851638</v>
      </c>
      <c r="X19" s="59">
        <v>0</v>
      </c>
    </row>
    <row r="20" spans="1:24" x14ac:dyDescent="0.3">
      <c r="A20" s="23">
        <v>12</v>
      </c>
      <c r="B20" s="57" t="s">
        <v>49</v>
      </c>
      <c r="C20" s="35" t="s">
        <v>50</v>
      </c>
      <c r="D20" s="35"/>
      <c r="E20" s="35"/>
      <c r="F20" s="57" t="s">
        <v>345</v>
      </c>
      <c r="G20" s="35" t="s">
        <v>26</v>
      </c>
      <c r="H20" s="35" t="s">
        <v>439</v>
      </c>
      <c r="I20" s="58">
        <v>60600000</v>
      </c>
      <c r="J20" s="58">
        <v>8760000</v>
      </c>
      <c r="K20" s="58">
        <v>6000000</v>
      </c>
      <c r="L20" s="58">
        <v>14400000</v>
      </c>
      <c r="M20" s="58">
        <v>42000000</v>
      </c>
      <c r="N20" s="58">
        <v>131760000</v>
      </c>
      <c r="O20" s="59">
        <v>131760000</v>
      </c>
      <c r="P20" s="58">
        <v>0</v>
      </c>
      <c r="Q20" s="58">
        <v>132000000</v>
      </c>
      <c r="R20" s="58">
        <v>5832750</v>
      </c>
      <c r="S20" s="58">
        <v>126832750</v>
      </c>
      <c r="T20" s="59">
        <v>4927250</v>
      </c>
      <c r="U20" s="58">
        <v>1098000</v>
      </c>
      <c r="V20" s="59">
        <v>246362</v>
      </c>
      <c r="W20" s="59">
        <v>851638</v>
      </c>
      <c r="X20" s="59">
        <v>0</v>
      </c>
    </row>
    <row r="21" spans="1:24" x14ac:dyDescent="0.3">
      <c r="A21" s="23">
        <v>13</v>
      </c>
      <c r="B21" s="57" t="s">
        <v>51</v>
      </c>
      <c r="C21" s="35" t="s">
        <v>52</v>
      </c>
      <c r="D21" s="35"/>
      <c r="E21" s="35"/>
      <c r="F21" s="57" t="s">
        <v>345</v>
      </c>
      <c r="G21" s="35" t="s">
        <v>26</v>
      </c>
      <c r="H21" s="35" t="s">
        <v>439</v>
      </c>
      <c r="I21" s="58">
        <v>60600000</v>
      </c>
      <c r="J21" s="58">
        <v>8760000</v>
      </c>
      <c r="K21" s="58">
        <v>6000000</v>
      </c>
      <c r="L21" s="58">
        <v>14400000</v>
      </c>
      <c r="M21" s="58">
        <v>42000000</v>
      </c>
      <c r="N21" s="58">
        <v>131760000</v>
      </c>
      <c r="O21" s="59">
        <v>131760000</v>
      </c>
      <c r="P21" s="58">
        <v>0</v>
      </c>
      <c r="Q21" s="58">
        <v>132000000</v>
      </c>
      <c r="R21" s="58">
        <v>5832750</v>
      </c>
      <c r="S21" s="58">
        <v>126832750</v>
      </c>
      <c r="T21" s="59">
        <v>4927250</v>
      </c>
      <c r="U21" s="58">
        <v>1098000</v>
      </c>
      <c r="V21" s="59">
        <v>246362</v>
      </c>
      <c r="W21" s="59">
        <v>851638</v>
      </c>
      <c r="X21" s="59">
        <v>0</v>
      </c>
    </row>
    <row r="22" spans="1:24" x14ac:dyDescent="0.3">
      <c r="A22" s="23">
        <v>14</v>
      </c>
      <c r="B22" s="57" t="s">
        <v>53</v>
      </c>
      <c r="C22" s="35" t="s">
        <v>54</v>
      </c>
      <c r="D22" s="35" t="s">
        <v>461</v>
      </c>
      <c r="E22" s="35" t="s">
        <v>463</v>
      </c>
      <c r="F22" s="57"/>
      <c r="G22" s="35" t="s">
        <v>26</v>
      </c>
      <c r="H22" s="35" t="s">
        <v>439</v>
      </c>
      <c r="I22" s="58">
        <v>50500000</v>
      </c>
      <c r="J22" s="58">
        <v>7300000</v>
      </c>
      <c r="K22" s="58">
        <v>5000000</v>
      </c>
      <c r="L22" s="58">
        <v>12000000</v>
      </c>
      <c r="M22" s="58">
        <v>35000000</v>
      </c>
      <c r="N22" s="58">
        <v>109800000</v>
      </c>
      <c r="O22" s="59">
        <v>109800000</v>
      </c>
      <c r="P22" s="58">
        <v>0</v>
      </c>
      <c r="Q22" s="58">
        <v>110000000</v>
      </c>
      <c r="R22" s="58">
        <v>4772250</v>
      </c>
      <c r="S22" s="58">
        <v>103772250</v>
      </c>
      <c r="T22" s="59">
        <v>6027750</v>
      </c>
      <c r="U22" s="58">
        <v>1098000</v>
      </c>
      <c r="V22" s="59"/>
      <c r="W22" s="59"/>
      <c r="X22" s="59"/>
    </row>
    <row r="23" spans="1:24" x14ac:dyDescent="0.3">
      <c r="A23" s="23">
        <v>15</v>
      </c>
      <c r="B23" s="57" t="s">
        <v>55</v>
      </c>
      <c r="C23" s="35" t="s">
        <v>56</v>
      </c>
      <c r="D23" s="35" t="s">
        <v>462</v>
      </c>
      <c r="E23" s="35" t="s">
        <v>464</v>
      </c>
      <c r="F23" s="57"/>
      <c r="G23" s="35" t="s">
        <v>26</v>
      </c>
      <c r="H23" s="35" t="s">
        <v>439</v>
      </c>
      <c r="I23" s="58">
        <v>50500000</v>
      </c>
      <c r="J23" s="58">
        <v>7300000</v>
      </c>
      <c r="K23" s="58">
        <v>5000000</v>
      </c>
      <c r="L23" s="58">
        <v>12000000</v>
      </c>
      <c r="M23" s="58">
        <v>35000000</v>
      </c>
      <c r="N23" s="58">
        <v>109800000</v>
      </c>
      <c r="O23" s="59">
        <v>109800000</v>
      </c>
      <c r="P23" s="58">
        <v>0</v>
      </c>
      <c r="Q23" s="58">
        <v>110000000</v>
      </c>
      <c r="R23" s="58">
        <v>4772250</v>
      </c>
      <c r="S23" s="58">
        <v>103772250</v>
      </c>
      <c r="T23" s="59">
        <v>6027750</v>
      </c>
      <c r="U23" s="58">
        <v>1098000</v>
      </c>
      <c r="V23" s="59"/>
      <c r="W23" s="59"/>
      <c r="X23" s="59"/>
    </row>
  </sheetData>
  <mergeCells count="15">
    <mergeCell ref="T7:T8"/>
    <mergeCell ref="A4:X4"/>
    <mergeCell ref="A5:X5"/>
    <mergeCell ref="U7:U8"/>
    <mergeCell ref="V7:X7"/>
    <mergeCell ref="H7:H8"/>
    <mergeCell ref="I7:N7"/>
    <mergeCell ref="O7:O8"/>
    <mergeCell ref="P7:S7"/>
    <mergeCell ref="A7:A8"/>
    <mergeCell ref="B7:B8"/>
    <mergeCell ref="C7:C8"/>
    <mergeCell ref="D7:E7"/>
    <mergeCell ref="F7:F8"/>
    <mergeCell ref="G7:G8"/>
  </mergeCells>
  <pageMargins left="0.25" right="0.25" top="0.75" bottom="0.75" header="0.3" footer="0.3"/>
  <pageSetup paperSize="9" scale="46"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B7848-ECAB-462F-9C45-8DE24D43E2E0}">
  <sheetPr codeName="Sheet22">
    <tabColor theme="1"/>
  </sheetPr>
  <dimension ref="A1:T18"/>
  <sheetViews>
    <sheetView workbookViewId="0">
      <selection activeCell="T6" sqref="T6:T20"/>
    </sheetView>
  </sheetViews>
  <sheetFormatPr defaultColWidth="9.109375" defaultRowHeight="12.75" customHeight="1" x14ac:dyDescent="0.3"/>
  <cols>
    <col min="1" max="1" width="6" style="60" customWidth="1"/>
    <col min="2" max="2" width="26.6640625" style="61" customWidth="1"/>
    <col min="3" max="3" width="21.5546875" style="61" customWidth="1"/>
    <col min="4" max="4" width="18.33203125" style="61" customWidth="1"/>
    <col min="5" max="5" width="7.5546875" style="61" customWidth="1"/>
    <col min="6" max="13" width="17.6640625" style="62" customWidth="1"/>
    <col min="14" max="14" width="15.88671875" style="62" customWidth="1"/>
    <col min="15" max="16" width="17" style="62" customWidth="1"/>
    <col min="17" max="17" width="10.6640625" style="62" customWidth="1"/>
    <col min="18" max="20" width="17" style="62" customWidth="1"/>
    <col min="21" max="255" width="9.109375" style="63"/>
    <col min="256" max="256" width="6" style="63" customWidth="1"/>
    <col min="257" max="257" width="26.6640625" style="63" customWidth="1"/>
    <col min="258" max="258" width="21.5546875" style="63" customWidth="1"/>
    <col min="259" max="259" width="18.33203125" style="63" customWidth="1"/>
    <col min="260" max="260" width="7.5546875" style="63" customWidth="1"/>
    <col min="261" max="268" width="17.6640625" style="63" customWidth="1"/>
    <col min="269" max="269" width="15.88671875" style="63" customWidth="1"/>
    <col min="270" max="271" width="17" style="63" customWidth="1"/>
    <col min="272" max="272" width="10.6640625" style="63" customWidth="1"/>
    <col min="273" max="275" width="17" style="63" customWidth="1"/>
    <col min="276" max="511" width="9.109375" style="63"/>
    <col min="512" max="512" width="6" style="63" customWidth="1"/>
    <col min="513" max="513" width="26.6640625" style="63" customWidth="1"/>
    <col min="514" max="514" width="21.5546875" style="63" customWidth="1"/>
    <col min="515" max="515" width="18.33203125" style="63" customWidth="1"/>
    <col min="516" max="516" width="7.5546875" style="63" customWidth="1"/>
    <col min="517" max="524" width="17.6640625" style="63" customWidth="1"/>
    <col min="525" max="525" width="15.88671875" style="63" customWidth="1"/>
    <col min="526" max="527" width="17" style="63" customWidth="1"/>
    <col min="528" max="528" width="10.6640625" style="63" customWidth="1"/>
    <col min="529" max="531" width="17" style="63" customWidth="1"/>
    <col min="532" max="767" width="9.109375" style="63"/>
    <col min="768" max="768" width="6" style="63" customWidth="1"/>
    <col min="769" max="769" width="26.6640625" style="63" customWidth="1"/>
    <col min="770" max="770" width="21.5546875" style="63" customWidth="1"/>
    <col min="771" max="771" width="18.33203125" style="63" customWidth="1"/>
    <col min="772" max="772" width="7.5546875" style="63" customWidth="1"/>
    <col min="773" max="780" width="17.6640625" style="63" customWidth="1"/>
    <col min="781" max="781" width="15.88671875" style="63" customWidth="1"/>
    <col min="782" max="783" width="17" style="63" customWidth="1"/>
    <col min="784" max="784" width="10.6640625" style="63" customWidth="1"/>
    <col min="785" max="787" width="17" style="63" customWidth="1"/>
    <col min="788" max="1023" width="9.109375" style="63"/>
    <col min="1024" max="1024" width="6" style="63" customWidth="1"/>
    <col min="1025" max="1025" width="26.6640625" style="63" customWidth="1"/>
    <col min="1026" max="1026" width="21.5546875" style="63" customWidth="1"/>
    <col min="1027" max="1027" width="18.33203125" style="63" customWidth="1"/>
    <col min="1028" max="1028" width="7.5546875" style="63" customWidth="1"/>
    <col min="1029" max="1036" width="17.6640625" style="63" customWidth="1"/>
    <col min="1037" max="1037" width="15.88671875" style="63" customWidth="1"/>
    <col min="1038" max="1039" width="17" style="63" customWidth="1"/>
    <col min="1040" max="1040" width="10.6640625" style="63" customWidth="1"/>
    <col min="1041" max="1043" width="17" style="63" customWidth="1"/>
    <col min="1044" max="1279" width="9.109375" style="63"/>
    <col min="1280" max="1280" width="6" style="63" customWidth="1"/>
    <col min="1281" max="1281" width="26.6640625" style="63" customWidth="1"/>
    <col min="1282" max="1282" width="21.5546875" style="63" customWidth="1"/>
    <col min="1283" max="1283" width="18.33203125" style="63" customWidth="1"/>
    <col min="1284" max="1284" width="7.5546875" style="63" customWidth="1"/>
    <col min="1285" max="1292" width="17.6640625" style="63" customWidth="1"/>
    <col min="1293" max="1293" width="15.88671875" style="63" customWidth="1"/>
    <col min="1294" max="1295" width="17" style="63" customWidth="1"/>
    <col min="1296" max="1296" width="10.6640625" style="63" customWidth="1"/>
    <col min="1297" max="1299" width="17" style="63" customWidth="1"/>
    <col min="1300" max="1535" width="9.109375" style="63"/>
    <col min="1536" max="1536" width="6" style="63" customWidth="1"/>
    <col min="1537" max="1537" width="26.6640625" style="63" customWidth="1"/>
    <col min="1538" max="1538" width="21.5546875" style="63" customWidth="1"/>
    <col min="1539" max="1539" width="18.33203125" style="63" customWidth="1"/>
    <col min="1540" max="1540" width="7.5546875" style="63" customWidth="1"/>
    <col min="1541" max="1548" width="17.6640625" style="63" customWidth="1"/>
    <col min="1549" max="1549" width="15.88671875" style="63" customWidth="1"/>
    <col min="1550" max="1551" width="17" style="63" customWidth="1"/>
    <col min="1552" max="1552" width="10.6640625" style="63" customWidth="1"/>
    <col min="1553" max="1555" width="17" style="63" customWidth="1"/>
    <col min="1556" max="1791" width="9.109375" style="63"/>
    <col min="1792" max="1792" width="6" style="63" customWidth="1"/>
    <col min="1793" max="1793" width="26.6640625" style="63" customWidth="1"/>
    <col min="1794" max="1794" width="21.5546875" style="63" customWidth="1"/>
    <col min="1795" max="1795" width="18.33203125" style="63" customWidth="1"/>
    <col min="1796" max="1796" width="7.5546875" style="63" customWidth="1"/>
    <col min="1797" max="1804" width="17.6640625" style="63" customWidth="1"/>
    <col min="1805" max="1805" width="15.88671875" style="63" customWidth="1"/>
    <col min="1806" max="1807" width="17" style="63" customWidth="1"/>
    <col min="1808" max="1808" width="10.6640625" style="63" customWidth="1"/>
    <col min="1809" max="1811" width="17" style="63" customWidth="1"/>
    <col min="1812" max="2047" width="9.109375" style="63"/>
    <col min="2048" max="2048" width="6" style="63" customWidth="1"/>
    <col min="2049" max="2049" width="26.6640625" style="63" customWidth="1"/>
    <col min="2050" max="2050" width="21.5546875" style="63" customWidth="1"/>
    <col min="2051" max="2051" width="18.33203125" style="63" customWidth="1"/>
    <col min="2052" max="2052" width="7.5546875" style="63" customWidth="1"/>
    <col min="2053" max="2060" width="17.6640625" style="63" customWidth="1"/>
    <col min="2061" max="2061" width="15.88671875" style="63" customWidth="1"/>
    <col min="2062" max="2063" width="17" style="63" customWidth="1"/>
    <col min="2064" max="2064" width="10.6640625" style="63" customWidth="1"/>
    <col min="2065" max="2067" width="17" style="63" customWidth="1"/>
    <col min="2068" max="2303" width="9.109375" style="63"/>
    <col min="2304" max="2304" width="6" style="63" customWidth="1"/>
    <col min="2305" max="2305" width="26.6640625" style="63" customWidth="1"/>
    <col min="2306" max="2306" width="21.5546875" style="63" customWidth="1"/>
    <col min="2307" max="2307" width="18.33203125" style="63" customWidth="1"/>
    <col min="2308" max="2308" width="7.5546875" style="63" customWidth="1"/>
    <col min="2309" max="2316" width="17.6640625" style="63" customWidth="1"/>
    <col min="2317" max="2317" width="15.88671875" style="63" customWidth="1"/>
    <col min="2318" max="2319" width="17" style="63" customWidth="1"/>
    <col min="2320" max="2320" width="10.6640625" style="63" customWidth="1"/>
    <col min="2321" max="2323" width="17" style="63" customWidth="1"/>
    <col min="2324" max="2559" width="9.109375" style="63"/>
    <col min="2560" max="2560" width="6" style="63" customWidth="1"/>
    <col min="2561" max="2561" width="26.6640625" style="63" customWidth="1"/>
    <col min="2562" max="2562" width="21.5546875" style="63" customWidth="1"/>
    <col min="2563" max="2563" width="18.33203125" style="63" customWidth="1"/>
    <col min="2564" max="2564" width="7.5546875" style="63" customWidth="1"/>
    <col min="2565" max="2572" width="17.6640625" style="63" customWidth="1"/>
    <col min="2573" max="2573" width="15.88671875" style="63" customWidth="1"/>
    <col min="2574" max="2575" width="17" style="63" customWidth="1"/>
    <col min="2576" max="2576" width="10.6640625" style="63" customWidth="1"/>
    <col min="2577" max="2579" width="17" style="63" customWidth="1"/>
    <col min="2580" max="2815" width="9.109375" style="63"/>
    <col min="2816" max="2816" width="6" style="63" customWidth="1"/>
    <col min="2817" max="2817" width="26.6640625" style="63" customWidth="1"/>
    <col min="2818" max="2818" width="21.5546875" style="63" customWidth="1"/>
    <col min="2819" max="2819" width="18.33203125" style="63" customWidth="1"/>
    <col min="2820" max="2820" width="7.5546875" style="63" customWidth="1"/>
    <col min="2821" max="2828" width="17.6640625" style="63" customWidth="1"/>
    <col min="2829" max="2829" width="15.88671875" style="63" customWidth="1"/>
    <col min="2830" max="2831" width="17" style="63" customWidth="1"/>
    <col min="2832" max="2832" width="10.6640625" style="63" customWidth="1"/>
    <col min="2833" max="2835" width="17" style="63" customWidth="1"/>
    <col min="2836" max="3071" width="9.109375" style="63"/>
    <col min="3072" max="3072" width="6" style="63" customWidth="1"/>
    <col min="3073" max="3073" width="26.6640625" style="63" customWidth="1"/>
    <col min="3074" max="3074" width="21.5546875" style="63" customWidth="1"/>
    <col min="3075" max="3075" width="18.33203125" style="63" customWidth="1"/>
    <col min="3076" max="3076" width="7.5546875" style="63" customWidth="1"/>
    <col min="3077" max="3084" width="17.6640625" style="63" customWidth="1"/>
    <col min="3085" max="3085" width="15.88671875" style="63" customWidth="1"/>
    <col min="3086" max="3087" width="17" style="63" customWidth="1"/>
    <col min="3088" max="3088" width="10.6640625" style="63" customWidth="1"/>
    <col min="3089" max="3091" width="17" style="63" customWidth="1"/>
    <col min="3092" max="3327" width="9.109375" style="63"/>
    <col min="3328" max="3328" width="6" style="63" customWidth="1"/>
    <col min="3329" max="3329" width="26.6640625" style="63" customWidth="1"/>
    <col min="3330" max="3330" width="21.5546875" style="63" customWidth="1"/>
    <col min="3331" max="3331" width="18.33203125" style="63" customWidth="1"/>
    <col min="3332" max="3332" width="7.5546875" style="63" customWidth="1"/>
    <col min="3333" max="3340" width="17.6640625" style="63" customWidth="1"/>
    <col min="3341" max="3341" width="15.88671875" style="63" customWidth="1"/>
    <col min="3342" max="3343" width="17" style="63" customWidth="1"/>
    <col min="3344" max="3344" width="10.6640625" style="63" customWidth="1"/>
    <col min="3345" max="3347" width="17" style="63" customWidth="1"/>
    <col min="3348" max="3583" width="9.109375" style="63"/>
    <col min="3584" max="3584" width="6" style="63" customWidth="1"/>
    <col min="3585" max="3585" width="26.6640625" style="63" customWidth="1"/>
    <col min="3586" max="3586" width="21.5546875" style="63" customWidth="1"/>
    <col min="3587" max="3587" width="18.33203125" style="63" customWidth="1"/>
    <col min="3588" max="3588" width="7.5546875" style="63" customWidth="1"/>
    <col min="3589" max="3596" width="17.6640625" style="63" customWidth="1"/>
    <col min="3597" max="3597" width="15.88671875" style="63" customWidth="1"/>
    <col min="3598" max="3599" width="17" style="63" customWidth="1"/>
    <col min="3600" max="3600" width="10.6640625" style="63" customWidth="1"/>
    <col min="3601" max="3603" width="17" style="63" customWidth="1"/>
    <col min="3604" max="3839" width="9.109375" style="63"/>
    <col min="3840" max="3840" width="6" style="63" customWidth="1"/>
    <col min="3841" max="3841" width="26.6640625" style="63" customWidth="1"/>
    <col min="3842" max="3842" width="21.5546875" style="63" customWidth="1"/>
    <col min="3843" max="3843" width="18.33203125" style="63" customWidth="1"/>
    <col min="3844" max="3844" width="7.5546875" style="63" customWidth="1"/>
    <col min="3845" max="3852" width="17.6640625" style="63" customWidth="1"/>
    <col min="3853" max="3853" width="15.88671875" style="63" customWidth="1"/>
    <col min="3854" max="3855" width="17" style="63" customWidth="1"/>
    <col min="3856" max="3856" width="10.6640625" style="63" customWidth="1"/>
    <col min="3857" max="3859" width="17" style="63" customWidth="1"/>
    <col min="3860" max="4095" width="9.109375" style="63"/>
    <col min="4096" max="4096" width="6" style="63" customWidth="1"/>
    <col min="4097" max="4097" width="26.6640625" style="63" customWidth="1"/>
    <col min="4098" max="4098" width="21.5546875" style="63" customWidth="1"/>
    <col min="4099" max="4099" width="18.33203125" style="63" customWidth="1"/>
    <col min="4100" max="4100" width="7.5546875" style="63" customWidth="1"/>
    <col min="4101" max="4108" width="17.6640625" style="63" customWidth="1"/>
    <col min="4109" max="4109" width="15.88671875" style="63" customWidth="1"/>
    <col min="4110" max="4111" width="17" style="63" customWidth="1"/>
    <col min="4112" max="4112" width="10.6640625" style="63" customWidth="1"/>
    <col min="4113" max="4115" width="17" style="63" customWidth="1"/>
    <col min="4116" max="4351" width="9.109375" style="63"/>
    <col min="4352" max="4352" width="6" style="63" customWidth="1"/>
    <col min="4353" max="4353" width="26.6640625" style="63" customWidth="1"/>
    <col min="4354" max="4354" width="21.5546875" style="63" customWidth="1"/>
    <col min="4355" max="4355" width="18.33203125" style="63" customWidth="1"/>
    <col min="4356" max="4356" width="7.5546875" style="63" customWidth="1"/>
    <col min="4357" max="4364" width="17.6640625" style="63" customWidth="1"/>
    <col min="4365" max="4365" width="15.88671875" style="63" customWidth="1"/>
    <col min="4366" max="4367" width="17" style="63" customWidth="1"/>
    <col min="4368" max="4368" width="10.6640625" style="63" customWidth="1"/>
    <col min="4369" max="4371" width="17" style="63" customWidth="1"/>
    <col min="4372" max="4607" width="9.109375" style="63"/>
    <col min="4608" max="4608" width="6" style="63" customWidth="1"/>
    <col min="4609" max="4609" width="26.6640625" style="63" customWidth="1"/>
    <col min="4610" max="4610" width="21.5546875" style="63" customWidth="1"/>
    <col min="4611" max="4611" width="18.33203125" style="63" customWidth="1"/>
    <col min="4612" max="4612" width="7.5546875" style="63" customWidth="1"/>
    <col min="4613" max="4620" width="17.6640625" style="63" customWidth="1"/>
    <col min="4621" max="4621" width="15.88671875" style="63" customWidth="1"/>
    <col min="4622" max="4623" width="17" style="63" customWidth="1"/>
    <col min="4624" max="4624" width="10.6640625" style="63" customWidth="1"/>
    <col min="4625" max="4627" width="17" style="63" customWidth="1"/>
    <col min="4628" max="4863" width="9.109375" style="63"/>
    <col min="4864" max="4864" width="6" style="63" customWidth="1"/>
    <col min="4865" max="4865" width="26.6640625" style="63" customWidth="1"/>
    <col min="4866" max="4866" width="21.5546875" style="63" customWidth="1"/>
    <col min="4867" max="4867" width="18.33203125" style="63" customWidth="1"/>
    <col min="4868" max="4868" width="7.5546875" style="63" customWidth="1"/>
    <col min="4869" max="4876" width="17.6640625" style="63" customWidth="1"/>
    <col min="4877" max="4877" width="15.88671875" style="63" customWidth="1"/>
    <col min="4878" max="4879" width="17" style="63" customWidth="1"/>
    <col min="4880" max="4880" width="10.6640625" style="63" customWidth="1"/>
    <col min="4881" max="4883" width="17" style="63" customWidth="1"/>
    <col min="4884" max="5119" width="9.109375" style="63"/>
    <col min="5120" max="5120" width="6" style="63" customWidth="1"/>
    <col min="5121" max="5121" width="26.6640625" style="63" customWidth="1"/>
    <col min="5122" max="5122" width="21.5546875" style="63" customWidth="1"/>
    <col min="5123" max="5123" width="18.33203125" style="63" customWidth="1"/>
    <col min="5124" max="5124" width="7.5546875" style="63" customWidth="1"/>
    <col min="5125" max="5132" width="17.6640625" style="63" customWidth="1"/>
    <col min="5133" max="5133" width="15.88671875" style="63" customWidth="1"/>
    <col min="5134" max="5135" width="17" style="63" customWidth="1"/>
    <col min="5136" max="5136" width="10.6640625" style="63" customWidth="1"/>
    <col min="5137" max="5139" width="17" style="63" customWidth="1"/>
    <col min="5140" max="5375" width="9.109375" style="63"/>
    <col min="5376" max="5376" width="6" style="63" customWidth="1"/>
    <col min="5377" max="5377" width="26.6640625" style="63" customWidth="1"/>
    <col min="5378" max="5378" width="21.5546875" style="63" customWidth="1"/>
    <col min="5379" max="5379" width="18.33203125" style="63" customWidth="1"/>
    <col min="5380" max="5380" width="7.5546875" style="63" customWidth="1"/>
    <col min="5381" max="5388" width="17.6640625" style="63" customWidth="1"/>
    <col min="5389" max="5389" width="15.88671875" style="63" customWidth="1"/>
    <col min="5390" max="5391" width="17" style="63" customWidth="1"/>
    <col min="5392" max="5392" width="10.6640625" style="63" customWidth="1"/>
    <col min="5393" max="5395" width="17" style="63" customWidth="1"/>
    <col min="5396" max="5631" width="9.109375" style="63"/>
    <col min="5632" max="5632" width="6" style="63" customWidth="1"/>
    <col min="5633" max="5633" width="26.6640625" style="63" customWidth="1"/>
    <col min="5634" max="5634" width="21.5546875" style="63" customWidth="1"/>
    <col min="5635" max="5635" width="18.33203125" style="63" customWidth="1"/>
    <col min="5636" max="5636" width="7.5546875" style="63" customWidth="1"/>
    <col min="5637" max="5644" width="17.6640625" style="63" customWidth="1"/>
    <col min="5645" max="5645" width="15.88671875" style="63" customWidth="1"/>
    <col min="5646" max="5647" width="17" style="63" customWidth="1"/>
    <col min="5648" max="5648" width="10.6640625" style="63" customWidth="1"/>
    <col min="5649" max="5651" width="17" style="63" customWidth="1"/>
    <col min="5652" max="5887" width="9.109375" style="63"/>
    <col min="5888" max="5888" width="6" style="63" customWidth="1"/>
    <col min="5889" max="5889" width="26.6640625" style="63" customWidth="1"/>
    <col min="5890" max="5890" width="21.5546875" style="63" customWidth="1"/>
    <col min="5891" max="5891" width="18.33203125" style="63" customWidth="1"/>
    <col min="5892" max="5892" width="7.5546875" style="63" customWidth="1"/>
    <col min="5893" max="5900" width="17.6640625" style="63" customWidth="1"/>
    <col min="5901" max="5901" width="15.88671875" style="63" customWidth="1"/>
    <col min="5902" max="5903" width="17" style="63" customWidth="1"/>
    <col min="5904" max="5904" width="10.6640625" style="63" customWidth="1"/>
    <col min="5905" max="5907" width="17" style="63" customWidth="1"/>
    <col min="5908" max="6143" width="9.109375" style="63"/>
    <col min="6144" max="6144" width="6" style="63" customWidth="1"/>
    <col min="6145" max="6145" width="26.6640625" style="63" customWidth="1"/>
    <col min="6146" max="6146" width="21.5546875" style="63" customWidth="1"/>
    <col min="6147" max="6147" width="18.33203125" style="63" customWidth="1"/>
    <col min="6148" max="6148" width="7.5546875" style="63" customWidth="1"/>
    <col min="6149" max="6156" width="17.6640625" style="63" customWidth="1"/>
    <col min="6157" max="6157" width="15.88671875" style="63" customWidth="1"/>
    <col min="6158" max="6159" width="17" style="63" customWidth="1"/>
    <col min="6160" max="6160" width="10.6640625" style="63" customWidth="1"/>
    <col min="6161" max="6163" width="17" style="63" customWidth="1"/>
    <col min="6164" max="6399" width="9.109375" style="63"/>
    <col min="6400" max="6400" width="6" style="63" customWidth="1"/>
    <col min="6401" max="6401" width="26.6640625" style="63" customWidth="1"/>
    <col min="6402" max="6402" width="21.5546875" style="63" customWidth="1"/>
    <col min="6403" max="6403" width="18.33203125" style="63" customWidth="1"/>
    <col min="6404" max="6404" width="7.5546875" style="63" customWidth="1"/>
    <col min="6405" max="6412" width="17.6640625" style="63" customWidth="1"/>
    <col min="6413" max="6413" width="15.88671875" style="63" customWidth="1"/>
    <col min="6414" max="6415" width="17" style="63" customWidth="1"/>
    <col min="6416" max="6416" width="10.6640625" style="63" customWidth="1"/>
    <col min="6417" max="6419" width="17" style="63" customWidth="1"/>
    <col min="6420" max="6655" width="9.109375" style="63"/>
    <col min="6656" max="6656" width="6" style="63" customWidth="1"/>
    <col min="6657" max="6657" width="26.6640625" style="63" customWidth="1"/>
    <col min="6658" max="6658" width="21.5546875" style="63" customWidth="1"/>
    <col min="6659" max="6659" width="18.33203125" style="63" customWidth="1"/>
    <col min="6660" max="6660" width="7.5546875" style="63" customWidth="1"/>
    <col min="6661" max="6668" width="17.6640625" style="63" customWidth="1"/>
    <col min="6669" max="6669" width="15.88671875" style="63" customWidth="1"/>
    <col min="6670" max="6671" width="17" style="63" customWidth="1"/>
    <col min="6672" max="6672" width="10.6640625" style="63" customWidth="1"/>
    <col min="6673" max="6675" width="17" style="63" customWidth="1"/>
    <col min="6676" max="6911" width="9.109375" style="63"/>
    <col min="6912" max="6912" width="6" style="63" customWidth="1"/>
    <col min="6913" max="6913" width="26.6640625" style="63" customWidth="1"/>
    <col min="6914" max="6914" width="21.5546875" style="63" customWidth="1"/>
    <col min="6915" max="6915" width="18.33203125" style="63" customWidth="1"/>
    <col min="6916" max="6916" width="7.5546875" style="63" customWidth="1"/>
    <col min="6917" max="6924" width="17.6640625" style="63" customWidth="1"/>
    <col min="6925" max="6925" width="15.88671875" style="63" customWidth="1"/>
    <col min="6926" max="6927" width="17" style="63" customWidth="1"/>
    <col min="6928" max="6928" width="10.6640625" style="63" customWidth="1"/>
    <col min="6929" max="6931" width="17" style="63" customWidth="1"/>
    <col min="6932" max="7167" width="9.109375" style="63"/>
    <col min="7168" max="7168" width="6" style="63" customWidth="1"/>
    <col min="7169" max="7169" width="26.6640625" style="63" customWidth="1"/>
    <col min="7170" max="7170" width="21.5546875" style="63" customWidth="1"/>
    <col min="7171" max="7171" width="18.33203125" style="63" customWidth="1"/>
    <col min="7172" max="7172" width="7.5546875" style="63" customWidth="1"/>
    <col min="7173" max="7180" width="17.6640625" style="63" customWidth="1"/>
    <col min="7181" max="7181" width="15.88671875" style="63" customWidth="1"/>
    <col min="7182" max="7183" width="17" style="63" customWidth="1"/>
    <col min="7184" max="7184" width="10.6640625" style="63" customWidth="1"/>
    <col min="7185" max="7187" width="17" style="63" customWidth="1"/>
    <col min="7188" max="7423" width="9.109375" style="63"/>
    <col min="7424" max="7424" width="6" style="63" customWidth="1"/>
    <col min="7425" max="7425" width="26.6640625" style="63" customWidth="1"/>
    <col min="7426" max="7426" width="21.5546875" style="63" customWidth="1"/>
    <col min="7427" max="7427" width="18.33203125" style="63" customWidth="1"/>
    <col min="7428" max="7428" width="7.5546875" style="63" customWidth="1"/>
    <col min="7429" max="7436" width="17.6640625" style="63" customWidth="1"/>
    <col min="7437" max="7437" width="15.88671875" style="63" customWidth="1"/>
    <col min="7438" max="7439" width="17" style="63" customWidth="1"/>
    <col min="7440" max="7440" width="10.6640625" style="63" customWidth="1"/>
    <col min="7441" max="7443" width="17" style="63" customWidth="1"/>
    <col min="7444" max="7679" width="9.109375" style="63"/>
    <col min="7680" max="7680" width="6" style="63" customWidth="1"/>
    <col min="7681" max="7681" width="26.6640625" style="63" customWidth="1"/>
    <col min="7682" max="7682" width="21.5546875" style="63" customWidth="1"/>
    <col min="7683" max="7683" width="18.33203125" style="63" customWidth="1"/>
    <col min="7684" max="7684" width="7.5546875" style="63" customWidth="1"/>
    <col min="7685" max="7692" width="17.6640625" style="63" customWidth="1"/>
    <col min="7693" max="7693" width="15.88671875" style="63" customWidth="1"/>
    <col min="7694" max="7695" width="17" style="63" customWidth="1"/>
    <col min="7696" max="7696" width="10.6640625" style="63" customWidth="1"/>
    <col min="7697" max="7699" width="17" style="63" customWidth="1"/>
    <col min="7700" max="7935" width="9.109375" style="63"/>
    <col min="7936" max="7936" width="6" style="63" customWidth="1"/>
    <col min="7937" max="7937" width="26.6640625" style="63" customWidth="1"/>
    <col min="7938" max="7938" width="21.5546875" style="63" customWidth="1"/>
    <col min="7939" max="7939" width="18.33203125" style="63" customWidth="1"/>
    <col min="7940" max="7940" width="7.5546875" style="63" customWidth="1"/>
    <col min="7941" max="7948" width="17.6640625" style="63" customWidth="1"/>
    <col min="7949" max="7949" width="15.88671875" style="63" customWidth="1"/>
    <col min="7950" max="7951" width="17" style="63" customWidth="1"/>
    <col min="7952" max="7952" width="10.6640625" style="63" customWidth="1"/>
    <col min="7953" max="7955" width="17" style="63" customWidth="1"/>
    <col min="7956" max="8191" width="9.109375" style="63"/>
    <col min="8192" max="8192" width="6" style="63" customWidth="1"/>
    <col min="8193" max="8193" width="26.6640625" style="63" customWidth="1"/>
    <col min="8194" max="8194" width="21.5546875" style="63" customWidth="1"/>
    <col min="8195" max="8195" width="18.33203125" style="63" customWidth="1"/>
    <col min="8196" max="8196" width="7.5546875" style="63" customWidth="1"/>
    <col min="8197" max="8204" width="17.6640625" style="63" customWidth="1"/>
    <col min="8205" max="8205" width="15.88671875" style="63" customWidth="1"/>
    <col min="8206" max="8207" width="17" style="63" customWidth="1"/>
    <col min="8208" max="8208" width="10.6640625" style="63" customWidth="1"/>
    <col min="8209" max="8211" width="17" style="63" customWidth="1"/>
    <col min="8212" max="8447" width="9.109375" style="63"/>
    <col min="8448" max="8448" width="6" style="63" customWidth="1"/>
    <col min="8449" max="8449" width="26.6640625" style="63" customWidth="1"/>
    <col min="8450" max="8450" width="21.5546875" style="63" customWidth="1"/>
    <col min="8451" max="8451" width="18.33203125" style="63" customWidth="1"/>
    <col min="8452" max="8452" width="7.5546875" style="63" customWidth="1"/>
    <col min="8453" max="8460" width="17.6640625" style="63" customWidth="1"/>
    <col min="8461" max="8461" width="15.88671875" style="63" customWidth="1"/>
    <col min="8462" max="8463" width="17" style="63" customWidth="1"/>
    <col min="8464" max="8464" width="10.6640625" style="63" customWidth="1"/>
    <col min="8465" max="8467" width="17" style="63" customWidth="1"/>
    <col min="8468" max="8703" width="9.109375" style="63"/>
    <col min="8704" max="8704" width="6" style="63" customWidth="1"/>
    <col min="8705" max="8705" width="26.6640625" style="63" customWidth="1"/>
    <col min="8706" max="8706" width="21.5546875" style="63" customWidth="1"/>
    <col min="8707" max="8707" width="18.33203125" style="63" customWidth="1"/>
    <col min="8708" max="8708" width="7.5546875" style="63" customWidth="1"/>
    <col min="8709" max="8716" width="17.6640625" style="63" customWidth="1"/>
    <col min="8717" max="8717" width="15.88671875" style="63" customWidth="1"/>
    <col min="8718" max="8719" width="17" style="63" customWidth="1"/>
    <col min="8720" max="8720" width="10.6640625" style="63" customWidth="1"/>
    <col min="8721" max="8723" width="17" style="63" customWidth="1"/>
    <col min="8724" max="8959" width="9.109375" style="63"/>
    <col min="8960" max="8960" width="6" style="63" customWidth="1"/>
    <col min="8961" max="8961" width="26.6640625" style="63" customWidth="1"/>
    <col min="8962" max="8962" width="21.5546875" style="63" customWidth="1"/>
    <col min="8963" max="8963" width="18.33203125" style="63" customWidth="1"/>
    <col min="8964" max="8964" width="7.5546875" style="63" customWidth="1"/>
    <col min="8965" max="8972" width="17.6640625" style="63" customWidth="1"/>
    <col min="8973" max="8973" width="15.88671875" style="63" customWidth="1"/>
    <col min="8974" max="8975" width="17" style="63" customWidth="1"/>
    <col min="8976" max="8976" width="10.6640625" style="63" customWidth="1"/>
    <col min="8977" max="8979" width="17" style="63" customWidth="1"/>
    <col min="8980" max="9215" width="9.109375" style="63"/>
    <col min="9216" max="9216" width="6" style="63" customWidth="1"/>
    <col min="9217" max="9217" width="26.6640625" style="63" customWidth="1"/>
    <col min="9218" max="9218" width="21.5546875" style="63" customWidth="1"/>
    <col min="9219" max="9219" width="18.33203125" style="63" customWidth="1"/>
    <col min="9220" max="9220" width="7.5546875" style="63" customWidth="1"/>
    <col min="9221" max="9228" width="17.6640625" style="63" customWidth="1"/>
    <col min="9229" max="9229" width="15.88671875" style="63" customWidth="1"/>
    <col min="9230" max="9231" width="17" style="63" customWidth="1"/>
    <col min="9232" max="9232" width="10.6640625" style="63" customWidth="1"/>
    <col min="9233" max="9235" width="17" style="63" customWidth="1"/>
    <col min="9236" max="9471" width="9.109375" style="63"/>
    <col min="9472" max="9472" width="6" style="63" customWidth="1"/>
    <col min="9473" max="9473" width="26.6640625" style="63" customWidth="1"/>
    <col min="9474" max="9474" width="21.5546875" style="63" customWidth="1"/>
    <col min="9475" max="9475" width="18.33203125" style="63" customWidth="1"/>
    <col min="9476" max="9476" width="7.5546875" style="63" customWidth="1"/>
    <col min="9477" max="9484" width="17.6640625" style="63" customWidth="1"/>
    <col min="9485" max="9485" width="15.88671875" style="63" customWidth="1"/>
    <col min="9486" max="9487" width="17" style="63" customWidth="1"/>
    <col min="9488" max="9488" width="10.6640625" style="63" customWidth="1"/>
    <col min="9489" max="9491" width="17" style="63" customWidth="1"/>
    <col min="9492" max="9727" width="9.109375" style="63"/>
    <col min="9728" max="9728" width="6" style="63" customWidth="1"/>
    <col min="9729" max="9729" width="26.6640625" style="63" customWidth="1"/>
    <col min="9730" max="9730" width="21.5546875" style="63" customWidth="1"/>
    <col min="9731" max="9731" width="18.33203125" style="63" customWidth="1"/>
    <col min="9732" max="9732" width="7.5546875" style="63" customWidth="1"/>
    <col min="9733" max="9740" width="17.6640625" style="63" customWidth="1"/>
    <col min="9741" max="9741" width="15.88671875" style="63" customWidth="1"/>
    <col min="9742" max="9743" width="17" style="63" customWidth="1"/>
    <col min="9744" max="9744" width="10.6640625" style="63" customWidth="1"/>
    <col min="9745" max="9747" width="17" style="63" customWidth="1"/>
    <col min="9748" max="9983" width="9.109375" style="63"/>
    <col min="9984" max="9984" width="6" style="63" customWidth="1"/>
    <col min="9985" max="9985" width="26.6640625" style="63" customWidth="1"/>
    <col min="9986" max="9986" width="21.5546875" style="63" customWidth="1"/>
    <col min="9987" max="9987" width="18.33203125" style="63" customWidth="1"/>
    <col min="9988" max="9988" width="7.5546875" style="63" customWidth="1"/>
    <col min="9989" max="9996" width="17.6640625" style="63" customWidth="1"/>
    <col min="9997" max="9997" width="15.88671875" style="63" customWidth="1"/>
    <col min="9998" max="9999" width="17" style="63" customWidth="1"/>
    <col min="10000" max="10000" width="10.6640625" style="63" customWidth="1"/>
    <col min="10001" max="10003" width="17" style="63" customWidth="1"/>
    <col min="10004" max="10239" width="9.109375" style="63"/>
    <col min="10240" max="10240" width="6" style="63" customWidth="1"/>
    <col min="10241" max="10241" width="26.6640625" style="63" customWidth="1"/>
    <col min="10242" max="10242" width="21.5546875" style="63" customWidth="1"/>
    <col min="10243" max="10243" width="18.33203125" style="63" customWidth="1"/>
    <col min="10244" max="10244" width="7.5546875" style="63" customWidth="1"/>
    <col min="10245" max="10252" width="17.6640625" style="63" customWidth="1"/>
    <col min="10253" max="10253" width="15.88671875" style="63" customWidth="1"/>
    <col min="10254" max="10255" width="17" style="63" customWidth="1"/>
    <col min="10256" max="10256" width="10.6640625" style="63" customWidth="1"/>
    <col min="10257" max="10259" width="17" style="63" customWidth="1"/>
    <col min="10260" max="10495" width="9.109375" style="63"/>
    <col min="10496" max="10496" width="6" style="63" customWidth="1"/>
    <col min="10497" max="10497" width="26.6640625" style="63" customWidth="1"/>
    <col min="10498" max="10498" width="21.5546875" style="63" customWidth="1"/>
    <col min="10499" max="10499" width="18.33203125" style="63" customWidth="1"/>
    <col min="10500" max="10500" width="7.5546875" style="63" customWidth="1"/>
    <col min="10501" max="10508" width="17.6640625" style="63" customWidth="1"/>
    <col min="10509" max="10509" width="15.88671875" style="63" customWidth="1"/>
    <col min="10510" max="10511" width="17" style="63" customWidth="1"/>
    <col min="10512" max="10512" width="10.6640625" style="63" customWidth="1"/>
    <col min="10513" max="10515" width="17" style="63" customWidth="1"/>
    <col min="10516" max="10751" width="9.109375" style="63"/>
    <col min="10752" max="10752" width="6" style="63" customWidth="1"/>
    <col min="10753" max="10753" width="26.6640625" style="63" customWidth="1"/>
    <col min="10754" max="10754" width="21.5546875" style="63" customWidth="1"/>
    <col min="10755" max="10755" width="18.33203125" style="63" customWidth="1"/>
    <col min="10756" max="10756" width="7.5546875" style="63" customWidth="1"/>
    <col min="10757" max="10764" width="17.6640625" style="63" customWidth="1"/>
    <col min="10765" max="10765" width="15.88671875" style="63" customWidth="1"/>
    <col min="10766" max="10767" width="17" style="63" customWidth="1"/>
    <col min="10768" max="10768" width="10.6640625" style="63" customWidth="1"/>
    <col min="10769" max="10771" width="17" style="63" customWidth="1"/>
    <col min="10772" max="11007" width="9.109375" style="63"/>
    <col min="11008" max="11008" width="6" style="63" customWidth="1"/>
    <col min="11009" max="11009" width="26.6640625" style="63" customWidth="1"/>
    <col min="11010" max="11010" width="21.5546875" style="63" customWidth="1"/>
    <col min="11011" max="11011" width="18.33203125" style="63" customWidth="1"/>
    <col min="11012" max="11012" width="7.5546875" style="63" customWidth="1"/>
    <col min="11013" max="11020" width="17.6640625" style="63" customWidth="1"/>
    <col min="11021" max="11021" width="15.88671875" style="63" customWidth="1"/>
    <col min="11022" max="11023" width="17" style="63" customWidth="1"/>
    <col min="11024" max="11024" width="10.6640625" style="63" customWidth="1"/>
    <col min="11025" max="11027" width="17" style="63" customWidth="1"/>
    <col min="11028" max="11263" width="9.109375" style="63"/>
    <col min="11264" max="11264" width="6" style="63" customWidth="1"/>
    <col min="11265" max="11265" width="26.6640625" style="63" customWidth="1"/>
    <col min="11266" max="11266" width="21.5546875" style="63" customWidth="1"/>
    <col min="11267" max="11267" width="18.33203125" style="63" customWidth="1"/>
    <col min="11268" max="11268" width="7.5546875" style="63" customWidth="1"/>
    <col min="11269" max="11276" width="17.6640625" style="63" customWidth="1"/>
    <col min="11277" max="11277" width="15.88671875" style="63" customWidth="1"/>
    <col min="11278" max="11279" width="17" style="63" customWidth="1"/>
    <col min="11280" max="11280" width="10.6640625" style="63" customWidth="1"/>
    <col min="11281" max="11283" width="17" style="63" customWidth="1"/>
    <col min="11284" max="11519" width="9.109375" style="63"/>
    <col min="11520" max="11520" width="6" style="63" customWidth="1"/>
    <col min="11521" max="11521" width="26.6640625" style="63" customWidth="1"/>
    <col min="11522" max="11522" width="21.5546875" style="63" customWidth="1"/>
    <col min="11523" max="11523" width="18.33203125" style="63" customWidth="1"/>
    <col min="11524" max="11524" width="7.5546875" style="63" customWidth="1"/>
    <col min="11525" max="11532" width="17.6640625" style="63" customWidth="1"/>
    <col min="11533" max="11533" width="15.88671875" style="63" customWidth="1"/>
    <col min="11534" max="11535" width="17" style="63" customWidth="1"/>
    <col min="11536" max="11536" width="10.6640625" style="63" customWidth="1"/>
    <col min="11537" max="11539" width="17" style="63" customWidth="1"/>
    <col min="11540" max="11775" width="9.109375" style="63"/>
    <col min="11776" max="11776" width="6" style="63" customWidth="1"/>
    <col min="11777" max="11777" width="26.6640625" style="63" customWidth="1"/>
    <col min="11778" max="11778" width="21.5546875" style="63" customWidth="1"/>
    <col min="11779" max="11779" width="18.33203125" style="63" customWidth="1"/>
    <col min="11780" max="11780" width="7.5546875" style="63" customWidth="1"/>
    <col min="11781" max="11788" width="17.6640625" style="63" customWidth="1"/>
    <col min="11789" max="11789" width="15.88671875" style="63" customWidth="1"/>
    <col min="11790" max="11791" width="17" style="63" customWidth="1"/>
    <col min="11792" max="11792" width="10.6640625" style="63" customWidth="1"/>
    <col min="11793" max="11795" width="17" style="63" customWidth="1"/>
    <col min="11796" max="12031" width="9.109375" style="63"/>
    <col min="12032" max="12032" width="6" style="63" customWidth="1"/>
    <col min="12033" max="12033" width="26.6640625" style="63" customWidth="1"/>
    <col min="12034" max="12034" width="21.5546875" style="63" customWidth="1"/>
    <col min="12035" max="12035" width="18.33203125" style="63" customWidth="1"/>
    <col min="12036" max="12036" width="7.5546875" style="63" customWidth="1"/>
    <col min="12037" max="12044" width="17.6640625" style="63" customWidth="1"/>
    <col min="12045" max="12045" width="15.88671875" style="63" customWidth="1"/>
    <col min="12046" max="12047" width="17" style="63" customWidth="1"/>
    <col min="12048" max="12048" width="10.6640625" style="63" customWidth="1"/>
    <col min="12049" max="12051" width="17" style="63" customWidth="1"/>
    <col min="12052" max="12287" width="9.109375" style="63"/>
    <col min="12288" max="12288" width="6" style="63" customWidth="1"/>
    <col min="12289" max="12289" width="26.6640625" style="63" customWidth="1"/>
    <col min="12290" max="12290" width="21.5546875" style="63" customWidth="1"/>
    <col min="12291" max="12291" width="18.33203125" style="63" customWidth="1"/>
    <col min="12292" max="12292" width="7.5546875" style="63" customWidth="1"/>
    <col min="12293" max="12300" width="17.6640625" style="63" customWidth="1"/>
    <col min="12301" max="12301" width="15.88671875" style="63" customWidth="1"/>
    <col min="12302" max="12303" width="17" style="63" customWidth="1"/>
    <col min="12304" max="12304" width="10.6640625" style="63" customWidth="1"/>
    <col min="12305" max="12307" width="17" style="63" customWidth="1"/>
    <col min="12308" max="12543" width="9.109375" style="63"/>
    <col min="12544" max="12544" width="6" style="63" customWidth="1"/>
    <col min="12545" max="12545" width="26.6640625" style="63" customWidth="1"/>
    <col min="12546" max="12546" width="21.5546875" style="63" customWidth="1"/>
    <col min="12547" max="12547" width="18.33203125" style="63" customWidth="1"/>
    <col min="12548" max="12548" width="7.5546875" style="63" customWidth="1"/>
    <col min="12549" max="12556" width="17.6640625" style="63" customWidth="1"/>
    <col min="12557" max="12557" width="15.88671875" style="63" customWidth="1"/>
    <col min="12558" max="12559" width="17" style="63" customWidth="1"/>
    <col min="12560" max="12560" width="10.6640625" style="63" customWidth="1"/>
    <col min="12561" max="12563" width="17" style="63" customWidth="1"/>
    <col min="12564" max="12799" width="9.109375" style="63"/>
    <col min="12800" max="12800" width="6" style="63" customWidth="1"/>
    <col min="12801" max="12801" width="26.6640625" style="63" customWidth="1"/>
    <col min="12802" max="12802" width="21.5546875" style="63" customWidth="1"/>
    <col min="12803" max="12803" width="18.33203125" style="63" customWidth="1"/>
    <col min="12804" max="12804" width="7.5546875" style="63" customWidth="1"/>
    <col min="12805" max="12812" width="17.6640625" style="63" customWidth="1"/>
    <col min="12813" max="12813" width="15.88671875" style="63" customWidth="1"/>
    <col min="12814" max="12815" width="17" style="63" customWidth="1"/>
    <col min="12816" max="12816" width="10.6640625" style="63" customWidth="1"/>
    <col min="12817" max="12819" width="17" style="63" customWidth="1"/>
    <col min="12820" max="13055" width="9.109375" style="63"/>
    <col min="13056" max="13056" width="6" style="63" customWidth="1"/>
    <col min="13057" max="13057" width="26.6640625" style="63" customWidth="1"/>
    <col min="13058" max="13058" width="21.5546875" style="63" customWidth="1"/>
    <col min="13059" max="13059" width="18.33203125" style="63" customWidth="1"/>
    <col min="13060" max="13060" width="7.5546875" style="63" customWidth="1"/>
    <col min="13061" max="13068" width="17.6640625" style="63" customWidth="1"/>
    <col min="13069" max="13069" width="15.88671875" style="63" customWidth="1"/>
    <col min="13070" max="13071" width="17" style="63" customWidth="1"/>
    <col min="13072" max="13072" width="10.6640625" style="63" customWidth="1"/>
    <col min="13073" max="13075" width="17" style="63" customWidth="1"/>
    <col min="13076" max="13311" width="9.109375" style="63"/>
    <col min="13312" max="13312" width="6" style="63" customWidth="1"/>
    <col min="13313" max="13313" width="26.6640625" style="63" customWidth="1"/>
    <col min="13314" max="13314" width="21.5546875" style="63" customWidth="1"/>
    <col min="13315" max="13315" width="18.33203125" style="63" customWidth="1"/>
    <col min="13316" max="13316" width="7.5546875" style="63" customWidth="1"/>
    <col min="13317" max="13324" width="17.6640625" style="63" customWidth="1"/>
    <col min="13325" max="13325" width="15.88671875" style="63" customWidth="1"/>
    <col min="13326" max="13327" width="17" style="63" customWidth="1"/>
    <col min="13328" max="13328" width="10.6640625" style="63" customWidth="1"/>
    <col min="13329" max="13331" width="17" style="63" customWidth="1"/>
    <col min="13332" max="13567" width="9.109375" style="63"/>
    <col min="13568" max="13568" width="6" style="63" customWidth="1"/>
    <col min="13569" max="13569" width="26.6640625" style="63" customWidth="1"/>
    <col min="13570" max="13570" width="21.5546875" style="63" customWidth="1"/>
    <col min="13571" max="13571" width="18.33203125" style="63" customWidth="1"/>
    <col min="13572" max="13572" width="7.5546875" style="63" customWidth="1"/>
    <col min="13573" max="13580" width="17.6640625" style="63" customWidth="1"/>
    <col min="13581" max="13581" width="15.88671875" style="63" customWidth="1"/>
    <col min="13582" max="13583" width="17" style="63" customWidth="1"/>
    <col min="13584" max="13584" width="10.6640625" style="63" customWidth="1"/>
    <col min="13585" max="13587" width="17" style="63" customWidth="1"/>
    <col min="13588" max="13823" width="9.109375" style="63"/>
    <col min="13824" max="13824" width="6" style="63" customWidth="1"/>
    <col min="13825" max="13825" width="26.6640625" style="63" customWidth="1"/>
    <col min="13826" max="13826" width="21.5546875" style="63" customWidth="1"/>
    <col min="13827" max="13827" width="18.33203125" style="63" customWidth="1"/>
    <col min="13828" max="13828" width="7.5546875" style="63" customWidth="1"/>
    <col min="13829" max="13836" width="17.6640625" style="63" customWidth="1"/>
    <col min="13837" max="13837" width="15.88671875" style="63" customWidth="1"/>
    <col min="13838" max="13839" width="17" style="63" customWidth="1"/>
    <col min="13840" max="13840" width="10.6640625" style="63" customWidth="1"/>
    <col min="13841" max="13843" width="17" style="63" customWidth="1"/>
    <col min="13844" max="14079" width="9.109375" style="63"/>
    <col min="14080" max="14080" width="6" style="63" customWidth="1"/>
    <col min="14081" max="14081" width="26.6640625" style="63" customWidth="1"/>
    <col min="14082" max="14082" width="21.5546875" style="63" customWidth="1"/>
    <col min="14083" max="14083" width="18.33203125" style="63" customWidth="1"/>
    <col min="14084" max="14084" width="7.5546875" style="63" customWidth="1"/>
    <col min="14085" max="14092" width="17.6640625" style="63" customWidth="1"/>
    <col min="14093" max="14093" width="15.88671875" style="63" customWidth="1"/>
    <col min="14094" max="14095" width="17" style="63" customWidth="1"/>
    <col min="14096" max="14096" width="10.6640625" style="63" customWidth="1"/>
    <col min="14097" max="14099" width="17" style="63" customWidth="1"/>
    <col min="14100" max="14335" width="9.109375" style="63"/>
    <col min="14336" max="14336" width="6" style="63" customWidth="1"/>
    <col min="14337" max="14337" width="26.6640625" style="63" customWidth="1"/>
    <col min="14338" max="14338" width="21.5546875" style="63" customWidth="1"/>
    <col min="14339" max="14339" width="18.33203125" style="63" customWidth="1"/>
    <col min="14340" max="14340" width="7.5546875" style="63" customWidth="1"/>
    <col min="14341" max="14348" width="17.6640625" style="63" customWidth="1"/>
    <col min="14349" max="14349" width="15.88671875" style="63" customWidth="1"/>
    <col min="14350" max="14351" width="17" style="63" customWidth="1"/>
    <col min="14352" max="14352" width="10.6640625" style="63" customWidth="1"/>
    <col min="14353" max="14355" width="17" style="63" customWidth="1"/>
    <col min="14356" max="14591" width="9.109375" style="63"/>
    <col min="14592" max="14592" width="6" style="63" customWidth="1"/>
    <col min="14593" max="14593" width="26.6640625" style="63" customWidth="1"/>
    <col min="14594" max="14594" width="21.5546875" style="63" customWidth="1"/>
    <col min="14595" max="14595" width="18.33203125" style="63" customWidth="1"/>
    <col min="14596" max="14596" width="7.5546875" style="63" customWidth="1"/>
    <col min="14597" max="14604" width="17.6640625" style="63" customWidth="1"/>
    <col min="14605" max="14605" width="15.88671875" style="63" customWidth="1"/>
    <col min="14606" max="14607" width="17" style="63" customWidth="1"/>
    <col min="14608" max="14608" width="10.6640625" style="63" customWidth="1"/>
    <col min="14609" max="14611" width="17" style="63" customWidth="1"/>
    <col min="14612" max="14847" width="9.109375" style="63"/>
    <col min="14848" max="14848" width="6" style="63" customWidth="1"/>
    <col min="14849" max="14849" width="26.6640625" style="63" customWidth="1"/>
    <col min="14850" max="14850" width="21.5546875" style="63" customWidth="1"/>
    <col min="14851" max="14851" width="18.33203125" style="63" customWidth="1"/>
    <col min="14852" max="14852" width="7.5546875" style="63" customWidth="1"/>
    <col min="14853" max="14860" width="17.6640625" style="63" customWidth="1"/>
    <col min="14861" max="14861" width="15.88671875" style="63" customWidth="1"/>
    <col min="14862" max="14863" width="17" style="63" customWidth="1"/>
    <col min="14864" max="14864" width="10.6640625" style="63" customWidth="1"/>
    <col min="14865" max="14867" width="17" style="63" customWidth="1"/>
    <col min="14868" max="15103" width="9.109375" style="63"/>
    <col min="15104" max="15104" width="6" style="63" customWidth="1"/>
    <col min="15105" max="15105" width="26.6640625" style="63" customWidth="1"/>
    <col min="15106" max="15106" width="21.5546875" style="63" customWidth="1"/>
    <col min="15107" max="15107" width="18.33203125" style="63" customWidth="1"/>
    <col min="15108" max="15108" width="7.5546875" style="63" customWidth="1"/>
    <col min="15109" max="15116" width="17.6640625" style="63" customWidth="1"/>
    <col min="15117" max="15117" width="15.88671875" style="63" customWidth="1"/>
    <col min="15118" max="15119" width="17" style="63" customWidth="1"/>
    <col min="15120" max="15120" width="10.6640625" style="63" customWidth="1"/>
    <col min="15121" max="15123" width="17" style="63" customWidth="1"/>
    <col min="15124" max="15359" width="9.109375" style="63"/>
    <col min="15360" max="15360" width="6" style="63" customWidth="1"/>
    <col min="15361" max="15361" width="26.6640625" style="63" customWidth="1"/>
    <col min="15362" max="15362" width="21.5546875" style="63" customWidth="1"/>
    <col min="15363" max="15363" width="18.33203125" style="63" customWidth="1"/>
    <col min="15364" max="15364" width="7.5546875" style="63" customWidth="1"/>
    <col min="15365" max="15372" width="17.6640625" style="63" customWidth="1"/>
    <col min="15373" max="15373" width="15.88671875" style="63" customWidth="1"/>
    <col min="15374" max="15375" width="17" style="63" customWidth="1"/>
    <col min="15376" max="15376" width="10.6640625" style="63" customWidth="1"/>
    <col min="15377" max="15379" width="17" style="63" customWidth="1"/>
    <col min="15380" max="15615" width="9.109375" style="63"/>
    <col min="15616" max="15616" width="6" style="63" customWidth="1"/>
    <col min="15617" max="15617" width="26.6640625" style="63" customWidth="1"/>
    <col min="15618" max="15618" width="21.5546875" style="63" customWidth="1"/>
    <col min="15619" max="15619" width="18.33203125" style="63" customWidth="1"/>
    <col min="15620" max="15620" width="7.5546875" style="63" customWidth="1"/>
    <col min="15621" max="15628" width="17.6640625" style="63" customWidth="1"/>
    <col min="15629" max="15629" width="15.88671875" style="63" customWidth="1"/>
    <col min="15630" max="15631" width="17" style="63" customWidth="1"/>
    <col min="15632" max="15632" width="10.6640625" style="63" customWidth="1"/>
    <col min="15633" max="15635" width="17" style="63" customWidth="1"/>
    <col min="15636" max="15871" width="9.109375" style="63"/>
    <col min="15872" max="15872" width="6" style="63" customWidth="1"/>
    <col min="15873" max="15873" width="26.6640625" style="63" customWidth="1"/>
    <col min="15874" max="15874" width="21.5546875" style="63" customWidth="1"/>
    <col min="15875" max="15875" width="18.33203125" style="63" customWidth="1"/>
    <col min="15876" max="15876" width="7.5546875" style="63" customWidth="1"/>
    <col min="15877" max="15884" width="17.6640625" style="63" customWidth="1"/>
    <col min="15885" max="15885" width="15.88671875" style="63" customWidth="1"/>
    <col min="15886" max="15887" width="17" style="63" customWidth="1"/>
    <col min="15888" max="15888" width="10.6640625" style="63" customWidth="1"/>
    <col min="15889" max="15891" width="17" style="63" customWidth="1"/>
    <col min="15892" max="16127" width="9.109375" style="63"/>
    <col min="16128" max="16128" width="6" style="63" customWidth="1"/>
    <col min="16129" max="16129" width="26.6640625" style="63" customWidth="1"/>
    <col min="16130" max="16130" width="21.5546875" style="63" customWidth="1"/>
    <col min="16131" max="16131" width="18.33203125" style="63" customWidth="1"/>
    <col min="16132" max="16132" width="7.5546875" style="63" customWidth="1"/>
    <col min="16133" max="16140" width="17.6640625" style="63" customWidth="1"/>
    <col min="16141" max="16141" width="15.88671875" style="63" customWidth="1"/>
    <col min="16142" max="16143" width="17" style="63" customWidth="1"/>
    <col min="16144" max="16144" width="10.6640625" style="63" customWidth="1"/>
    <col min="16145" max="16147" width="17" style="63" customWidth="1"/>
    <col min="16148" max="16384" width="9.109375" style="63"/>
  </cols>
  <sheetData>
    <row r="1" spans="1:20" ht="12.75" customHeight="1" thickBot="1" x14ac:dyDescent="0.35"/>
    <row r="2" spans="1:20" s="61" customFormat="1" ht="22.5" customHeight="1" thickBot="1" x14ac:dyDescent="0.35">
      <c r="A2" s="228" t="s">
        <v>5</v>
      </c>
      <c r="B2" s="229" t="s">
        <v>372</v>
      </c>
      <c r="C2" s="230" t="s">
        <v>373</v>
      </c>
      <c r="D2" s="230" t="s">
        <v>374</v>
      </c>
      <c r="E2" s="224" t="s">
        <v>350</v>
      </c>
      <c r="F2" s="221" t="s">
        <v>375</v>
      </c>
      <c r="G2" s="222"/>
      <c r="H2" s="223"/>
      <c r="I2" s="233" t="s">
        <v>376</v>
      </c>
      <c r="J2" s="234"/>
      <c r="K2" s="234"/>
      <c r="L2" s="234"/>
      <c r="M2" s="235"/>
      <c r="N2" s="230" t="s">
        <v>377</v>
      </c>
      <c r="O2" s="224" t="s">
        <v>378</v>
      </c>
      <c r="P2" s="224" t="s">
        <v>379</v>
      </c>
      <c r="Q2" s="224" t="s">
        <v>380</v>
      </c>
      <c r="R2" s="232" t="s">
        <v>369</v>
      </c>
      <c r="S2" s="232"/>
      <c r="T2" s="232"/>
    </row>
    <row r="3" spans="1:20" s="61" customFormat="1" ht="16.5" customHeight="1" thickBot="1" x14ac:dyDescent="0.35">
      <c r="A3" s="228"/>
      <c r="B3" s="230"/>
      <c r="C3" s="230"/>
      <c r="D3" s="230"/>
      <c r="E3" s="231"/>
      <c r="F3" s="224" t="s">
        <v>381</v>
      </c>
      <c r="G3" s="226" t="s">
        <v>382</v>
      </c>
      <c r="H3" s="227"/>
      <c r="I3" s="224" t="s">
        <v>383</v>
      </c>
      <c r="J3" s="224" t="s">
        <v>384</v>
      </c>
      <c r="K3" s="230" t="s">
        <v>385</v>
      </c>
      <c r="L3" s="230" t="s">
        <v>366</v>
      </c>
      <c r="M3" s="224" t="s">
        <v>386</v>
      </c>
      <c r="N3" s="230"/>
      <c r="O3" s="231"/>
      <c r="P3" s="231"/>
      <c r="Q3" s="231"/>
      <c r="R3" s="232" t="s">
        <v>368</v>
      </c>
      <c r="S3" s="232" t="s">
        <v>370</v>
      </c>
      <c r="T3" s="232" t="s">
        <v>371</v>
      </c>
    </row>
    <row r="4" spans="1:20" s="61" customFormat="1" ht="32.4" customHeight="1" thickBot="1" x14ac:dyDescent="0.35">
      <c r="A4" s="228"/>
      <c r="B4" s="230"/>
      <c r="C4" s="230"/>
      <c r="D4" s="230"/>
      <c r="E4" s="225"/>
      <c r="F4" s="225"/>
      <c r="G4" s="64" t="s">
        <v>387</v>
      </c>
      <c r="H4" s="64" t="s">
        <v>388</v>
      </c>
      <c r="I4" s="225"/>
      <c r="J4" s="225"/>
      <c r="K4" s="230"/>
      <c r="L4" s="230"/>
      <c r="M4" s="225"/>
      <c r="N4" s="230"/>
      <c r="O4" s="225"/>
      <c r="P4" s="225"/>
      <c r="Q4" s="225"/>
      <c r="R4" s="232"/>
      <c r="S4" s="232"/>
      <c r="T4" s="232"/>
    </row>
    <row r="5" spans="1:20" s="61" customFormat="1" ht="16.5" customHeight="1" thickBot="1" x14ac:dyDescent="0.35">
      <c r="A5" s="113" t="s">
        <v>389</v>
      </c>
      <c r="B5" s="64" t="s">
        <v>390</v>
      </c>
      <c r="C5" s="64" t="s">
        <v>391</v>
      </c>
      <c r="D5" s="64" t="s">
        <v>392</v>
      </c>
      <c r="E5" s="64" t="s">
        <v>393</v>
      </c>
      <c r="F5" s="64" t="s">
        <v>394</v>
      </c>
      <c r="G5" s="64" t="s">
        <v>395</v>
      </c>
      <c r="H5" s="64" t="s">
        <v>396</v>
      </c>
      <c r="I5" s="64" t="s">
        <v>397</v>
      </c>
      <c r="J5" s="64" t="s">
        <v>398</v>
      </c>
      <c r="K5" s="64" t="s">
        <v>399</v>
      </c>
      <c r="L5" s="64" t="s">
        <v>400</v>
      </c>
      <c r="M5" s="64" t="s">
        <v>401</v>
      </c>
      <c r="N5" s="64" t="s">
        <v>402</v>
      </c>
      <c r="O5" s="64" t="s">
        <v>403</v>
      </c>
      <c r="P5" s="64" t="s">
        <v>404</v>
      </c>
      <c r="Q5" s="64"/>
      <c r="R5" s="70" t="s">
        <v>405</v>
      </c>
      <c r="S5" s="70" t="s">
        <v>406</v>
      </c>
      <c r="T5" s="70" t="s">
        <v>407</v>
      </c>
    </row>
    <row r="6" spans="1:20" s="60" customFormat="1" ht="16.5" customHeight="1" x14ac:dyDescent="0.3">
      <c r="A6" s="118">
        <v>1</v>
      </c>
      <c r="B6" s="66" t="s">
        <v>10</v>
      </c>
      <c r="C6" s="66" t="s">
        <v>465</v>
      </c>
      <c r="D6" s="66" t="s">
        <v>13</v>
      </c>
      <c r="E6" s="66" t="s">
        <v>345</v>
      </c>
      <c r="F6" s="67">
        <v>486182800</v>
      </c>
      <c r="G6" s="67"/>
      <c r="H6" s="67"/>
      <c r="I6" s="67">
        <f>COUNTIFS('05_3BK_TNCN'!$D$40:$D$49,'05-1-BK-QTT_TNCN'!C6)</f>
        <v>1</v>
      </c>
      <c r="J6" s="68">
        <v>175200000</v>
      </c>
      <c r="K6" s="67"/>
      <c r="L6" s="67"/>
      <c r="M6" s="67"/>
      <c r="N6" s="67">
        <v>304673224</v>
      </c>
      <c r="O6" s="67">
        <v>42396560</v>
      </c>
      <c r="P6" s="67"/>
      <c r="Q6" s="66"/>
      <c r="R6" s="67">
        <v>41134644</v>
      </c>
      <c r="S6" s="67">
        <v>1261916</v>
      </c>
      <c r="T6" s="67">
        <v>0</v>
      </c>
    </row>
    <row r="7" spans="1:20" s="60" customFormat="1" ht="16.5" customHeight="1" x14ac:dyDescent="0.3">
      <c r="A7" s="118">
        <v>2</v>
      </c>
      <c r="B7" s="66" t="s">
        <v>15</v>
      </c>
      <c r="C7" s="66" t="s">
        <v>466</v>
      </c>
      <c r="D7" s="66" t="s">
        <v>18</v>
      </c>
      <c r="E7" s="66" t="s">
        <v>345</v>
      </c>
      <c r="F7" s="67">
        <v>175182800</v>
      </c>
      <c r="G7" s="67"/>
      <c r="H7" s="67"/>
      <c r="I7" s="67">
        <f>COUNTIFS('05_3BK_TNCN'!$D$40:$D$49,'05-1-BK-QTT_TNCN'!C7)</f>
        <v>1</v>
      </c>
      <c r="J7" s="68">
        <v>175200000</v>
      </c>
      <c r="K7" s="67"/>
      <c r="L7" s="67"/>
      <c r="M7" s="67"/>
      <c r="N7" s="67">
        <v>0</v>
      </c>
      <c r="O7" s="67">
        <v>582500</v>
      </c>
      <c r="P7" s="67"/>
      <c r="Q7" s="66"/>
      <c r="R7" s="67">
        <v>0</v>
      </c>
      <c r="S7" s="67">
        <v>582500</v>
      </c>
      <c r="T7" s="67">
        <v>0</v>
      </c>
    </row>
    <row r="8" spans="1:20" s="60" customFormat="1" ht="16.5" customHeight="1" x14ac:dyDescent="0.3">
      <c r="A8" s="118">
        <v>3</v>
      </c>
      <c r="B8" s="66" t="s">
        <v>20</v>
      </c>
      <c r="C8" s="66" t="s">
        <v>467</v>
      </c>
      <c r="D8" s="66" t="s">
        <v>23</v>
      </c>
      <c r="E8" s="66" t="s">
        <v>345</v>
      </c>
      <c r="F8" s="67">
        <v>175182800</v>
      </c>
      <c r="G8" s="67"/>
      <c r="H8" s="67"/>
      <c r="I8" s="67">
        <f>COUNTIFS('05_3BK_TNCN'!$D$40:$D$49,'05-1-BK-QTT_TNCN'!C8)</f>
        <v>1</v>
      </c>
      <c r="J8" s="68">
        <v>175200000</v>
      </c>
      <c r="K8" s="67"/>
      <c r="L8" s="67"/>
      <c r="M8" s="67"/>
      <c r="N8" s="67">
        <v>0</v>
      </c>
      <c r="O8" s="67">
        <v>582500</v>
      </c>
      <c r="P8" s="67"/>
      <c r="Q8" s="66"/>
      <c r="R8" s="67">
        <v>0</v>
      </c>
      <c r="S8" s="67">
        <v>582500</v>
      </c>
      <c r="T8" s="67">
        <v>0</v>
      </c>
    </row>
    <row r="9" spans="1:20" s="69" customFormat="1" ht="12.75" customHeight="1" x14ac:dyDescent="0.3">
      <c r="A9" s="118">
        <v>4</v>
      </c>
      <c r="B9" s="66" t="s">
        <v>25</v>
      </c>
      <c r="C9" s="66" t="s">
        <v>468</v>
      </c>
      <c r="D9" s="66" t="s">
        <v>28</v>
      </c>
      <c r="E9" s="66" t="s">
        <v>345</v>
      </c>
      <c r="F9" s="67">
        <v>131251200</v>
      </c>
      <c r="G9" s="67"/>
      <c r="H9" s="67"/>
      <c r="I9" s="67">
        <f>COUNTIFS('05_3BK_TNCN'!$D$40:$D$49,'05-1-BK-QTT_TNCN'!C9)</f>
        <v>1</v>
      </c>
      <c r="J9" s="68">
        <v>175200000</v>
      </c>
      <c r="K9" s="67"/>
      <c r="L9" s="67"/>
      <c r="M9" s="67"/>
      <c r="N9" s="67">
        <v>0</v>
      </c>
      <c r="O9" s="67">
        <v>0</v>
      </c>
      <c r="P9" s="67"/>
      <c r="Q9" s="66"/>
      <c r="R9" s="67">
        <v>0</v>
      </c>
      <c r="S9" s="67">
        <v>0</v>
      </c>
      <c r="T9" s="67">
        <v>0</v>
      </c>
    </row>
    <row r="10" spans="1:20" s="69" customFormat="1" ht="12.75" customHeight="1" x14ac:dyDescent="0.3">
      <c r="A10" s="118">
        <v>5</v>
      </c>
      <c r="B10" s="66" t="s">
        <v>30</v>
      </c>
      <c r="C10" s="66" t="s">
        <v>469</v>
      </c>
      <c r="D10" s="66" t="s">
        <v>31</v>
      </c>
      <c r="E10" s="66" t="s">
        <v>345</v>
      </c>
      <c r="F10" s="67">
        <v>131251200</v>
      </c>
      <c r="G10" s="67"/>
      <c r="H10" s="67"/>
      <c r="I10" s="67">
        <f>COUNTIFS('05_3BK_TNCN'!$D$40:$D$49,'05-1-BK-QTT_TNCN'!C10)</f>
        <v>1</v>
      </c>
      <c r="J10" s="68">
        <v>175200000</v>
      </c>
      <c r="K10" s="67"/>
      <c r="L10" s="67"/>
      <c r="M10" s="67"/>
      <c r="N10" s="67">
        <v>0</v>
      </c>
      <c r="O10" s="67">
        <v>0</v>
      </c>
      <c r="P10" s="67"/>
      <c r="Q10" s="66"/>
      <c r="R10" s="67">
        <v>0</v>
      </c>
      <c r="S10" s="67">
        <v>0</v>
      </c>
      <c r="T10" s="67">
        <v>0</v>
      </c>
    </row>
    <row r="11" spans="1:20" s="69" customFormat="1" ht="12.75" customHeight="1" x14ac:dyDescent="0.3">
      <c r="A11" s="118">
        <v>6</v>
      </c>
      <c r="B11" s="66" t="s">
        <v>33</v>
      </c>
      <c r="C11" s="66" t="s">
        <v>470</v>
      </c>
      <c r="D11" s="66" t="s">
        <v>34</v>
      </c>
      <c r="E11" s="66" t="s">
        <v>345</v>
      </c>
      <c r="F11" s="67">
        <v>131251200</v>
      </c>
      <c r="G11" s="67"/>
      <c r="H11" s="67"/>
      <c r="I11" s="67">
        <f>COUNTIFS('05_3BK_TNCN'!$D$40:$D$49,'05-1-BK-QTT_TNCN'!C11)</f>
        <v>1</v>
      </c>
      <c r="J11" s="68">
        <v>175200000</v>
      </c>
      <c r="K11" s="67"/>
      <c r="L11" s="67"/>
      <c r="M11" s="67"/>
      <c r="N11" s="67">
        <v>0</v>
      </c>
      <c r="O11" s="67">
        <v>0</v>
      </c>
      <c r="P11" s="67"/>
      <c r="Q11" s="66"/>
      <c r="R11" s="67">
        <v>0</v>
      </c>
      <c r="S11" s="67">
        <v>0</v>
      </c>
      <c r="T11" s="67">
        <v>0</v>
      </c>
    </row>
    <row r="12" spans="1:20" s="69" customFormat="1" ht="12.75" customHeight="1" x14ac:dyDescent="0.3">
      <c r="A12" s="118">
        <v>7</v>
      </c>
      <c r="B12" s="66" t="s">
        <v>36</v>
      </c>
      <c r="C12" s="66" t="s">
        <v>471</v>
      </c>
      <c r="D12" s="66" t="s">
        <v>37</v>
      </c>
      <c r="E12" s="66" t="s">
        <v>345</v>
      </c>
      <c r="F12" s="67">
        <v>131251200</v>
      </c>
      <c r="G12" s="67"/>
      <c r="H12" s="67"/>
      <c r="I12" s="67">
        <f>COUNTIFS('05_3BK_TNCN'!$D$40:$D$49,'05-1-BK-QTT_TNCN'!C12)</f>
        <v>1</v>
      </c>
      <c r="J12" s="68">
        <v>175200000</v>
      </c>
      <c r="K12" s="67"/>
      <c r="L12" s="67"/>
      <c r="M12" s="67"/>
      <c r="N12" s="67">
        <v>0</v>
      </c>
      <c r="O12" s="67">
        <v>0</v>
      </c>
      <c r="P12" s="67"/>
      <c r="Q12" s="66"/>
      <c r="R12" s="67">
        <v>0</v>
      </c>
      <c r="S12" s="67">
        <v>0</v>
      </c>
      <c r="T12" s="67">
        <v>0</v>
      </c>
    </row>
    <row r="13" spans="1:20" s="69" customFormat="1" ht="12.75" customHeight="1" x14ac:dyDescent="0.3">
      <c r="A13" s="118">
        <v>8</v>
      </c>
      <c r="B13" s="66" t="s">
        <v>39</v>
      </c>
      <c r="C13" s="66" t="s">
        <v>472</v>
      </c>
      <c r="D13" s="66" t="s">
        <v>40</v>
      </c>
      <c r="E13" s="66" t="s">
        <v>345</v>
      </c>
      <c r="F13" s="67">
        <v>131251200</v>
      </c>
      <c r="G13" s="67"/>
      <c r="H13" s="67"/>
      <c r="I13" s="67">
        <f>COUNTIFS('05_3BK_TNCN'!$D$40:$D$49,'05-1-BK-QTT_TNCN'!C13)</f>
        <v>1</v>
      </c>
      <c r="J13" s="68">
        <v>175200000</v>
      </c>
      <c r="K13" s="67"/>
      <c r="L13" s="67"/>
      <c r="M13" s="67"/>
      <c r="N13" s="67">
        <v>0</v>
      </c>
      <c r="O13" s="67">
        <v>0</v>
      </c>
      <c r="P13" s="67"/>
      <c r="Q13" s="66"/>
      <c r="R13" s="67">
        <v>0</v>
      </c>
      <c r="S13" s="67">
        <v>0</v>
      </c>
      <c r="T13" s="67">
        <v>0</v>
      </c>
    </row>
    <row r="14" spans="1:20" s="69" customFormat="1" ht="12.75" customHeight="1" x14ac:dyDescent="0.3">
      <c r="A14" s="118">
        <v>9</v>
      </c>
      <c r="B14" s="66" t="s">
        <v>42</v>
      </c>
      <c r="C14" s="66" t="s">
        <v>473</v>
      </c>
      <c r="D14" s="66" t="s">
        <v>43</v>
      </c>
      <c r="E14" s="66" t="s">
        <v>345</v>
      </c>
      <c r="F14" s="67">
        <v>131251200</v>
      </c>
      <c r="G14" s="67"/>
      <c r="H14" s="67"/>
      <c r="I14" s="67">
        <f>COUNTIFS('05_3BK_TNCN'!$D$40:$D$49,'05-1-BK-QTT_TNCN'!C14)</f>
        <v>1</v>
      </c>
      <c r="J14" s="68">
        <v>175200000</v>
      </c>
      <c r="K14" s="67"/>
      <c r="L14" s="67"/>
      <c r="M14" s="67"/>
      <c r="N14" s="67">
        <v>0</v>
      </c>
      <c r="O14" s="67">
        <v>0</v>
      </c>
      <c r="P14" s="67"/>
      <c r="Q14" s="66"/>
      <c r="R14" s="67">
        <v>0</v>
      </c>
      <c r="S14" s="67">
        <v>0</v>
      </c>
      <c r="T14" s="67">
        <v>0</v>
      </c>
    </row>
    <row r="15" spans="1:20" s="69" customFormat="1" ht="12.75" customHeight="1" x14ac:dyDescent="0.3">
      <c r="A15" s="118">
        <v>10</v>
      </c>
      <c r="B15" s="66" t="s">
        <v>45</v>
      </c>
      <c r="C15" s="66" t="s">
        <v>474</v>
      </c>
      <c r="D15" s="66" t="s">
        <v>46</v>
      </c>
      <c r="E15" s="66" t="s">
        <v>345</v>
      </c>
      <c r="F15" s="67">
        <v>131251200</v>
      </c>
      <c r="G15" s="67"/>
      <c r="H15" s="67"/>
      <c r="I15" s="67">
        <f>COUNTIFS('05_3BK_TNCN'!$D$40:$D$49,'05-1-BK-QTT_TNCN'!C15)</f>
        <v>1</v>
      </c>
      <c r="J15" s="68">
        <v>175200000</v>
      </c>
      <c r="K15" s="67"/>
      <c r="L15" s="67"/>
      <c r="M15" s="67"/>
      <c r="N15" s="67">
        <v>0</v>
      </c>
      <c r="O15" s="67">
        <v>0</v>
      </c>
      <c r="P15" s="67"/>
      <c r="Q15" s="66"/>
      <c r="R15" s="67">
        <v>0</v>
      </c>
      <c r="S15" s="67">
        <v>0</v>
      </c>
      <c r="T15" s="67">
        <v>0</v>
      </c>
    </row>
    <row r="16" spans="1:20" s="69" customFormat="1" ht="12.75" customHeight="1" x14ac:dyDescent="0.3">
      <c r="A16" s="118">
        <v>11</v>
      </c>
      <c r="B16" s="66" t="s">
        <v>48</v>
      </c>
      <c r="C16" s="66"/>
      <c r="D16" s="66"/>
      <c r="E16" s="66" t="s">
        <v>345</v>
      </c>
      <c r="F16" s="67">
        <v>131760000</v>
      </c>
      <c r="G16" s="67"/>
      <c r="H16" s="67"/>
      <c r="I16" s="67">
        <f>COUNTIFS('05_3BK_TNCN'!$D$40:$D$49,'05-1-BK-QTT_TNCN'!C16)</f>
        <v>0</v>
      </c>
      <c r="J16" s="68">
        <v>132000000</v>
      </c>
      <c r="K16" s="67"/>
      <c r="L16" s="67"/>
      <c r="M16" s="67"/>
      <c r="N16" s="67">
        <v>4927250</v>
      </c>
      <c r="O16" s="67">
        <v>1098000</v>
      </c>
      <c r="P16" s="67"/>
      <c r="Q16" s="66"/>
      <c r="R16" s="67">
        <v>246362</v>
      </c>
      <c r="S16" s="67">
        <v>851638</v>
      </c>
      <c r="T16" s="67">
        <v>0</v>
      </c>
    </row>
    <row r="17" spans="1:20" s="69" customFormat="1" ht="12.75" customHeight="1" x14ac:dyDescent="0.3">
      <c r="A17" s="118">
        <v>12</v>
      </c>
      <c r="B17" s="66" t="s">
        <v>50</v>
      </c>
      <c r="C17" s="66"/>
      <c r="D17" s="66"/>
      <c r="E17" s="66" t="s">
        <v>345</v>
      </c>
      <c r="F17" s="67">
        <v>131760000</v>
      </c>
      <c r="G17" s="67"/>
      <c r="H17" s="67"/>
      <c r="I17" s="67">
        <f>COUNTIFS('05_3BK_TNCN'!$D$40:$D$49,'05-1-BK-QTT_TNCN'!C17)</f>
        <v>0</v>
      </c>
      <c r="J17" s="68">
        <v>132000000</v>
      </c>
      <c r="K17" s="67"/>
      <c r="L17" s="67"/>
      <c r="M17" s="67"/>
      <c r="N17" s="67">
        <v>4927250</v>
      </c>
      <c r="O17" s="67">
        <v>1098000</v>
      </c>
      <c r="P17" s="67"/>
      <c r="Q17" s="66"/>
      <c r="R17" s="67">
        <v>246362</v>
      </c>
      <c r="S17" s="67">
        <v>851638</v>
      </c>
      <c r="T17" s="67">
        <v>0</v>
      </c>
    </row>
    <row r="18" spans="1:20" s="69" customFormat="1" ht="12.75" customHeight="1" x14ac:dyDescent="0.3">
      <c r="A18" s="118">
        <v>13</v>
      </c>
      <c r="B18" s="66" t="s">
        <v>52</v>
      </c>
      <c r="C18" s="66"/>
      <c r="D18" s="66"/>
      <c r="E18" s="66" t="s">
        <v>345</v>
      </c>
      <c r="F18" s="67">
        <v>131760000</v>
      </c>
      <c r="G18" s="67"/>
      <c r="H18" s="67"/>
      <c r="I18" s="67">
        <f>COUNTIFS('05_3BK_TNCN'!$D$40:$D$49,'05-1-BK-QTT_TNCN'!C18)</f>
        <v>0</v>
      </c>
      <c r="J18" s="68">
        <v>132000000</v>
      </c>
      <c r="K18" s="67"/>
      <c r="L18" s="67"/>
      <c r="M18" s="67"/>
      <c r="N18" s="67">
        <v>4927250</v>
      </c>
      <c r="O18" s="67">
        <v>1098000</v>
      </c>
      <c r="P18" s="67"/>
      <c r="Q18" s="66"/>
      <c r="R18" s="67">
        <v>246362</v>
      </c>
      <c r="S18" s="67">
        <v>851638</v>
      </c>
      <c r="T18" s="67">
        <v>0</v>
      </c>
    </row>
  </sheetData>
  <mergeCells count="22">
    <mergeCell ref="M3:M4"/>
    <mergeCell ref="R3:R4"/>
    <mergeCell ref="S3:S4"/>
    <mergeCell ref="T3:T4"/>
    <mergeCell ref="I2:M2"/>
    <mergeCell ref="N2:N4"/>
    <mergeCell ref="O2:O4"/>
    <mergeCell ref="P2:P4"/>
    <mergeCell ref="Q2:Q4"/>
    <mergeCell ref="R2:T2"/>
    <mergeCell ref="I3:I4"/>
    <mergeCell ref="J3:J4"/>
    <mergeCell ref="K3:K4"/>
    <mergeCell ref="L3:L4"/>
    <mergeCell ref="F2:H2"/>
    <mergeCell ref="F3:F4"/>
    <mergeCell ref="G3:H3"/>
    <mergeCell ref="A2:A4"/>
    <mergeCell ref="B2:B4"/>
    <mergeCell ref="C2:C4"/>
    <mergeCell ref="D2:D4"/>
    <mergeCell ref="E2:E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B827-D788-4D2F-A640-611EDB63AA25}">
  <sheetPr codeName="Sheet7">
    <tabColor theme="1"/>
  </sheetPr>
  <dimension ref="A1:L9"/>
  <sheetViews>
    <sheetView workbookViewId="0">
      <selection activeCell="J27" sqref="J27"/>
    </sheetView>
  </sheetViews>
  <sheetFormatPr defaultRowHeight="14.4" x14ac:dyDescent="0.3"/>
  <cols>
    <col min="1" max="1" width="6.44140625" customWidth="1"/>
    <col min="2" max="2" width="28.5546875" customWidth="1"/>
    <col min="3" max="3" width="19.6640625" customWidth="1"/>
    <col min="4" max="4" width="20.44140625" customWidth="1"/>
    <col min="5" max="5" width="6" customWidth="1"/>
    <col min="6" max="6" width="17.33203125" customWidth="1"/>
    <col min="7" max="7" width="22.6640625" customWidth="1"/>
    <col min="8" max="11" width="19.88671875" customWidth="1"/>
    <col min="12" max="12" width="17.6640625" customWidth="1"/>
  </cols>
  <sheetData>
    <row r="1" spans="1:12" ht="15" thickBot="1" x14ac:dyDescent="0.35">
      <c r="A1" s="224" t="s">
        <v>5</v>
      </c>
      <c r="B1" s="224" t="s">
        <v>372</v>
      </c>
      <c r="C1" s="224" t="s">
        <v>373</v>
      </c>
      <c r="D1" s="224" t="s">
        <v>374</v>
      </c>
      <c r="E1" s="224" t="s">
        <v>453</v>
      </c>
      <c r="F1" s="230" t="s">
        <v>454</v>
      </c>
      <c r="G1" s="230"/>
      <c r="H1" s="230"/>
      <c r="I1" s="230"/>
      <c r="J1" s="226" t="s">
        <v>455</v>
      </c>
      <c r="K1" s="227"/>
      <c r="L1" s="224" t="s">
        <v>456</v>
      </c>
    </row>
    <row r="2" spans="1:12" ht="15" thickBot="1" x14ac:dyDescent="0.35">
      <c r="A2" s="231"/>
      <c r="B2" s="231"/>
      <c r="C2" s="231"/>
      <c r="D2" s="231"/>
      <c r="E2" s="231"/>
      <c r="F2" s="230" t="s">
        <v>381</v>
      </c>
      <c r="G2" s="233" t="s">
        <v>457</v>
      </c>
      <c r="H2" s="234"/>
      <c r="I2" s="235"/>
      <c r="J2" s="224" t="s">
        <v>381</v>
      </c>
      <c r="K2" s="224" t="s">
        <v>458</v>
      </c>
      <c r="L2" s="231"/>
    </row>
    <row r="3" spans="1:12" ht="51.6" thickBot="1" x14ac:dyDescent="0.35">
      <c r="A3" s="225"/>
      <c r="B3" s="225"/>
      <c r="C3" s="225"/>
      <c r="D3" s="225"/>
      <c r="E3" s="225"/>
      <c r="F3" s="230"/>
      <c r="G3" s="64" t="s">
        <v>459</v>
      </c>
      <c r="H3" s="64" t="s">
        <v>460</v>
      </c>
      <c r="I3" s="64" t="s">
        <v>388</v>
      </c>
      <c r="J3" s="225"/>
      <c r="K3" s="225"/>
      <c r="L3" s="225"/>
    </row>
    <row r="4" spans="1:12" ht="15" thickBot="1" x14ac:dyDescent="0.35">
      <c r="A4" s="64" t="s">
        <v>389</v>
      </c>
      <c r="B4" s="64" t="s">
        <v>390</v>
      </c>
      <c r="C4" s="64" t="s">
        <v>391</v>
      </c>
      <c r="D4" s="64" t="s">
        <v>392</v>
      </c>
      <c r="E4" s="64" t="s">
        <v>393</v>
      </c>
      <c r="F4" s="64" t="s">
        <v>394</v>
      </c>
      <c r="G4" s="64" t="s">
        <v>395</v>
      </c>
      <c r="H4" s="64" t="s">
        <v>396</v>
      </c>
      <c r="I4" s="64" t="s">
        <v>397</v>
      </c>
      <c r="J4" s="64" t="s">
        <v>398</v>
      </c>
      <c r="K4" s="64" t="s">
        <v>399</v>
      </c>
      <c r="L4" s="64" t="s">
        <v>400</v>
      </c>
    </row>
    <row r="5" spans="1:12" ht="15" thickBot="1" x14ac:dyDescent="0.35">
      <c r="A5" s="114">
        <v>1</v>
      </c>
      <c r="B5" s="115" t="s">
        <v>54</v>
      </c>
      <c r="C5" s="116" t="s">
        <v>461</v>
      </c>
      <c r="D5" s="115" t="s">
        <v>463</v>
      </c>
      <c r="E5" s="115"/>
      <c r="F5" s="117">
        <v>109800000</v>
      </c>
      <c r="G5" s="117"/>
      <c r="H5" s="117"/>
      <c r="I5" s="117"/>
      <c r="J5" s="117">
        <v>1098000</v>
      </c>
      <c r="K5" s="117"/>
      <c r="L5" s="117"/>
    </row>
    <row r="6" spans="1:12" ht="15" thickBot="1" x14ac:dyDescent="0.35">
      <c r="A6" s="114">
        <v>2</v>
      </c>
      <c r="B6" s="115" t="s">
        <v>56</v>
      </c>
      <c r="C6" s="116" t="s">
        <v>462</v>
      </c>
      <c r="D6" s="115" t="s">
        <v>464</v>
      </c>
      <c r="E6" s="115"/>
      <c r="F6" s="117">
        <v>109800000</v>
      </c>
      <c r="G6" s="117"/>
      <c r="H6" s="117"/>
      <c r="I6" s="117"/>
      <c r="J6" s="117">
        <v>1098000</v>
      </c>
      <c r="K6" s="117"/>
      <c r="L6" s="117"/>
    </row>
    <row r="7" spans="1:12" ht="15" thickBot="1" x14ac:dyDescent="0.35">
      <c r="A7" s="114"/>
      <c r="B7" s="115"/>
      <c r="C7" s="116"/>
      <c r="D7" s="115"/>
      <c r="E7" s="115"/>
      <c r="F7" s="117"/>
      <c r="G7" s="117"/>
      <c r="H7" s="117"/>
      <c r="I7" s="117"/>
      <c r="J7" s="117"/>
      <c r="K7" s="117"/>
      <c r="L7" s="117"/>
    </row>
    <row r="8" spans="1:12" ht="15" thickBot="1" x14ac:dyDescent="0.35">
      <c r="A8" s="114"/>
      <c r="B8" s="115"/>
      <c r="C8" s="116"/>
      <c r="D8" s="115"/>
      <c r="E8" s="115"/>
      <c r="F8" s="117"/>
      <c r="G8" s="117"/>
      <c r="H8" s="117"/>
      <c r="I8" s="117"/>
      <c r="J8" s="117"/>
      <c r="K8" s="117"/>
      <c r="L8" s="117"/>
    </row>
    <row r="9" spans="1:12" ht="15" thickBot="1" x14ac:dyDescent="0.35">
      <c r="A9" s="114"/>
      <c r="B9" s="115"/>
      <c r="C9" s="116"/>
      <c r="D9" s="115"/>
      <c r="E9" s="115"/>
      <c r="F9" s="117"/>
      <c r="G9" s="117"/>
      <c r="H9" s="117"/>
      <c r="I9" s="117"/>
      <c r="J9" s="117"/>
      <c r="K9" s="117"/>
      <c r="L9" s="117"/>
    </row>
  </sheetData>
  <mergeCells count="12">
    <mergeCell ref="A1:A3"/>
    <mergeCell ref="B1:B3"/>
    <mergeCell ref="C1:C3"/>
    <mergeCell ref="D1:D3"/>
    <mergeCell ref="E1:E3"/>
    <mergeCell ref="J1:K1"/>
    <mergeCell ref="L1:L3"/>
    <mergeCell ref="F2:F3"/>
    <mergeCell ref="G2:I2"/>
    <mergeCell ref="J2:J3"/>
    <mergeCell ref="K2:K3"/>
    <mergeCell ref="F1:I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F0F87-EA59-4265-8CE4-916EEA91FF24}">
  <sheetPr codeName="Sheet19">
    <tabColor theme="1"/>
    <pageSetUpPr fitToPage="1"/>
  </sheetPr>
  <dimension ref="A1:Z8"/>
  <sheetViews>
    <sheetView workbookViewId="0"/>
  </sheetViews>
  <sheetFormatPr defaultRowHeight="14.4" x14ac:dyDescent="0.3"/>
  <cols>
    <col min="1" max="1" width="6" style="3" customWidth="1"/>
    <col min="2" max="2" width="10.44140625" style="3" customWidth="1"/>
    <col min="3" max="3" width="21.44140625" style="3" customWidth="1"/>
    <col min="4" max="5" width="15" style="3" customWidth="1"/>
    <col min="6" max="6" width="8.88671875" style="3" customWidth="1"/>
    <col min="7" max="8" width="12.109375" style="3" customWidth="1"/>
    <col min="9" max="15" width="11.21875" style="3" customWidth="1"/>
    <col min="16" max="23" width="9.88671875" style="3" customWidth="1"/>
    <col min="24" max="24" width="10.33203125" style="3" customWidth="1"/>
    <col min="25" max="25" width="10.5546875" style="3" customWidth="1"/>
    <col min="26" max="26" width="9.88671875" style="3" customWidth="1"/>
    <col min="27" max="16384" width="8.88671875" style="3"/>
  </cols>
  <sheetData>
    <row r="1" spans="1:26" ht="15.6" x14ac:dyDescent="0.3">
      <c r="A1" s="17" t="str">
        <f>Company_Name</f>
        <v>CÔNG TY TNHH CƠ KHÍ SỬA CHỮA HOÀNG KIÊN</v>
      </c>
    </row>
    <row r="2" spans="1:26" ht="15.6" x14ac:dyDescent="0.3">
      <c r="A2" s="17" t="str">
        <f>Company_Address</f>
        <v>SN 16N3, ngõ 90 đường Nguyễn Tuân, P. Thanh Xuân, Q. Thanh Xuân, Hà Nội</v>
      </c>
    </row>
    <row r="4" spans="1:26" ht="23.4" x14ac:dyDescent="0.3">
      <c r="A4" s="218" t="s">
        <v>346</v>
      </c>
      <c r="B4" s="218"/>
      <c r="C4" s="218"/>
      <c r="D4" s="218"/>
      <c r="E4" s="218"/>
      <c r="F4" s="218"/>
      <c r="G4" s="218"/>
      <c r="H4" s="218"/>
      <c r="I4" s="218"/>
      <c r="J4" s="218"/>
      <c r="K4" s="218"/>
      <c r="L4" s="218"/>
      <c r="M4" s="218"/>
      <c r="N4" s="218"/>
      <c r="O4" s="218"/>
      <c r="P4" s="218"/>
      <c r="Q4" s="218"/>
      <c r="R4" s="218"/>
      <c r="S4" s="218"/>
      <c r="T4" s="218"/>
      <c r="U4" s="218"/>
      <c r="V4" s="218"/>
      <c r="W4" s="218"/>
      <c r="X4" s="218"/>
      <c r="Y4" s="218"/>
      <c r="Z4" s="218"/>
    </row>
    <row r="5" spans="1:26" ht="18" x14ac:dyDescent="0.3">
      <c r="A5" s="219" t="str">
        <f>"Năm "&amp;Nam_Bang_Luong</f>
        <v>Năm 2023</v>
      </c>
      <c r="B5" s="219"/>
      <c r="C5" s="219"/>
      <c r="D5" s="219"/>
      <c r="E5" s="219"/>
      <c r="F5" s="219"/>
      <c r="G5" s="219"/>
      <c r="H5" s="219"/>
      <c r="I5" s="219"/>
      <c r="J5" s="219"/>
      <c r="K5" s="219"/>
      <c r="L5" s="219"/>
      <c r="M5" s="219"/>
      <c r="N5" s="219"/>
      <c r="O5" s="219"/>
      <c r="P5" s="219"/>
      <c r="Q5" s="219"/>
      <c r="R5" s="219"/>
      <c r="S5" s="219"/>
      <c r="T5" s="219"/>
      <c r="U5" s="219"/>
      <c r="V5" s="219"/>
      <c r="W5" s="219"/>
      <c r="X5" s="219"/>
      <c r="Y5" s="219"/>
      <c r="Z5" s="219"/>
    </row>
    <row r="7" spans="1:26" ht="14.4" customHeight="1" x14ac:dyDescent="0.3">
      <c r="A7" s="220" t="s">
        <v>5</v>
      </c>
      <c r="B7" s="220" t="s">
        <v>91</v>
      </c>
      <c r="C7" s="220" t="s">
        <v>6</v>
      </c>
      <c r="D7" s="220" t="s">
        <v>347</v>
      </c>
      <c r="E7" s="220"/>
      <c r="F7" s="217" t="s">
        <v>350</v>
      </c>
      <c r="G7" s="220" t="s">
        <v>7</v>
      </c>
      <c r="H7" s="220" t="s">
        <v>8</v>
      </c>
      <c r="I7" s="220" t="s">
        <v>351</v>
      </c>
      <c r="J7" s="220"/>
      <c r="K7" s="220"/>
      <c r="L7" s="220"/>
      <c r="M7" s="220"/>
      <c r="N7" s="220"/>
      <c r="O7" s="217" t="s">
        <v>354</v>
      </c>
      <c r="P7" s="220" t="s">
        <v>355</v>
      </c>
      <c r="Q7" s="220"/>
      <c r="R7" s="220"/>
      <c r="S7" s="220"/>
      <c r="T7" s="220"/>
      <c r="U7" s="220"/>
      <c r="V7" s="220"/>
      <c r="W7" s="220"/>
      <c r="X7" s="217" t="s">
        <v>362</v>
      </c>
      <c r="Y7" s="217" t="s">
        <v>363</v>
      </c>
      <c r="Z7" s="220" t="s">
        <v>364</v>
      </c>
    </row>
    <row r="8" spans="1:26" ht="59.4" customHeight="1" x14ac:dyDescent="0.3">
      <c r="A8" s="220"/>
      <c r="B8" s="220"/>
      <c r="C8" s="220"/>
      <c r="D8" s="19" t="s">
        <v>348</v>
      </c>
      <c r="E8" s="19" t="s">
        <v>349</v>
      </c>
      <c r="F8" s="217"/>
      <c r="G8" s="220"/>
      <c r="H8" s="220"/>
      <c r="I8" s="40" t="s">
        <v>113</v>
      </c>
      <c r="J8" s="40" t="s">
        <v>352</v>
      </c>
      <c r="K8" s="40" t="s">
        <v>183</v>
      </c>
      <c r="L8" s="40" t="s">
        <v>184</v>
      </c>
      <c r="M8" s="40" t="s">
        <v>185</v>
      </c>
      <c r="N8" s="40" t="s">
        <v>353</v>
      </c>
      <c r="O8" s="217"/>
      <c r="P8" s="40" t="s">
        <v>356</v>
      </c>
      <c r="Q8" s="40" t="s">
        <v>357</v>
      </c>
      <c r="R8" s="40" t="s">
        <v>358</v>
      </c>
      <c r="S8" s="40" t="s">
        <v>359</v>
      </c>
      <c r="T8" s="40" t="s">
        <v>360</v>
      </c>
      <c r="U8" s="40" t="s">
        <v>353</v>
      </c>
      <c r="V8" s="40" t="s">
        <v>361</v>
      </c>
      <c r="W8" s="40" t="s">
        <v>114</v>
      </c>
      <c r="X8" s="217"/>
      <c r="Y8" s="217"/>
      <c r="Z8" s="220"/>
    </row>
  </sheetData>
  <mergeCells count="15">
    <mergeCell ref="A4:Z4"/>
    <mergeCell ref="A5:Z5"/>
    <mergeCell ref="A7:A8"/>
    <mergeCell ref="B7:B8"/>
    <mergeCell ref="C7:C8"/>
    <mergeCell ref="D7:E7"/>
    <mergeCell ref="F7:F8"/>
    <mergeCell ref="G7:G8"/>
    <mergeCell ref="H7:H8"/>
    <mergeCell ref="I7:N7"/>
    <mergeCell ref="O7:O8"/>
    <mergeCell ref="P7:W7"/>
    <mergeCell ref="X7:X8"/>
    <mergeCell ref="Y7:Y8"/>
    <mergeCell ref="Z7:Z8"/>
  </mergeCells>
  <pageMargins left="0.25" right="0.25" top="0.75" bottom="0.75" header="0.3" footer="0.3"/>
  <pageSetup paperSize="9" scale="49"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5A705-2E6B-4DBC-BD70-0DD65ACB6DA9}">
  <sheetPr codeName="Sheet23">
    <tabColor theme="1"/>
  </sheetPr>
  <dimension ref="A1:X49"/>
  <sheetViews>
    <sheetView topLeftCell="A35" workbookViewId="0">
      <selection activeCell="G56" sqref="A45:G56"/>
    </sheetView>
  </sheetViews>
  <sheetFormatPr defaultColWidth="9.109375" defaultRowHeight="15.75" customHeight="1" x14ac:dyDescent="0.3"/>
  <cols>
    <col min="1" max="1" width="4" style="86" customWidth="1"/>
    <col min="2" max="2" width="6" style="88" customWidth="1"/>
    <col min="3" max="3" width="25.109375" style="91" customWidth="1"/>
    <col min="4" max="4" width="18.6640625" style="91" customWidth="1"/>
    <col min="5" max="6" width="18.33203125" style="91" customWidth="1"/>
    <col min="7" max="7" width="14.88671875" style="91" customWidth="1"/>
    <col min="8" max="8" width="14.88671875" style="81" customWidth="1"/>
    <col min="9" max="9" width="16" style="92" customWidth="1"/>
    <col min="10" max="10" width="9.109375" style="93"/>
    <col min="11" max="11" width="9.109375" style="84"/>
    <col min="12" max="12" width="9.109375" style="86"/>
    <col min="13" max="14" width="9.109375" style="93"/>
    <col min="15" max="15" width="9.109375" style="94"/>
    <col min="16" max="16" width="9.109375" style="86"/>
    <col min="17" max="17" width="10" style="85" customWidth="1"/>
    <col min="18" max="18" width="14.6640625" style="86" customWidth="1"/>
    <col min="19" max="19" width="11.33203125" style="85" customWidth="1"/>
    <col min="20" max="20" width="16.44140625" style="86" customWidth="1"/>
    <col min="21" max="21" width="10.33203125" style="95" customWidth="1"/>
    <col min="22" max="22" width="19.5546875" style="95" customWidth="1"/>
    <col min="23" max="256" width="9.109375" style="86"/>
    <col min="257" max="257" width="4" style="86" customWidth="1"/>
    <col min="258" max="258" width="6" style="86" customWidth="1"/>
    <col min="259" max="259" width="25.109375" style="86" customWidth="1"/>
    <col min="260" max="260" width="18.6640625" style="86" customWidth="1"/>
    <col min="261" max="262" width="18.33203125" style="86" customWidth="1"/>
    <col min="263" max="264" width="14.88671875" style="86" customWidth="1"/>
    <col min="265" max="265" width="16" style="86" customWidth="1"/>
    <col min="266" max="272" width="9.109375" style="86"/>
    <col min="273" max="273" width="10" style="86" customWidth="1"/>
    <col min="274" max="274" width="14.6640625" style="86" customWidth="1"/>
    <col min="275" max="275" width="11.33203125" style="86" customWidth="1"/>
    <col min="276" max="276" width="16.44140625" style="86" customWidth="1"/>
    <col min="277" max="277" width="10.33203125" style="86" customWidth="1"/>
    <col min="278" max="278" width="19.5546875" style="86" customWidth="1"/>
    <col min="279" max="512" width="9.109375" style="86"/>
    <col min="513" max="513" width="4" style="86" customWidth="1"/>
    <col min="514" max="514" width="6" style="86" customWidth="1"/>
    <col min="515" max="515" width="25.109375" style="86" customWidth="1"/>
    <col min="516" max="516" width="18.6640625" style="86" customWidth="1"/>
    <col min="517" max="518" width="18.33203125" style="86" customWidth="1"/>
    <col min="519" max="520" width="14.88671875" style="86" customWidth="1"/>
    <col min="521" max="521" width="16" style="86" customWidth="1"/>
    <col min="522" max="528" width="9.109375" style="86"/>
    <col min="529" max="529" width="10" style="86" customWidth="1"/>
    <col min="530" max="530" width="14.6640625" style="86" customWidth="1"/>
    <col min="531" max="531" width="11.33203125" style="86" customWidth="1"/>
    <col min="532" max="532" width="16.44140625" style="86" customWidth="1"/>
    <col min="533" max="533" width="10.33203125" style="86" customWidth="1"/>
    <col min="534" max="534" width="19.5546875" style="86" customWidth="1"/>
    <col min="535" max="768" width="9.109375" style="86"/>
    <col min="769" max="769" width="4" style="86" customWidth="1"/>
    <col min="770" max="770" width="6" style="86" customWidth="1"/>
    <col min="771" max="771" width="25.109375" style="86" customWidth="1"/>
    <col min="772" max="772" width="18.6640625" style="86" customWidth="1"/>
    <col min="773" max="774" width="18.33203125" style="86" customWidth="1"/>
    <col min="775" max="776" width="14.88671875" style="86" customWidth="1"/>
    <col min="777" max="777" width="16" style="86" customWidth="1"/>
    <col min="778" max="784" width="9.109375" style="86"/>
    <col min="785" max="785" width="10" style="86" customWidth="1"/>
    <col min="786" max="786" width="14.6640625" style="86" customWidth="1"/>
    <col min="787" max="787" width="11.33203125" style="86" customWidth="1"/>
    <col min="788" max="788" width="16.44140625" style="86" customWidth="1"/>
    <col min="789" max="789" width="10.33203125" style="86" customWidth="1"/>
    <col min="790" max="790" width="19.5546875" style="86" customWidth="1"/>
    <col min="791" max="1024" width="9.109375" style="86"/>
    <col min="1025" max="1025" width="4" style="86" customWidth="1"/>
    <col min="1026" max="1026" width="6" style="86" customWidth="1"/>
    <col min="1027" max="1027" width="25.109375" style="86" customWidth="1"/>
    <col min="1028" max="1028" width="18.6640625" style="86" customWidth="1"/>
    <col min="1029" max="1030" width="18.33203125" style="86" customWidth="1"/>
    <col min="1031" max="1032" width="14.88671875" style="86" customWidth="1"/>
    <col min="1033" max="1033" width="16" style="86" customWidth="1"/>
    <col min="1034" max="1040" width="9.109375" style="86"/>
    <col min="1041" max="1041" width="10" style="86" customWidth="1"/>
    <col min="1042" max="1042" width="14.6640625" style="86" customWidth="1"/>
    <col min="1043" max="1043" width="11.33203125" style="86" customWidth="1"/>
    <col min="1044" max="1044" width="16.44140625" style="86" customWidth="1"/>
    <col min="1045" max="1045" width="10.33203125" style="86" customWidth="1"/>
    <col min="1046" max="1046" width="19.5546875" style="86" customWidth="1"/>
    <col min="1047" max="1280" width="9.109375" style="86"/>
    <col min="1281" max="1281" width="4" style="86" customWidth="1"/>
    <col min="1282" max="1282" width="6" style="86" customWidth="1"/>
    <col min="1283" max="1283" width="25.109375" style="86" customWidth="1"/>
    <col min="1284" max="1284" width="18.6640625" style="86" customWidth="1"/>
    <col min="1285" max="1286" width="18.33203125" style="86" customWidth="1"/>
    <col min="1287" max="1288" width="14.88671875" style="86" customWidth="1"/>
    <col min="1289" max="1289" width="16" style="86" customWidth="1"/>
    <col min="1290" max="1296" width="9.109375" style="86"/>
    <col min="1297" max="1297" width="10" style="86" customWidth="1"/>
    <col min="1298" max="1298" width="14.6640625" style="86" customWidth="1"/>
    <col min="1299" max="1299" width="11.33203125" style="86" customWidth="1"/>
    <col min="1300" max="1300" width="16.44140625" style="86" customWidth="1"/>
    <col min="1301" max="1301" width="10.33203125" style="86" customWidth="1"/>
    <col min="1302" max="1302" width="19.5546875" style="86" customWidth="1"/>
    <col min="1303" max="1536" width="9.109375" style="86"/>
    <col min="1537" max="1537" width="4" style="86" customWidth="1"/>
    <col min="1538" max="1538" width="6" style="86" customWidth="1"/>
    <col min="1539" max="1539" width="25.109375" style="86" customWidth="1"/>
    <col min="1540" max="1540" width="18.6640625" style="86" customWidth="1"/>
    <col min="1541" max="1542" width="18.33203125" style="86" customWidth="1"/>
    <col min="1543" max="1544" width="14.88671875" style="86" customWidth="1"/>
    <col min="1545" max="1545" width="16" style="86" customWidth="1"/>
    <col min="1546" max="1552" width="9.109375" style="86"/>
    <col min="1553" max="1553" width="10" style="86" customWidth="1"/>
    <col min="1554" max="1554" width="14.6640625" style="86" customWidth="1"/>
    <col min="1555" max="1555" width="11.33203125" style="86" customWidth="1"/>
    <col min="1556" max="1556" width="16.44140625" style="86" customWidth="1"/>
    <col min="1557" max="1557" width="10.33203125" style="86" customWidth="1"/>
    <col min="1558" max="1558" width="19.5546875" style="86" customWidth="1"/>
    <col min="1559" max="1792" width="9.109375" style="86"/>
    <col min="1793" max="1793" width="4" style="86" customWidth="1"/>
    <col min="1794" max="1794" width="6" style="86" customWidth="1"/>
    <col min="1795" max="1795" width="25.109375" style="86" customWidth="1"/>
    <col min="1796" max="1796" width="18.6640625" style="86" customWidth="1"/>
    <col min="1797" max="1798" width="18.33203125" style="86" customWidth="1"/>
    <col min="1799" max="1800" width="14.88671875" style="86" customWidth="1"/>
    <col min="1801" max="1801" width="16" style="86" customWidth="1"/>
    <col min="1802" max="1808" width="9.109375" style="86"/>
    <col min="1809" max="1809" width="10" style="86" customWidth="1"/>
    <col min="1810" max="1810" width="14.6640625" style="86" customWidth="1"/>
    <col min="1811" max="1811" width="11.33203125" style="86" customWidth="1"/>
    <col min="1812" max="1812" width="16.44140625" style="86" customWidth="1"/>
    <col min="1813" max="1813" width="10.33203125" style="86" customWidth="1"/>
    <col min="1814" max="1814" width="19.5546875" style="86" customWidth="1"/>
    <col min="1815" max="2048" width="9.109375" style="86"/>
    <col min="2049" max="2049" width="4" style="86" customWidth="1"/>
    <col min="2050" max="2050" width="6" style="86" customWidth="1"/>
    <col min="2051" max="2051" width="25.109375" style="86" customWidth="1"/>
    <col min="2052" max="2052" width="18.6640625" style="86" customWidth="1"/>
    <col min="2053" max="2054" width="18.33203125" style="86" customWidth="1"/>
    <col min="2055" max="2056" width="14.88671875" style="86" customWidth="1"/>
    <col min="2057" max="2057" width="16" style="86" customWidth="1"/>
    <col min="2058" max="2064" width="9.109375" style="86"/>
    <col min="2065" max="2065" width="10" style="86" customWidth="1"/>
    <col min="2066" max="2066" width="14.6640625" style="86" customWidth="1"/>
    <col min="2067" max="2067" width="11.33203125" style="86" customWidth="1"/>
    <col min="2068" max="2068" width="16.44140625" style="86" customWidth="1"/>
    <col min="2069" max="2069" width="10.33203125" style="86" customWidth="1"/>
    <col min="2070" max="2070" width="19.5546875" style="86" customWidth="1"/>
    <col min="2071" max="2304" width="9.109375" style="86"/>
    <col min="2305" max="2305" width="4" style="86" customWidth="1"/>
    <col min="2306" max="2306" width="6" style="86" customWidth="1"/>
    <col min="2307" max="2307" width="25.109375" style="86" customWidth="1"/>
    <col min="2308" max="2308" width="18.6640625" style="86" customWidth="1"/>
    <col min="2309" max="2310" width="18.33203125" style="86" customWidth="1"/>
    <col min="2311" max="2312" width="14.88671875" style="86" customWidth="1"/>
    <col min="2313" max="2313" width="16" style="86" customWidth="1"/>
    <col min="2314" max="2320" width="9.109375" style="86"/>
    <col min="2321" max="2321" width="10" style="86" customWidth="1"/>
    <col min="2322" max="2322" width="14.6640625" style="86" customWidth="1"/>
    <col min="2323" max="2323" width="11.33203125" style="86" customWidth="1"/>
    <col min="2324" max="2324" width="16.44140625" style="86" customWidth="1"/>
    <col min="2325" max="2325" width="10.33203125" style="86" customWidth="1"/>
    <col min="2326" max="2326" width="19.5546875" style="86" customWidth="1"/>
    <col min="2327" max="2560" width="9.109375" style="86"/>
    <col min="2561" max="2561" width="4" style="86" customWidth="1"/>
    <col min="2562" max="2562" width="6" style="86" customWidth="1"/>
    <col min="2563" max="2563" width="25.109375" style="86" customWidth="1"/>
    <col min="2564" max="2564" width="18.6640625" style="86" customWidth="1"/>
    <col min="2565" max="2566" width="18.33203125" style="86" customWidth="1"/>
    <col min="2567" max="2568" width="14.88671875" style="86" customWidth="1"/>
    <col min="2569" max="2569" width="16" style="86" customWidth="1"/>
    <col min="2570" max="2576" width="9.109375" style="86"/>
    <col min="2577" max="2577" width="10" style="86" customWidth="1"/>
    <col min="2578" max="2578" width="14.6640625" style="86" customWidth="1"/>
    <col min="2579" max="2579" width="11.33203125" style="86" customWidth="1"/>
    <col min="2580" max="2580" width="16.44140625" style="86" customWidth="1"/>
    <col min="2581" max="2581" width="10.33203125" style="86" customWidth="1"/>
    <col min="2582" max="2582" width="19.5546875" style="86" customWidth="1"/>
    <col min="2583" max="2816" width="9.109375" style="86"/>
    <col min="2817" max="2817" width="4" style="86" customWidth="1"/>
    <col min="2818" max="2818" width="6" style="86" customWidth="1"/>
    <col min="2819" max="2819" width="25.109375" style="86" customWidth="1"/>
    <col min="2820" max="2820" width="18.6640625" style="86" customWidth="1"/>
    <col min="2821" max="2822" width="18.33203125" style="86" customWidth="1"/>
    <col min="2823" max="2824" width="14.88671875" style="86" customWidth="1"/>
    <col min="2825" max="2825" width="16" style="86" customWidth="1"/>
    <col min="2826" max="2832" width="9.109375" style="86"/>
    <col min="2833" max="2833" width="10" style="86" customWidth="1"/>
    <col min="2834" max="2834" width="14.6640625" style="86" customWidth="1"/>
    <col min="2835" max="2835" width="11.33203125" style="86" customWidth="1"/>
    <col min="2836" max="2836" width="16.44140625" style="86" customWidth="1"/>
    <col min="2837" max="2837" width="10.33203125" style="86" customWidth="1"/>
    <col min="2838" max="2838" width="19.5546875" style="86" customWidth="1"/>
    <col min="2839" max="3072" width="9.109375" style="86"/>
    <col min="3073" max="3073" width="4" style="86" customWidth="1"/>
    <col min="3074" max="3074" width="6" style="86" customWidth="1"/>
    <col min="3075" max="3075" width="25.109375" style="86" customWidth="1"/>
    <col min="3076" max="3076" width="18.6640625" style="86" customWidth="1"/>
    <col min="3077" max="3078" width="18.33203125" style="86" customWidth="1"/>
    <col min="3079" max="3080" width="14.88671875" style="86" customWidth="1"/>
    <col min="3081" max="3081" width="16" style="86" customWidth="1"/>
    <col min="3082" max="3088" width="9.109375" style="86"/>
    <col min="3089" max="3089" width="10" style="86" customWidth="1"/>
    <col min="3090" max="3090" width="14.6640625" style="86" customWidth="1"/>
    <col min="3091" max="3091" width="11.33203125" style="86" customWidth="1"/>
    <col min="3092" max="3092" width="16.44140625" style="86" customWidth="1"/>
    <col min="3093" max="3093" width="10.33203125" style="86" customWidth="1"/>
    <col min="3094" max="3094" width="19.5546875" style="86" customWidth="1"/>
    <col min="3095" max="3328" width="9.109375" style="86"/>
    <col min="3329" max="3329" width="4" style="86" customWidth="1"/>
    <col min="3330" max="3330" width="6" style="86" customWidth="1"/>
    <col min="3331" max="3331" width="25.109375" style="86" customWidth="1"/>
    <col min="3332" max="3332" width="18.6640625" style="86" customWidth="1"/>
    <col min="3333" max="3334" width="18.33203125" style="86" customWidth="1"/>
    <col min="3335" max="3336" width="14.88671875" style="86" customWidth="1"/>
    <col min="3337" max="3337" width="16" style="86" customWidth="1"/>
    <col min="3338" max="3344" width="9.109375" style="86"/>
    <col min="3345" max="3345" width="10" style="86" customWidth="1"/>
    <col min="3346" max="3346" width="14.6640625" style="86" customWidth="1"/>
    <col min="3347" max="3347" width="11.33203125" style="86" customWidth="1"/>
    <col min="3348" max="3348" width="16.44140625" style="86" customWidth="1"/>
    <col min="3349" max="3349" width="10.33203125" style="86" customWidth="1"/>
    <col min="3350" max="3350" width="19.5546875" style="86" customWidth="1"/>
    <col min="3351" max="3584" width="9.109375" style="86"/>
    <col min="3585" max="3585" width="4" style="86" customWidth="1"/>
    <col min="3586" max="3586" width="6" style="86" customWidth="1"/>
    <col min="3587" max="3587" width="25.109375" style="86" customWidth="1"/>
    <col min="3588" max="3588" width="18.6640625" style="86" customWidth="1"/>
    <col min="3589" max="3590" width="18.33203125" style="86" customWidth="1"/>
    <col min="3591" max="3592" width="14.88671875" style="86" customWidth="1"/>
    <col min="3593" max="3593" width="16" style="86" customWidth="1"/>
    <col min="3594" max="3600" width="9.109375" style="86"/>
    <col min="3601" max="3601" width="10" style="86" customWidth="1"/>
    <col min="3602" max="3602" width="14.6640625" style="86" customWidth="1"/>
    <col min="3603" max="3603" width="11.33203125" style="86" customWidth="1"/>
    <col min="3604" max="3604" width="16.44140625" style="86" customWidth="1"/>
    <col min="3605" max="3605" width="10.33203125" style="86" customWidth="1"/>
    <col min="3606" max="3606" width="19.5546875" style="86" customWidth="1"/>
    <col min="3607" max="3840" width="9.109375" style="86"/>
    <col min="3841" max="3841" width="4" style="86" customWidth="1"/>
    <col min="3842" max="3842" width="6" style="86" customWidth="1"/>
    <col min="3843" max="3843" width="25.109375" style="86" customWidth="1"/>
    <col min="3844" max="3844" width="18.6640625" style="86" customWidth="1"/>
    <col min="3845" max="3846" width="18.33203125" style="86" customWidth="1"/>
    <col min="3847" max="3848" width="14.88671875" style="86" customWidth="1"/>
    <col min="3849" max="3849" width="16" style="86" customWidth="1"/>
    <col min="3850" max="3856" width="9.109375" style="86"/>
    <col min="3857" max="3857" width="10" style="86" customWidth="1"/>
    <col min="3858" max="3858" width="14.6640625" style="86" customWidth="1"/>
    <col min="3859" max="3859" width="11.33203125" style="86" customWidth="1"/>
    <col min="3860" max="3860" width="16.44140625" style="86" customWidth="1"/>
    <col min="3861" max="3861" width="10.33203125" style="86" customWidth="1"/>
    <col min="3862" max="3862" width="19.5546875" style="86" customWidth="1"/>
    <col min="3863" max="4096" width="9.109375" style="86"/>
    <col min="4097" max="4097" width="4" style="86" customWidth="1"/>
    <col min="4098" max="4098" width="6" style="86" customWidth="1"/>
    <col min="4099" max="4099" width="25.109375" style="86" customWidth="1"/>
    <col min="4100" max="4100" width="18.6640625" style="86" customWidth="1"/>
    <col min="4101" max="4102" width="18.33203125" style="86" customWidth="1"/>
    <col min="4103" max="4104" width="14.88671875" style="86" customWidth="1"/>
    <col min="4105" max="4105" width="16" style="86" customWidth="1"/>
    <col min="4106" max="4112" width="9.109375" style="86"/>
    <col min="4113" max="4113" width="10" style="86" customWidth="1"/>
    <col min="4114" max="4114" width="14.6640625" style="86" customWidth="1"/>
    <col min="4115" max="4115" width="11.33203125" style="86" customWidth="1"/>
    <col min="4116" max="4116" width="16.44140625" style="86" customWidth="1"/>
    <col min="4117" max="4117" width="10.33203125" style="86" customWidth="1"/>
    <col min="4118" max="4118" width="19.5546875" style="86" customWidth="1"/>
    <col min="4119" max="4352" width="9.109375" style="86"/>
    <col min="4353" max="4353" width="4" style="86" customWidth="1"/>
    <col min="4354" max="4354" width="6" style="86" customWidth="1"/>
    <col min="4355" max="4355" width="25.109375" style="86" customWidth="1"/>
    <col min="4356" max="4356" width="18.6640625" style="86" customWidth="1"/>
    <col min="4357" max="4358" width="18.33203125" style="86" customWidth="1"/>
    <col min="4359" max="4360" width="14.88671875" style="86" customWidth="1"/>
    <col min="4361" max="4361" width="16" style="86" customWidth="1"/>
    <col min="4362" max="4368" width="9.109375" style="86"/>
    <col min="4369" max="4369" width="10" style="86" customWidth="1"/>
    <col min="4370" max="4370" width="14.6640625" style="86" customWidth="1"/>
    <col min="4371" max="4371" width="11.33203125" style="86" customWidth="1"/>
    <col min="4372" max="4372" width="16.44140625" style="86" customWidth="1"/>
    <col min="4373" max="4373" width="10.33203125" style="86" customWidth="1"/>
    <col min="4374" max="4374" width="19.5546875" style="86" customWidth="1"/>
    <col min="4375" max="4608" width="9.109375" style="86"/>
    <col min="4609" max="4609" width="4" style="86" customWidth="1"/>
    <col min="4610" max="4610" width="6" style="86" customWidth="1"/>
    <col min="4611" max="4611" width="25.109375" style="86" customWidth="1"/>
    <col min="4612" max="4612" width="18.6640625" style="86" customWidth="1"/>
    <col min="4613" max="4614" width="18.33203125" style="86" customWidth="1"/>
    <col min="4615" max="4616" width="14.88671875" style="86" customWidth="1"/>
    <col min="4617" max="4617" width="16" style="86" customWidth="1"/>
    <col min="4618" max="4624" width="9.109375" style="86"/>
    <col min="4625" max="4625" width="10" style="86" customWidth="1"/>
    <col min="4626" max="4626" width="14.6640625" style="86" customWidth="1"/>
    <col min="4627" max="4627" width="11.33203125" style="86" customWidth="1"/>
    <col min="4628" max="4628" width="16.44140625" style="86" customWidth="1"/>
    <col min="4629" max="4629" width="10.33203125" style="86" customWidth="1"/>
    <col min="4630" max="4630" width="19.5546875" style="86" customWidth="1"/>
    <col min="4631" max="4864" width="9.109375" style="86"/>
    <col min="4865" max="4865" width="4" style="86" customWidth="1"/>
    <col min="4866" max="4866" width="6" style="86" customWidth="1"/>
    <col min="4867" max="4867" width="25.109375" style="86" customWidth="1"/>
    <col min="4868" max="4868" width="18.6640625" style="86" customWidth="1"/>
    <col min="4869" max="4870" width="18.33203125" style="86" customWidth="1"/>
    <col min="4871" max="4872" width="14.88671875" style="86" customWidth="1"/>
    <col min="4873" max="4873" width="16" style="86" customWidth="1"/>
    <col min="4874" max="4880" width="9.109375" style="86"/>
    <col min="4881" max="4881" width="10" style="86" customWidth="1"/>
    <col min="4882" max="4882" width="14.6640625" style="86" customWidth="1"/>
    <col min="4883" max="4883" width="11.33203125" style="86" customWidth="1"/>
    <col min="4884" max="4884" width="16.44140625" style="86" customWidth="1"/>
    <col min="4885" max="4885" width="10.33203125" style="86" customWidth="1"/>
    <col min="4886" max="4886" width="19.5546875" style="86" customWidth="1"/>
    <col min="4887" max="5120" width="9.109375" style="86"/>
    <col min="5121" max="5121" width="4" style="86" customWidth="1"/>
    <col min="5122" max="5122" width="6" style="86" customWidth="1"/>
    <col min="5123" max="5123" width="25.109375" style="86" customWidth="1"/>
    <col min="5124" max="5124" width="18.6640625" style="86" customWidth="1"/>
    <col min="5125" max="5126" width="18.33203125" style="86" customWidth="1"/>
    <col min="5127" max="5128" width="14.88671875" style="86" customWidth="1"/>
    <col min="5129" max="5129" width="16" style="86" customWidth="1"/>
    <col min="5130" max="5136" width="9.109375" style="86"/>
    <col min="5137" max="5137" width="10" style="86" customWidth="1"/>
    <col min="5138" max="5138" width="14.6640625" style="86" customWidth="1"/>
    <col min="5139" max="5139" width="11.33203125" style="86" customWidth="1"/>
    <col min="5140" max="5140" width="16.44140625" style="86" customWidth="1"/>
    <col min="5141" max="5141" width="10.33203125" style="86" customWidth="1"/>
    <col min="5142" max="5142" width="19.5546875" style="86" customWidth="1"/>
    <col min="5143" max="5376" width="9.109375" style="86"/>
    <col min="5377" max="5377" width="4" style="86" customWidth="1"/>
    <col min="5378" max="5378" width="6" style="86" customWidth="1"/>
    <col min="5379" max="5379" width="25.109375" style="86" customWidth="1"/>
    <col min="5380" max="5380" width="18.6640625" style="86" customWidth="1"/>
    <col min="5381" max="5382" width="18.33203125" style="86" customWidth="1"/>
    <col min="5383" max="5384" width="14.88671875" style="86" customWidth="1"/>
    <col min="5385" max="5385" width="16" style="86" customWidth="1"/>
    <col min="5386" max="5392" width="9.109375" style="86"/>
    <col min="5393" max="5393" width="10" style="86" customWidth="1"/>
    <col min="5394" max="5394" width="14.6640625" style="86" customWidth="1"/>
    <col min="5395" max="5395" width="11.33203125" style="86" customWidth="1"/>
    <col min="5396" max="5396" width="16.44140625" style="86" customWidth="1"/>
    <col min="5397" max="5397" width="10.33203125" style="86" customWidth="1"/>
    <col min="5398" max="5398" width="19.5546875" style="86" customWidth="1"/>
    <col min="5399" max="5632" width="9.109375" style="86"/>
    <col min="5633" max="5633" width="4" style="86" customWidth="1"/>
    <col min="5634" max="5634" width="6" style="86" customWidth="1"/>
    <col min="5635" max="5635" width="25.109375" style="86" customWidth="1"/>
    <col min="5636" max="5636" width="18.6640625" style="86" customWidth="1"/>
    <col min="5637" max="5638" width="18.33203125" style="86" customWidth="1"/>
    <col min="5639" max="5640" width="14.88671875" style="86" customWidth="1"/>
    <col min="5641" max="5641" width="16" style="86" customWidth="1"/>
    <col min="5642" max="5648" width="9.109375" style="86"/>
    <col min="5649" max="5649" width="10" style="86" customWidth="1"/>
    <col min="5650" max="5650" width="14.6640625" style="86" customWidth="1"/>
    <col min="5651" max="5651" width="11.33203125" style="86" customWidth="1"/>
    <col min="5652" max="5652" width="16.44140625" style="86" customWidth="1"/>
    <col min="5653" max="5653" width="10.33203125" style="86" customWidth="1"/>
    <col min="5654" max="5654" width="19.5546875" style="86" customWidth="1"/>
    <col min="5655" max="5888" width="9.109375" style="86"/>
    <col min="5889" max="5889" width="4" style="86" customWidth="1"/>
    <col min="5890" max="5890" width="6" style="86" customWidth="1"/>
    <col min="5891" max="5891" width="25.109375" style="86" customWidth="1"/>
    <col min="5892" max="5892" width="18.6640625" style="86" customWidth="1"/>
    <col min="5893" max="5894" width="18.33203125" style="86" customWidth="1"/>
    <col min="5895" max="5896" width="14.88671875" style="86" customWidth="1"/>
    <col min="5897" max="5897" width="16" style="86" customWidth="1"/>
    <col min="5898" max="5904" width="9.109375" style="86"/>
    <col min="5905" max="5905" width="10" style="86" customWidth="1"/>
    <col min="5906" max="5906" width="14.6640625" style="86" customWidth="1"/>
    <col min="5907" max="5907" width="11.33203125" style="86" customWidth="1"/>
    <col min="5908" max="5908" width="16.44140625" style="86" customWidth="1"/>
    <col min="5909" max="5909" width="10.33203125" style="86" customWidth="1"/>
    <col min="5910" max="5910" width="19.5546875" style="86" customWidth="1"/>
    <col min="5911" max="6144" width="9.109375" style="86"/>
    <col min="6145" max="6145" width="4" style="86" customWidth="1"/>
    <col min="6146" max="6146" width="6" style="86" customWidth="1"/>
    <col min="6147" max="6147" width="25.109375" style="86" customWidth="1"/>
    <col min="6148" max="6148" width="18.6640625" style="86" customWidth="1"/>
    <col min="6149" max="6150" width="18.33203125" style="86" customWidth="1"/>
    <col min="6151" max="6152" width="14.88671875" style="86" customWidth="1"/>
    <col min="6153" max="6153" width="16" style="86" customWidth="1"/>
    <col min="6154" max="6160" width="9.109375" style="86"/>
    <col min="6161" max="6161" width="10" style="86" customWidth="1"/>
    <col min="6162" max="6162" width="14.6640625" style="86" customWidth="1"/>
    <col min="6163" max="6163" width="11.33203125" style="86" customWidth="1"/>
    <col min="6164" max="6164" width="16.44140625" style="86" customWidth="1"/>
    <col min="6165" max="6165" width="10.33203125" style="86" customWidth="1"/>
    <col min="6166" max="6166" width="19.5546875" style="86" customWidth="1"/>
    <col min="6167" max="6400" width="9.109375" style="86"/>
    <col min="6401" max="6401" width="4" style="86" customWidth="1"/>
    <col min="6402" max="6402" width="6" style="86" customWidth="1"/>
    <col min="6403" max="6403" width="25.109375" style="86" customWidth="1"/>
    <col min="6404" max="6404" width="18.6640625" style="86" customWidth="1"/>
    <col min="6405" max="6406" width="18.33203125" style="86" customWidth="1"/>
    <col min="6407" max="6408" width="14.88671875" style="86" customWidth="1"/>
    <col min="6409" max="6409" width="16" style="86" customWidth="1"/>
    <col min="6410" max="6416" width="9.109375" style="86"/>
    <col min="6417" max="6417" width="10" style="86" customWidth="1"/>
    <col min="6418" max="6418" width="14.6640625" style="86" customWidth="1"/>
    <col min="6419" max="6419" width="11.33203125" style="86" customWidth="1"/>
    <col min="6420" max="6420" width="16.44140625" style="86" customWidth="1"/>
    <col min="6421" max="6421" width="10.33203125" style="86" customWidth="1"/>
    <col min="6422" max="6422" width="19.5546875" style="86" customWidth="1"/>
    <col min="6423" max="6656" width="9.109375" style="86"/>
    <col min="6657" max="6657" width="4" style="86" customWidth="1"/>
    <col min="6658" max="6658" width="6" style="86" customWidth="1"/>
    <col min="6659" max="6659" width="25.109375" style="86" customWidth="1"/>
    <col min="6660" max="6660" width="18.6640625" style="86" customWidth="1"/>
    <col min="6661" max="6662" width="18.33203125" style="86" customWidth="1"/>
    <col min="6663" max="6664" width="14.88671875" style="86" customWidth="1"/>
    <col min="6665" max="6665" width="16" style="86" customWidth="1"/>
    <col min="6666" max="6672" width="9.109375" style="86"/>
    <col min="6673" max="6673" width="10" style="86" customWidth="1"/>
    <col min="6674" max="6674" width="14.6640625" style="86" customWidth="1"/>
    <col min="6675" max="6675" width="11.33203125" style="86" customWidth="1"/>
    <col min="6676" max="6676" width="16.44140625" style="86" customWidth="1"/>
    <col min="6677" max="6677" width="10.33203125" style="86" customWidth="1"/>
    <col min="6678" max="6678" width="19.5546875" style="86" customWidth="1"/>
    <col min="6679" max="6912" width="9.109375" style="86"/>
    <col min="6913" max="6913" width="4" style="86" customWidth="1"/>
    <col min="6914" max="6914" width="6" style="86" customWidth="1"/>
    <col min="6915" max="6915" width="25.109375" style="86" customWidth="1"/>
    <col min="6916" max="6916" width="18.6640625" style="86" customWidth="1"/>
    <col min="6917" max="6918" width="18.33203125" style="86" customWidth="1"/>
    <col min="6919" max="6920" width="14.88671875" style="86" customWidth="1"/>
    <col min="6921" max="6921" width="16" style="86" customWidth="1"/>
    <col min="6922" max="6928" width="9.109375" style="86"/>
    <col min="6929" max="6929" width="10" style="86" customWidth="1"/>
    <col min="6930" max="6930" width="14.6640625" style="86" customWidth="1"/>
    <col min="6931" max="6931" width="11.33203125" style="86" customWidth="1"/>
    <col min="6932" max="6932" width="16.44140625" style="86" customWidth="1"/>
    <col min="6933" max="6933" width="10.33203125" style="86" customWidth="1"/>
    <col min="6934" max="6934" width="19.5546875" style="86" customWidth="1"/>
    <col min="6935" max="7168" width="9.109375" style="86"/>
    <col min="7169" max="7169" width="4" style="86" customWidth="1"/>
    <col min="7170" max="7170" width="6" style="86" customWidth="1"/>
    <col min="7171" max="7171" width="25.109375" style="86" customWidth="1"/>
    <col min="7172" max="7172" width="18.6640625" style="86" customWidth="1"/>
    <col min="7173" max="7174" width="18.33203125" style="86" customWidth="1"/>
    <col min="7175" max="7176" width="14.88671875" style="86" customWidth="1"/>
    <col min="7177" max="7177" width="16" style="86" customWidth="1"/>
    <col min="7178" max="7184" width="9.109375" style="86"/>
    <col min="7185" max="7185" width="10" style="86" customWidth="1"/>
    <col min="7186" max="7186" width="14.6640625" style="86" customWidth="1"/>
    <col min="7187" max="7187" width="11.33203125" style="86" customWidth="1"/>
    <col min="7188" max="7188" width="16.44140625" style="86" customWidth="1"/>
    <col min="7189" max="7189" width="10.33203125" style="86" customWidth="1"/>
    <col min="7190" max="7190" width="19.5546875" style="86" customWidth="1"/>
    <col min="7191" max="7424" width="9.109375" style="86"/>
    <col min="7425" max="7425" width="4" style="86" customWidth="1"/>
    <col min="7426" max="7426" width="6" style="86" customWidth="1"/>
    <col min="7427" max="7427" width="25.109375" style="86" customWidth="1"/>
    <col min="7428" max="7428" width="18.6640625" style="86" customWidth="1"/>
    <col min="7429" max="7430" width="18.33203125" style="86" customWidth="1"/>
    <col min="7431" max="7432" width="14.88671875" style="86" customWidth="1"/>
    <col min="7433" max="7433" width="16" style="86" customWidth="1"/>
    <col min="7434" max="7440" width="9.109375" style="86"/>
    <col min="7441" max="7441" width="10" style="86" customWidth="1"/>
    <col min="7442" max="7442" width="14.6640625" style="86" customWidth="1"/>
    <col min="7443" max="7443" width="11.33203125" style="86" customWidth="1"/>
    <col min="7444" max="7444" width="16.44140625" style="86" customWidth="1"/>
    <col min="7445" max="7445" width="10.33203125" style="86" customWidth="1"/>
    <col min="7446" max="7446" width="19.5546875" style="86" customWidth="1"/>
    <col min="7447" max="7680" width="9.109375" style="86"/>
    <col min="7681" max="7681" width="4" style="86" customWidth="1"/>
    <col min="7682" max="7682" width="6" style="86" customWidth="1"/>
    <col min="7683" max="7683" width="25.109375" style="86" customWidth="1"/>
    <col min="7684" max="7684" width="18.6640625" style="86" customWidth="1"/>
    <col min="7685" max="7686" width="18.33203125" style="86" customWidth="1"/>
    <col min="7687" max="7688" width="14.88671875" style="86" customWidth="1"/>
    <col min="7689" max="7689" width="16" style="86" customWidth="1"/>
    <col min="7690" max="7696" width="9.109375" style="86"/>
    <col min="7697" max="7697" width="10" style="86" customWidth="1"/>
    <col min="7698" max="7698" width="14.6640625" style="86" customWidth="1"/>
    <col min="7699" max="7699" width="11.33203125" style="86" customWidth="1"/>
    <col min="7700" max="7700" width="16.44140625" style="86" customWidth="1"/>
    <col min="7701" max="7701" width="10.33203125" style="86" customWidth="1"/>
    <col min="7702" max="7702" width="19.5546875" style="86" customWidth="1"/>
    <col min="7703" max="7936" width="9.109375" style="86"/>
    <col min="7937" max="7937" width="4" style="86" customWidth="1"/>
    <col min="7938" max="7938" width="6" style="86" customWidth="1"/>
    <col min="7939" max="7939" width="25.109375" style="86" customWidth="1"/>
    <col min="7940" max="7940" width="18.6640625" style="86" customWidth="1"/>
    <col min="7941" max="7942" width="18.33203125" style="86" customWidth="1"/>
    <col min="7943" max="7944" width="14.88671875" style="86" customWidth="1"/>
    <col min="7945" max="7945" width="16" style="86" customWidth="1"/>
    <col min="7946" max="7952" width="9.109375" style="86"/>
    <col min="7953" max="7953" width="10" style="86" customWidth="1"/>
    <col min="7954" max="7954" width="14.6640625" style="86" customWidth="1"/>
    <col min="7955" max="7955" width="11.33203125" style="86" customWidth="1"/>
    <col min="7956" max="7956" width="16.44140625" style="86" customWidth="1"/>
    <col min="7957" max="7957" width="10.33203125" style="86" customWidth="1"/>
    <col min="7958" max="7958" width="19.5546875" style="86" customWidth="1"/>
    <col min="7959" max="8192" width="9.109375" style="86"/>
    <col min="8193" max="8193" width="4" style="86" customWidth="1"/>
    <col min="8194" max="8194" width="6" style="86" customWidth="1"/>
    <col min="8195" max="8195" width="25.109375" style="86" customWidth="1"/>
    <col min="8196" max="8196" width="18.6640625" style="86" customWidth="1"/>
    <col min="8197" max="8198" width="18.33203125" style="86" customWidth="1"/>
    <col min="8199" max="8200" width="14.88671875" style="86" customWidth="1"/>
    <col min="8201" max="8201" width="16" style="86" customWidth="1"/>
    <col min="8202" max="8208" width="9.109375" style="86"/>
    <col min="8209" max="8209" width="10" style="86" customWidth="1"/>
    <col min="8210" max="8210" width="14.6640625" style="86" customWidth="1"/>
    <col min="8211" max="8211" width="11.33203125" style="86" customWidth="1"/>
    <col min="8212" max="8212" width="16.44140625" style="86" customWidth="1"/>
    <col min="8213" max="8213" width="10.33203125" style="86" customWidth="1"/>
    <col min="8214" max="8214" width="19.5546875" style="86" customWidth="1"/>
    <col min="8215" max="8448" width="9.109375" style="86"/>
    <col min="8449" max="8449" width="4" style="86" customWidth="1"/>
    <col min="8450" max="8450" width="6" style="86" customWidth="1"/>
    <col min="8451" max="8451" width="25.109375" style="86" customWidth="1"/>
    <col min="8452" max="8452" width="18.6640625" style="86" customWidth="1"/>
    <col min="8453" max="8454" width="18.33203125" style="86" customWidth="1"/>
    <col min="8455" max="8456" width="14.88671875" style="86" customWidth="1"/>
    <col min="8457" max="8457" width="16" style="86" customWidth="1"/>
    <col min="8458" max="8464" width="9.109375" style="86"/>
    <col min="8465" max="8465" width="10" style="86" customWidth="1"/>
    <col min="8466" max="8466" width="14.6640625" style="86" customWidth="1"/>
    <col min="8467" max="8467" width="11.33203125" style="86" customWidth="1"/>
    <col min="8468" max="8468" width="16.44140625" style="86" customWidth="1"/>
    <col min="8469" max="8469" width="10.33203125" style="86" customWidth="1"/>
    <col min="8470" max="8470" width="19.5546875" style="86" customWidth="1"/>
    <col min="8471" max="8704" width="9.109375" style="86"/>
    <col min="8705" max="8705" width="4" style="86" customWidth="1"/>
    <col min="8706" max="8706" width="6" style="86" customWidth="1"/>
    <col min="8707" max="8707" width="25.109375" style="86" customWidth="1"/>
    <col min="8708" max="8708" width="18.6640625" style="86" customWidth="1"/>
    <col min="8709" max="8710" width="18.33203125" style="86" customWidth="1"/>
    <col min="8711" max="8712" width="14.88671875" style="86" customWidth="1"/>
    <col min="8713" max="8713" width="16" style="86" customWidth="1"/>
    <col min="8714" max="8720" width="9.109375" style="86"/>
    <col min="8721" max="8721" width="10" style="86" customWidth="1"/>
    <col min="8722" max="8722" width="14.6640625" style="86" customWidth="1"/>
    <col min="8723" max="8723" width="11.33203125" style="86" customWidth="1"/>
    <col min="8724" max="8724" width="16.44140625" style="86" customWidth="1"/>
    <col min="8725" max="8725" width="10.33203125" style="86" customWidth="1"/>
    <col min="8726" max="8726" width="19.5546875" style="86" customWidth="1"/>
    <col min="8727" max="8960" width="9.109375" style="86"/>
    <col min="8961" max="8961" width="4" style="86" customWidth="1"/>
    <col min="8962" max="8962" width="6" style="86" customWidth="1"/>
    <col min="8963" max="8963" width="25.109375" style="86" customWidth="1"/>
    <col min="8964" max="8964" width="18.6640625" style="86" customWidth="1"/>
    <col min="8965" max="8966" width="18.33203125" style="86" customWidth="1"/>
    <col min="8967" max="8968" width="14.88671875" style="86" customWidth="1"/>
    <col min="8969" max="8969" width="16" style="86" customWidth="1"/>
    <col min="8970" max="8976" width="9.109375" style="86"/>
    <col min="8977" max="8977" width="10" style="86" customWidth="1"/>
    <col min="8978" max="8978" width="14.6640625" style="86" customWidth="1"/>
    <col min="8979" max="8979" width="11.33203125" style="86" customWidth="1"/>
    <col min="8980" max="8980" width="16.44140625" style="86" customWidth="1"/>
    <col min="8981" max="8981" width="10.33203125" style="86" customWidth="1"/>
    <col min="8982" max="8982" width="19.5546875" style="86" customWidth="1"/>
    <col min="8983" max="9216" width="9.109375" style="86"/>
    <col min="9217" max="9217" width="4" style="86" customWidth="1"/>
    <col min="9218" max="9218" width="6" style="86" customWidth="1"/>
    <col min="9219" max="9219" width="25.109375" style="86" customWidth="1"/>
    <col min="9220" max="9220" width="18.6640625" style="86" customWidth="1"/>
    <col min="9221" max="9222" width="18.33203125" style="86" customWidth="1"/>
    <col min="9223" max="9224" width="14.88671875" style="86" customWidth="1"/>
    <col min="9225" max="9225" width="16" style="86" customWidth="1"/>
    <col min="9226" max="9232" width="9.109375" style="86"/>
    <col min="9233" max="9233" width="10" style="86" customWidth="1"/>
    <col min="9234" max="9234" width="14.6640625" style="86" customWidth="1"/>
    <col min="9235" max="9235" width="11.33203125" style="86" customWidth="1"/>
    <col min="9236" max="9236" width="16.44140625" style="86" customWidth="1"/>
    <col min="9237" max="9237" width="10.33203125" style="86" customWidth="1"/>
    <col min="9238" max="9238" width="19.5546875" style="86" customWidth="1"/>
    <col min="9239" max="9472" width="9.109375" style="86"/>
    <col min="9473" max="9473" width="4" style="86" customWidth="1"/>
    <col min="9474" max="9474" width="6" style="86" customWidth="1"/>
    <col min="9475" max="9475" width="25.109375" style="86" customWidth="1"/>
    <col min="9476" max="9476" width="18.6640625" style="86" customWidth="1"/>
    <col min="9477" max="9478" width="18.33203125" style="86" customWidth="1"/>
    <col min="9479" max="9480" width="14.88671875" style="86" customWidth="1"/>
    <col min="9481" max="9481" width="16" style="86" customWidth="1"/>
    <col min="9482" max="9488" width="9.109375" style="86"/>
    <col min="9489" max="9489" width="10" style="86" customWidth="1"/>
    <col min="9490" max="9490" width="14.6640625" style="86" customWidth="1"/>
    <col min="9491" max="9491" width="11.33203125" style="86" customWidth="1"/>
    <col min="9492" max="9492" width="16.44140625" style="86" customWidth="1"/>
    <col min="9493" max="9493" width="10.33203125" style="86" customWidth="1"/>
    <col min="9494" max="9494" width="19.5546875" style="86" customWidth="1"/>
    <col min="9495" max="9728" width="9.109375" style="86"/>
    <col min="9729" max="9729" width="4" style="86" customWidth="1"/>
    <col min="9730" max="9730" width="6" style="86" customWidth="1"/>
    <col min="9731" max="9731" width="25.109375" style="86" customWidth="1"/>
    <col min="9732" max="9732" width="18.6640625" style="86" customWidth="1"/>
    <col min="9733" max="9734" width="18.33203125" style="86" customWidth="1"/>
    <col min="9735" max="9736" width="14.88671875" style="86" customWidth="1"/>
    <col min="9737" max="9737" width="16" style="86" customWidth="1"/>
    <col min="9738" max="9744" width="9.109375" style="86"/>
    <col min="9745" max="9745" width="10" style="86" customWidth="1"/>
    <col min="9746" max="9746" width="14.6640625" style="86" customWidth="1"/>
    <col min="9747" max="9747" width="11.33203125" style="86" customWidth="1"/>
    <col min="9748" max="9748" width="16.44140625" style="86" customWidth="1"/>
    <col min="9749" max="9749" width="10.33203125" style="86" customWidth="1"/>
    <col min="9750" max="9750" width="19.5546875" style="86" customWidth="1"/>
    <col min="9751" max="9984" width="9.109375" style="86"/>
    <col min="9985" max="9985" width="4" style="86" customWidth="1"/>
    <col min="9986" max="9986" width="6" style="86" customWidth="1"/>
    <col min="9987" max="9987" width="25.109375" style="86" customWidth="1"/>
    <col min="9988" max="9988" width="18.6640625" style="86" customWidth="1"/>
    <col min="9989" max="9990" width="18.33203125" style="86" customWidth="1"/>
    <col min="9991" max="9992" width="14.88671875" style="86" customWidth="1"/>
    <col min="9993" max="9993" width="16" style="86" customWidth="1"/>
    <col min="9994" max="10000" width="9.109375" style="86"/>
    <col min="10001" max="10001" width="10" style="86" customWidth="1"/>
    <col min="10002" max="10002" width="14.6640625" style="86" customWidth="1"/>
    <col min="10003" max="10003" width="11.33203125" style="86" customWidth="1"/>
    <col min="10004" max="10004" width="16.44140625" style="86" customWidth="1"/>
    <col min="10005" max="10005" width="10.33203125" style="86" customWidth="1"/>
    <col min="10006" max="10006" width="19.5546875" style="86" customWidth="1"/>
    <col min="10007" max="10240" width="9.109375" style="86"/>
    <col min="10241" max="10241" width="4" style="86" customWidth="1"/>
    <col min="10242" max="10242" width="6" style="86" customWidth="1"/>
    <col min="10243" max="10243" width="25.109375" style="86" customWidth="1"/>
    <col min="10244" max="10244" width="18.6640625" style="86" customWidth="1"/>
    <col min="10245" max="10246" width="18.33203125" style="86" customWidth="1"/>
    <col min="10247" max="10248" width="14.88671875" style="86" customWidth="1"/>
    <col min="10249" max="10249" width="16" style="86" customWidth="1"/>
    <col min="10250" max="10256" width="9.109375" style="86"/>
    <col min="10257" max="10257" width="10" style="86" customWidth="1"/>
    <col min="10258" max="10258" width="14.6640625" style="86" customWidth="1"/>
    <col min="10259" max="10259" width="11.33203125" style="86" customWidth="1"/>
    <col min="10260" max="10260" width="16.44140625" style="86" customWidth="1"/>
    <col min="10261" max="10261" width="10.33203125" style="86" customWidth="1"/>
    <col min="10262" max="10262" width="19.5546875" style="86" customWidth="1"/>
    <col min="10263" max="10496" width="9.109375" style="86"/>
    <col min="10497" max="10497" width="4" style="86" customWidth="1"/>
    <col min="10498" max="10498" width="6" style="86" customWidth="1"/>
    <col min="10499" max="10499" width="25.109375" style="86" customWidth="1"/>
    <col min="10500" max="10500" width="18.6640625" style="86" customWidth="1"/>
    <col min="10501" max="10502" width="18.33203125" style="86" customWidth="1"/>
    <col min="10503" max="10504" width="14.88671875" style="86" customWidth="1"/>
    <col min="10505" max="10505" width="16" style="86" customWidth="1"/>
    <col min="10506" max="10512" width="9.109375" style="86"/>
    <col min="10513" max="10513" width="10" style="86" customWidth="1"/>
    <col min="10514" max="10514" width="14.6640625" style="86" customWidth="1"/>
    <col min="10515" max="10515" width="11.33203125" style="86" customWidth="1"/>
    <col min="10516" max="10516" width="16.44140625" style="86" customWidth="1"/>
    <col min="10517" max="10517" width="10.33203125" style="86" customWidth="1"/>
    <col min="10518" max="10518" width="19.5546875" style="86" customWidth="1"/>
    <col min="10519" max="10752" width="9.109375" style="86"/>
    <col min="10753" max="10753" width="4" style="86" customWidth="1"/>
    <col min="10754" max="10754" width="6" style="86" customWidth="1"/>
    <col min="10755" max="10755" width="25.109375" style="86" customWidth="1"/>
    <col min="10756" max="10756" width="18.6640625" style="86" customWidth="1"/>
    <col min="10757" max="10758" width="18.33203125" style="86" customWidth="1"/>
    <col min="10759" max="10760" width="14.88671875" style="86" customWidth="1"/>
    <col min="10761" max="10761" width="16" style="86" customWidth="1"/>
    <col min="10762" max="10768" width="9.109375" style="86"/>
    <col min="10769" max="10769" width="10" style="86" customWidth="1"/>
    <col min="10770" max="10770" width="14.6640625" style="86" customWidth="1"/>
    <col min="10771" max="10771" width="11.33203125" style="86" customWidth="1"/>
    <col min="10772" max="10772" width="16.44140625" style="86" customWidth="1"/>
    <col min="10773" max="10773" width="10.33203125" style="86" customWidth="1"/>
    <col min="10774" max="10774" width="19.5546875" style="86" customWidth="1"/>
    <col min="10775" max="11008" width="9.109375" style="86"/>
    <col min="11009" max="11009" width="4" style="86" customWidth="1"/>
    <col min="11010" max="11010" width="6" style="86" customWidth="1"/>
    <col min="11011" max="11011" width="25.109375" style="86" customWidth="1"/>
    <col min="11012" max="11012" width="18.6640625" style="86" customWidth="1"/>
    <col min="11013" max="11014" width="18.33203125" style="86" customWidth="1"/>
    <col min="11015" max="11016" width="14.88671875" style="86" customWidth="1"/>
    <col min="11017" max="11017" width="16" style="86" customWidth="1"/>
    <col min="11018" max="11024" width="9.109375" style="86"/>
    <col min="11025" max="11025" width="10" style="86" customWidth="1"/>
    <col min="11026" max="11026" width="14.6640625" style="86" customWidth="1"/>
    <col min="11027" max="11027" width="11.33203125" style="86" customWidth="1"/>
    <col min="11028" max="11028" width="16.44140625" style="86" customWidth="1"/>
    <col min="11029" max="11029" width="10.33203125" style="86" customWidth="1"/>
    <col min="11030" max="11030" width="19.5546875" style="86" customWidth="1"/>
    <col min="11031" max="11264" width="9.109375" style="86"/>
    <col min="11265" max="11265" width="4" style="86" customWidth="1"/>
    <col min="11266" max="11266" width="6" style="86" customWidth="1"/>
    <col min="11267" max="11267" width="25.109375" style="86" customWidth="1"/>
    <col min="11268" max="11268" width="18.6640625" style="86" customWidth="1"/>
    <col min="11269" max="11270" width="18.33203125" style="86" customWidth="1"/>
    <col min="11271" max="11272" width="14.88671875" style="86" customWidth="1"/>
    <col min="11273" max="11273" width="16" style="86" customWidth="1"/>
    <col min="11274" max="11280" width="9.109375" style="86"/>
    <col min="11281" max="11281" width="10" style="86" customWidth="1"/>
    <col min="11282" max="11282" width="14.6640625" style="86" customWidth="1"/>
    <col min="11283" max="11283" width="11.33203125" style="86" customWidth="1"/>
    <col min="11284" max="11284" width="16.44140625" style="86" customWidth="1"/>
    <col min="11285" max="11285" width="10.33203125" style="86" customWidth="1"/>
    <col min="11286" max="11286" width="19.5546875" style="86" customWidth="1"/>
    <col min="11287" max="11520" width="9.109375" style="86"/>
    <col min="11521" max="11521" width="4" style="86" customWidth="1"/>
    <col min="11522" max="11522" width="6" style="86" customWidth="1"/>
    <col min="11523" max="11523" width="25.109375" style="86" customWidth="1"/>
    <col min="11524" max="11524" width="18.6640625" style="86" customWidth="1"/>
    <col min="11525" max="11526" width="18.33203125" style="86" customWidth="1"/>
    <col min="11527" max="11528" width="14.88671875" style="86" customWidth="1"/>
    <col min="11529" max="11529" width="16" style="86" customWidth="1"/>
    <col min="11530" max="11536" width="9.109375" style="86"/>
    <col min="11537" max="11537" width="10" style="86" customWidth="1"/>
    <col min="11538" max="11538" width="14.6640625" style="86" customWidth="1"/>
    <col min="11539" max="11539" width="11.33203125" style="86" customWidth="1"/>
    <col min="11540" max="11540" width="16.44140625" style="86" customWidth="1"/>
    <col min="11541" max="11541" width="10.33203125" style="86" customWidth="1"/>
    <col min="11542" max="11542" width="19.5546875" style="86" customWidth="1"/>
    <col min="11543" max="11776" width="9.109375" style="86"/>
    <col min="11777" max="11777" width="4" style="86" customWidth="1"/>
    <col min="11778" max="11778" width="6" style="86" customWidth="1"/>
    <col min="11779" max="11779" width="25.109375" style="86" customWidth="1"/>
    <col min="11780" max="11780" width="18.6640625" style="86" customWidth="1"/>
    <col min="11781" max="11782" width="18.33203125" style="86" customWidth="1"/>
    <col min="11783" max="11784" width="14.88671875" style="86" customWidth="1"/>
    <col min="11785" max="11785" width="16" style="86" customWidth="1"/>
    <col min="11786" max="11792" width="9.109375" style="86"/>
    <col min="11793" max="11793" width="10" style="86" customWidth="1"/>
    <col min="11794" max="11794" width="14.6640625" style="86" customWidth="1"/>
    <col min="11795" max="11795" width="11.33203125" style="86" customWidth="1"/>
    <col min="11796" max="11796" width="16.44140625" style="86" customWidth="1"/>
    <col min="11797" max="11797" width="10.33203125" style="86" customWidth="1"/>
    <col min="11798" max="11798" width="19.5546875" style="86" customWidth="1"/>
    <col min="11799" max="12032" width="9.109375" style="86"/>
    <col min="12033" max="12033" width="4" style="86" customWidth="1"/>
    <col min="12034" max="12034" width="6" style="86" customWidth="1"/>
    <col min="12035" max="12035" width="25.109375" style="86" customWidth="1"/>
    <col min="12036" max="12036" width="18.6640625" style="86" customWidth="1"/>
    <col min="12037" max="12038" width="18.33203125" style="86" customWidth="1"/>
    <col min="12039" max="12040" width="14.88671875" style="86" customWidth="1"/>
    <col min="12041" max="12041" width="16" style="86" customWidth="1"/>
    <col min="12042" max="12048" width="9.109375" style="86"/>
    <col min="12049" max="12049" width="10" style="86" customWidth="1"/>
    <col min="12050" max="12050" width="14.6640625" style="86" customWidth="1"/>
    <col min="12051" max="12051" width="11.33203125" style="86" customWidth="1"/>
    <col min="12052" max="12052" width="16.44140625" style="86" customWidth="1"/>
    <col min="12053" max="12053" width="10.33203125" style="86" customWidth="1"/>
    <col min="12054" max="12054" width="19.5546875" style="86" customWidth="1"/>
    <col min="12055" max="12288" width="9.109375" style="86"/>
    <col min="12289" max="12289" width="4" style="86" customWidth="1"/>
    <col min="12290" max="12290" width="6" style="86" customWidth="1"/>
    <col min="12291" max="12291" width="25.109375" style="86" customWidth="1"/>
    <col min="12292" max="12292" width="18.6640625" style="86" customWidth="1"/>
    <col min="12293" max="12294" width="18.33203125" style="86" customWidth="1"/>
    <col min="12295" max="12296" width="14.88671875" style="86" customWidth="1"/>
    <col min="12297" max="12297" width="16" style="86" customWidth="1"/>
    <col min="12298" max="12304" width="9.109375" style="86"/>
    <col min="12305" max="12305" width="10" style="86" customWidth="1"/>
    <col min="12306" max="12306" width="14.6640625" style="86" customWidth="1"/>
    <col min="12307" max="12307" width="11.33203125" style="86" customWidth="1"/>
    <col min="12308" max="12308" width="16.44140625" style="86" customWidth="1"/>
    <col min="12309" max="12309" width="10.33203125" style="86" customWidth="1"/>
    <col min="12310" max="12310" width="19.5546875" style="86" customWidth="1"/>
    <col min="12311" max="12544" width="9.109375" style="86"/>
    <col min="12545" max="12545" width="4" style="86" customWidth="1"/>
    <col min="12546" max="12546" width="6" style="86" customWidth="1"/>
    <col min="12547" max="12547" width="25.109375" style="86" customWidth="1"/>
    <col min="12548" max="12548" width="18.6640625" style="86" customWidth="1"/>
    <col min="12549" max="12550" width="18.33203125" style="86" customWidth="1"/>
    <col min="12551" max="12552" width="14.88671875" style="86" customWidth="1"/>
    <col min="12553" max="12553" width="16" style="86" customWidth="1"/>
    <col min="12554" max="12560" width="9.109375" style="86"/>
    <col min="12561" max="12561" width="10" style="86" customWidth="1"/>
    <col min="12562" max="12562" width="14.6640625" style="86" customWidth="1"/>
    <col min="12563" max="12563" width="11.33203125" style="86" customWidth="1"/>
    <col min="12564" max="12564" width="16.44140625" style="86" customWidth="1"/>
    <col min="12565" max="12565" width="10.33203125" style="86" customWidth="1"/>
    <col min="12566" max="12566" width="19.5546875" style="86" customWidth="1"/>
    <col min="12567" max="12800" width="9.109375" style="86"/>
    <col min="12801" max="12801" width="4" style="86" customWidth="1"/>
    <col min="12802" max="12802" width="6" style="86" customWidth="1"/>
    <col min="12803" max="12803" width="25.109375" style="86" customWidth="1"/>
    <col min="12804" max="12804" width="18.6640625" style="86" customWidth="1"/>
    <col min="12805" max="12806" width="18.33203125" style="86" customWidth="1"/>
    <col min="12807" max="12808" width="14.88671875" style="86" customWidth="1"/>
    <col min="12809" max="12809" width="16" style="86" customWidth="1"/>
    <col min="12810" max="12816" width="9.109375" style="86"/>
    <col min="12817" max="12817" width="10" style="86" customWidth="1"/>
    <col min="12818" max="12818" width="14.6640625" style="86" customWidth="1"/>
    <col min="12819" max="12819" width="11.33203125" style="86" customWidth="1"/>
    <col min="12820" max="12820" width="16.44140625" style="86" customWidth="1"/>
    <col min="12821" max="12821" width="10.33203125" style="86" customWidth="1"/>
    <col min="12822" max="12822" width="19.5546875" style="86" customWidth="1"/>
    <col min="12823" max="13056" width="9.109375" style="86"/>
    <col min="13057" max="13057" width="4" style="86" customWidth="1"/>
    <col min="13058" max="13058" width="6" style="86" customWidth="1"/>
    <col min="13059" max="13059" width="25.109375" style="86" customWidth="1"/>
    <col min="13060" max="13060" width="18.6640625" style="86" customWidth="1"/>
    <col min="13061" max="13062" width="18.33203125" style="86" customWidth="1"/>
    <col min="13063" max="13064" width="14.88671875" style="86" customWidth="1"/>
    <col min="13065" max="13065" width="16" style="86" customWidth="1"/>
    <col min="13066" max="13072" width="9.109375" style="86"/>
    <col min="13073" max="13073" width="10" style="86" customWidth="1"/>
    <col min="13074" max="13074" width="14.6640625" style="86" customWidth="1"/>
    <col min="13075" max="13075" width="11.33203125" style="86" customWidth="1"/>
    <col min="13076" max="13076" width="16.44140625" style="86" customWidth="1"/>
    <col min="13077" max="13077" width="10.33203125" style="86" customWidth="1"/>
    <col min="13078" max="13078" width="19.5546875" style="86" customWidth="1"/>
    <col min="13079" max="13312" width="9.109375" style="86"/>
    <col min="13313" max="13313" width="4" style="86" customWidth="1"/>
    <col min="13314" max="13314" width="6" style="86" customWidth="1"/>
    <col min="13315" max="13315" width="25.109375" style="86" customWidth="1"/>
    <col min="13316" max="13316" width="18.6640625" style="86" customWidth="1"/>
    <col min="13317" max="13318" width="18.33203125" style="86" customWidth="1"/>
    <col min="13319" max="13320" width="14.88671875" style="86" customWidth="1"/>
    <col min="13321" max="13321" width="16" style="86" customWidth="1"/>
    <col min="13322" max="13328" width="9.109375" style="86"/>
    <col min="13329" max="13329" width="10" style="86" customWidth="1"/>
    <col min="13330" max="13330" width="14.6640625" style="86" customWidth="1"/>
    <col min="13331" max="13331" width="11.33203125" style="86" customWidth="1"/>
    <col min="13332" max="13332" width="16.44140625" style="86" customWidth="1"/>
    <col min="13333" max="13333" width="10.33203125" style="86" customWidth="1"/>
    <col min="13334" max="13334" width="19.5546875" style="86" customWidth="1"/>
    <col min="13335" max="13568" width="9.109375" style="86"/>
    <col min="13569" max="13569" width="4" style="86" customWidth="1"/>
    <col min="13570" max="13570" width="6" style="86" customWidth="1"/>
    <col min="13571" max="13571" width="25.109375" style="86" customWidth="1"/>
    <col min="13572" max="13572" width="18.6640625" style="86" customWidth="1"/>
    <col min="13573" max="13574" width="18.33203125" style="86" customWidth="1"/>
    <col min="13575" max="13576" width="14.88671875" style="86" customWidth="1"/>
    <col min="13577" max="13577" width="16" style="86" customWidth="1"/>
    <col min="13578" max="13584" width="9.109375" style="86"/>
    <col min="13585" max="13585" width="10" style="86" customWidth="1"/>
    <col min="13586" max="13586" width="14.6640625" style="86" customWidth="1"/>
    <col min="13587" max="13587" width="11.33203125" style="86" customWidth="1"/>
    <col min="13588" max="13588" width="16.44140625" style="86" customWidth="1"/>
    <col min="13589" max="13589" width="10.33203125" style="86" customWidth="1"/>
    <col min="13590" max="13590" width="19.5546875" style="86" customWidth="1"/>
    <col min="13591" max="13824" width="9.109375" style="86"/>
    <col min="13825" max="13825" width="4" style="86" customWidth="1"/>
    <col min="13826" max="13826" width="6" style="86" customWidth="1"/>
    <col min="13827" max="13827" width="25.109375" style="86" customWidth="1"/>
    <col min="13828" max="13828" width="18.6640625" style="86" customWidth="1"/>
    <col min="13829" max="13830" width="18.33203125" style="86" customWidth="1"/>
    <col min="13831" max="13832" width="14.88671875" style="86" customWidth="1"/>
    <col min="13833" max="13833" width="16" style="86" customWidth="1"/>
    <col min="13834" max="13840" width="9.109375" style="86"/>
    <col min="13841" max="13841" width="10" style="86" customWidth="1"/>
    <col min="13842" max="13842" width="14.6640625" style="86" customWidth="1"/>
    <col min="13843" max="13843" width="11.33203125" style="86" customWidth="1"/>
    <col min="13844" max="13844" width="16.44140625" style="86" customWidth="1"/>
    <col min="13845" max="13845" width="10.33203125" style="86" customWidth="1"/>
    <col min="13846" max="13846" width="19.5546875" style="86" customWidth="1"/>
    <col min="13847" max="14080" width="9.109375" style="86"/>
    <col min="14081" max="14081" width="4" style="86" customWidth="1"/>
    <col min="14082" max="14082" width="6" style="86" customWidth="1"/>
    <col min="14083" max="14083" width="25.109375" style="86" customWidth="1"/>
    <col min="14084" max="14084" width="18.6640625" style="86" customWidth="1"/>
    <col min="14085" max="14086" width="18.33203125" style="86" customWidth="1"/>
    <col min="14087" max="14088" width="14.88671875" style="86" customWidth="1"/>
    <col min="14089" max="14089" width="16" style="86" customWidth="1"/>
    <col min="14090" max="14096" width="9.109375" style="86"/>
    <col min="14097" max="14097" width="10" style="86" customWidth="1"/>
    <col min="14098" max="14098" width="14.6640625" style="86" customWidth="1"/>
    <col min="14099" max="14099" width="11.33203125" style="86" customWidth="1"/>
    <col min="14100" max="14100" width="16.44140625" style="86" customWidth="1"/>
    <col min="14101" max="14101" width="10.33203125" style="86" customWidth="1"/>
    <col min="14102" max="14102" width="19.5546875" style="86" customWidth="1"/>
    <col min="14103" max="14336" width="9.109375" style="86"/>
    <col min="14337" max="14337" width="4" style="86" customWidth="1"/>
    <col min="14338" max="14338" width="6" style="86" customWidth="1"/>
    <col min="14339" max="14339" width="25.109375" style="86" customWidth="1"/>
    <col min="14340" max="14340" width="18.6640625" style="86" customWidth="1"/>
    <col min="14341" max="14342" width="18.33203125" style="86" customWidth="1"/>
    <col min="14343" max="14344" width="14.88671875" style="86" customWidth="1"/>
    <col min="14345" max="14345" width="16" style="86" customWidth="1"/>
    <col min="14346" max="14352" width="9.109375" style="86"/>
    <col min="14353" max="14353" width="10" style="86" customWidth="1"/>
    <col min="14354" max="14354" width="14.6640625" style="86" customWidth="1"/>
    <col min="14355" max="14355" width="11.33203125" style="86" customWidth="1"/>
    <col min="14356" max="14356" width="16.44140625" style="86" customWidth="1"/>
    <col min="14357" max="14357" width="10.33203125" style="86" customWidth="1"/>
    <col min="14358" max="14358" width="19.5546875" style="86" customWidth="1"/>
    <col min="14359" max="14592" width="9.109375" style="86"/>
    <col min="14593" max="14593" width="4" style="86" customWidth="1"/>
    <col min="14594" max="14594" width="6" style="86" customWidth="1"/>
    <col min="14595" max="14595" width="25.109375" style="86" customWidth="1"/>
    <col min="14596" max="14596" width="18.6640625" style="86" customWidth="1"/>
    <col min="14597" max="14598" width="18.33203125" style="86" customWidth="1"/>
    <col min="14599" max="14600" width="14.88671875" style="86" customWidth="1"/>
    <col min="14601" max="14601" width="16" style="86" customWidth="1"/>
    <col min="14602" max="14608" width="9.109375" style="86"/>
    <col min="14609" max="14609" width="10" style="86" customWidth="1"/>
    <col min="14610" max="14610" width="14.6640625" style="86" customWidth="1"/>
    <col min="14611" max="14611" width="11.33203125" style="86" customWidth="1"/>
    <col min="14612" max="14612" width="16.44140625" style="86" customWidth="1"/>
    <col min="14613" max="14613" width="10.33203125" style="86" customWidth="1"/>
    <col min="14614" max="14614" width="19.5546875" style="86" customWidth="1"/>
    <col min="14615" max="14848" width="9.109375" style="86"/>
    <col min="14849" max="14849" width="4" style="86" customWidth="1"/>
    <col min="14850" max="14850" width="6" style="86" customWidth="1"/>
    <col min="14851" max="14851" width="25.109375" style="86" customWidth="1"/>
    <col min="14852" max="14852" width="18.6640625" style="86" customWidth="1"/>
    <col min="14853" max="14854" width="18.33203125" style="86" customWidth="1"/>
    <col min="14855" max="14856" width="14.88671875" style="86" customWidth="1"/>
    <col min="14857" max="14857" width="16" style="86" customWidth="1"/>
    <col min="14858" max="14864" width="9.109375" style="86"/>
    <col min="14865" max="14865" width="10" style="86" customWidth="1"/>
    <col min="14866" max="14866" width="14.6640625" style="86" customWidth="1"/>
    <col min="14867" max="14867" width="11.33203125" style="86" customWidth="1"/>
    <col min="14868" max="14868" width="16.44140625" style="86" customWidth="1"/>
    <col min="14869" max="14869" width="10.33203125" style="86" customWidth="1"/>
    <col min="14870" max="14870" width="19.5546875" style="86" customWidth="1"/>
    <col min="14871" max="15104" width="9.109375" style="86"/>
    <col min="15105" max="15105" width="4" style="86" customWidth="1"/>
    <col min="15106" max="15106" width="6" style="86" customWidth="1"/>
    <col min="15107" max="15107" width="25.109375" style="86" customWidth="1"/>
    <col min="15108" max="15108" width="18.6640625" style="86" customWidth="1"/>
    <col min="15109" max="15110" width="18.33203125" style="86" customWidth="1"/>
    <col min="15111" max="15112" width="14.88671875" style="86" customWidth="1"/>
    <col min="15113" max="15113" width="16" style="86" customWidth="1"/>
    <col min="15114" max="15120" width="9.109375" style="86"/>
    <col min="15121" max="15121" width="10" style="86" customWidth="1"/>
    <col min="15122" max="15122" width="14.6640625" style="86" customWidth="1"/>
    <col min="15123" max="15123" width="11.33203125" style="86" customWidth="1"/>
    <col min="15124" max="15124" width="16.44140625" style="86" customWidth="1"/>
    <col min="15125" max="15125" width="10.33203125" style="86" customWidth="1"/>
    <col min="15126" max="15126" width="19.5546875" style="86" customWidth="1"/>
    <col min="15127" max="15360" width="9.109375" style="86"/>
    <col min="15361" max="15361" width="4" style="86" customWidth="1"/>
    <col min="15362" max="15362" width="6" style="86" customWidth="1"/>
    <col min="15363" max="15363" width="25.109375" style="86" customWidth="1"/>
    <col min="15364" max="15364" width="18.6640625" style="86" customWidth="1"/>
    <col min="15365" max="15366" width="18.33203125" style="86" customWidth="1"/>
    <col min="15367" max="15368" width="14.88671875" style="86" customWidth="1"/>
    <col min="15369" max="15369" width="16" style="86" customWidth="1"/>
    <col min="15370" max="15376" width="9.109375" style="86"/>
    <col min="15377" max="15377" width="10" style="86" customWidth="1"/>
    <col min="15378" max="15378" width="14.6640625" style="86" customWidth="1"/>
    <col min="15379" max="15379" width="11.33203125" style="86" customWidth="1"/>
    <col min="15380" max="15380" width="16.44140625" style="86" customWidth="1"/>
    <col min="15381" max="15381" width="10.33203125" style="86" customWidth="1"/>
    <col min="15382" max="15382" width="19.5546875" style="86" customWidth="1"/>
    <col min="15383" max="15616" width="9.109375" style="86"/>
    <col min="15617" max="15617" width="4" style="86" customWidth="1"/>
    <col min="15618" max="15618" width="6" style="86" customWidth="1"/>
    <col min="15619" max="15619" width="25.109375" style="86" customWidth="1"/>
    <col min="15620" max="15620" width="18.6640625" style="86" customWidth="1"/>
    <col min="15621" max="15622" width="18.33203125" style="86" customWidth="1"/>
    <col min="15623" max="15624" width="14.88671875" style="86" customWidth="1"/>
    <col min="15625" max="15625" width="16" style="86" customWidth="1"/>
    <col min="15626" max="15632" width="9.109375" style="86"/>
    <col min="15633" max="15633" width="10" style="86" customWidth="1"/>
    <col min="15634" max="15634" width="14.6640625" style="86" customWidth="1"/>
    <col min="15635" max="15635" width="11.33203125" style="86" customWidth="1"/>
    <col min="15636" max="15636" width="16.44140625" style="86" customWidth="1"/>
    <col min="15637" max="15637" width="10.33203125" style="86" customWidth="1"/>
    <col min="15638" max="15638" width="19.5546875" style="86" customWidth="1"/>
    <col min="15639" max="15872" width="9.109375" style="86"/>
    <col min="15873" max="15873" width="4" style="86" customWidth="1"/>
    <col min="15874" max="15874" width="6" style="86" customWidth="1"/>
    <col min="15875" max="15875" width="25.109375" style="86" customWidth="1"/>
    <col min="15876" max="15876" width="18.6640625" style="86" customWidth="1"/>
    <col min="15877" max="15878" width="18.33203125" style="86" customWidth="1"/>
    <col min="15879" max="15880" width="14.88671875" style="86" customWidth="1"/>
    <col min="15881" max="15881" width="16" style="86" customWidth="1"/>
    <col min="15882" max="15888" width="9.109375" style="86"/>
    <col min="15889" max="15889" width="10" style="86" customWidth="1"/>
    <col min="15890" max="15890" width="14.6640625" style="86" customWidth="1"/>
    <col min="15891" max="15891" width="11.33203125" style="86" customWidth="1"/>
    <col min="15892" max="15892" width="16.44140625" style="86" customWidth="1"/>
    <col min="15893" max="15893" width="10.33203125" style="86" customWidth="1"/>
    <col min="15894" max="15894" width="19.5546875" style="86" customWidth="1"/>
    <col min="15895" max="16128" width="9.109375" style="86"/>
    <col min="16129" max="16129" width="4" style="86" customWidth="1"/>
    <col min="16130" max="16130" width="6" style="86" customWidth="1"/>
    <col min="16131" max="16131" width="25.109375" style="86" customWidth="1"/>
    <col min="16132" max="16132" width="18.6640625" style="86" customWidth="1"/>
    <col min="16133" max="16134" width="18.33203125" style="86" customWidth="1"/>
    <col min="16135" max="16136" width="14.88671875" style="86" customWidth="1"/>
    <col min="16137" max="16137" width="16" style="86" customWidth="1"/>
    <col min="16138" max="16144" width="9.109375" style="86"/>
    <col min="16145" max="16145" width="10" style="86" customWidth="1"/>
    <col min="16146" max="16146" width="14.6640625" style="86" customWidth="1"/>
    <col min="16147" max="16147" width="11.33203125" style="86" customWidth="1"/>
    <col min="16148" max="16148" width="16.44140625" style="86" customWidth="1"/>
    <col min="16149" max="16149" width="10.33203125" style="86" customWidth="1"/>
    <col min="16150" max="16150" width="19.5546875" style="86" customWidth="1"/>
    <col min="16151" max="16384" width="9.109375" style="86"/>
  </cols>
  <sheetData>
    <row r="1" spans="1:20" s="78" customFormat="1" ht="14.4" hidden="1" x14ac:dyDescent="0.3">
      <c r="A1" s="78">
        <v>333</v>
      </c>
      <c r="B1" s="79"/>
      <c r="C1" s="80"/>
      <c r="D1" s="80"/>
      <c r="E1" s="80"/>
      <c r="F1" s="80"/>
      <c r="G1" s="80"/>
      <c r="H1" s="81" t="e">
        <v>#N/A</v>
      </c>
      <c r="I1" s="82"/>
      <c r="J1" s="83"/>
      <c r="K1" s="84" t="s">
        <v>436</v>
      </c>
      <c r="M1" s="83"/>
      <c r="N1" s="83"/>
      <c r="O1" s="85" t="e">
        <v>#N/A</v>
      </c>
      <c r="P1" s="86"/>
      <c r="Q1" s="85" t="e">
        <v>#N/A</v>
      </c>
      <c r="R1" s="86"/>
      <c r="S1" s="85" t="e">
        <v>#N/A</v>
      </c>
      <c r="T1" s="86"/>
    </row>
    <row r="2" spans="1:20" s="78" customFormat="1" ht="14.4" hidden="1" x14ac:dyDescent="0.3">
      <c r="B2" s="79"/>
      <c r="C2" s="80"/>
      <c r="D2" s="80"/>
      <c r="E2" s="80"/>
      <c r="F2" s="80"/>
      <c r="G2" s="80"/>
      <c r="H2" s="81" t="e">
        <v>#N/A</v>
      </c>
      <c r="I2" s="82"/>
      <c r="J2" s="83"/>
      <c r="K2" s="84" t="s">
        <v>436</v>
      </c>
      <c r="M2" s="83"/>
      <c r="N2" s="83"/>
      <c r="O2" s="85" t="e">
        <v>#N/A</v>
      </c>
      <c r="P2" s="86"/>
      <c r="Q2" s="85" t="e">
        <v>#N/A</v>
      </c>
      <c r="R2" s="86"/>
      <c r="S2" s="85" t="e">
        <v>#N/A</v>
      </c>
      <c r="T2" s="86"/>
    </row>
    <row r="3" spans="1:20" s="78" customFormat="1" ht="14.4" hidden="1" x14ac:dyDescent="0.3">
      <c r="B3" s="79"/>
      <c r="C3" s="80"/>
      <c r="D3" s="80"/>
      <c r="E3" s="80"/>
      <c r="F3" s="80"/>
      <c r="G3" s="80"/>
      <c r="H3" s="81" t="e">
        <v>#N/A</v>
      </c>
      <c r="I3" s="82"/>
      <c r="J3" s="83"/>
      <c r="K3" s="84" t="s">
        <v>436</v>
      </c>
      <c r="M3" s="83"/>
      <c r="N3" s="83"/>
      <c r="O3" s="85" t="e">
        <v>#N/A</v>
      </c>
      <c r="P3" s="86"/>
      <c r="Q3" s="85" t="e">
        <v>#N/A</v>
      </c>
      <c r="R3" s="86"/>
      <c r="S3" s="85" t="e">
        <v>#N/A</v>
      </c>
      <c r="T3" s="86"/>
    </row>
    <row r="4" spans="1:20" s="78" customFormat="1" ht="14.4" hidden="1" x14ac:dyDescent="0.3">
      <c r="B4" s="79"/>
      <c r="C4" s="80"/>
      <c r="D4" s="80"/>
      <c r="E4" s="80"/>
      <c r="F4" s="80"/>
      <c r="G4" s="80"/>
      <c r="H4" s="81" t="e">
        <v>#N/A</v>
      </c>
      <c r="I4" s="82"/>
      <c r="J4" s="83"/>
      <c r="K4" s="84" t="s">
        <v>436</v>
      </c>
      <c r="M4" s="83"/>
      <c r="N4" s="83"/>
      <c r="O4" s="85" t="e">
        <v>#N/A</v>
      </c>
      <c r="P4" s="86"/>
      <c r="Q4" s="85" t="e">
        <v>#N/A</v>
      </c>
      <c r="R4" s="86"/>
      <c r="S4" s="85" t="e">
        <v>#N/A</v>
      </c>
      <c r="T4" s="86"/>
    </row>
    <row r="5" spans="1:20" s="78" customFormat="1" ht="14.4" hidden="1" x14ac:dyDescent="0.3">
      <c r="B5" s="79"/>
      <c r="C5" s="80"/>
      <c r="D5" s="80"/>
      <c r="E5" s="80"/>
      <c r="F5" s="80"/>
      <c r="G5" s="80"/>
      <c r="H5" s="81" t="e">
        <v>#N/A</v>
      </c>
      <c r="I5" s="82"/>
      <c r="J5" s="83"/>
      <c r="K5" s="84" t="s">
        <v>436</v>
      </c>
      <c r="M5" s="83"/>
      <c r="N5" s="83"/>
      <c r="O5" s="85" t="e">
        <v>#N/A</v>
      </c>
      <c r="P5" s="86"/>
      <c r="Q5" s="85" t="e">
        <v>#N/A</v>
      </c>
      <c r="R5" s="86"/>
      <c r="S5" s="85" t="e">
        <v>#N/A</v>
      </c>
      <c r="T5" s="86"/>
    </row>
    <row r="6" spans="1:20" s="78" customFormat="1" ht="14.4" hidden="1" x14ac:dyDescent="0.3">
      <c r="B6" s="79"/>
      <c r="C6" s="80"/>
      <c r="D6" s="80"/>
      <c r="E6" s="80"/>
      <c r="F6" s="80"/>
      <c r="G6" s="80"/>
      <c r="H6" s="81" t="e">
        <v>#N/A</v>
      </c>
      <c r="I6" s="82"/>
      <c r="J6" s="83"/>
      <c r="K6" s="84" t="s">
        <v>436</v>
      </c>
      <c r="M6" s="83"/>
      <c r="N6" s="83"/>
      <c r="O6" s="85" t="e">
        <v>#N/A</v>
      </c>
      <c r="P6" s="86"/>
      <c r="Q6" s="85" t="e">
        <v>#N/A</v>
      </c>
      <c r="R6" s="86"/>
      <c r="S6" s="85" t="e">
        <v>#N/A</v>
      </c>
      <c r="T6" s="86"/>
    </row>
    <row r="7" spans="1:20" s="78" customFormat="1" ht="14.4" hidden="1" x14ac:dyDescent="0.3">
      <c r="B7" s="79"/>
      <c r="C7" s="80"/>
      <c r="D7" s="80"/>
      <c r="E7" s="80"/>
      <c r="F7" s="80"/>
      <c r="G7" s="80"/>
      <c r="H7" s="81" t="e">
        <v>#N/A</v>
      </c>
      <c r="I7" s="82"/>
      <c r="J7" s="83"/>
      <c r="K7" s="84" t="s">
        <v>436</v>
      </c>
      <c r="M7" s="83"/>
      <c r="N7" s="83"/>
      <c r="O7" s="85" t="e">
        <v>#N/A</v>
      </c>
      <c r="P7" s="86"/>
      <c r="Q7" s="85" t="e">
        <v>#N/A</v>
      </c>
      <c r="R7" s="86"/>
      <c r="S7" s="85" t="e">
        <v>#N/A</v>
      </c>
      <c r="T7" s="86"/>
    </row>
    <row r="8" spans="1:20" s="78" customFormat="1" ht="14.4" hidden="1" x14ac:dyDescent="0.3">
      <c r="B8" s="79"/>
      <c r="C8" s="80"/>
      <c r="D8" s="80"/>
      <c r="E8" s="80"/>
      <c r="F8" s="80"/>
      <c r="G8" s="80"/>
      <c r="H8" s="81" t="e">
        <v>#N/A</v>
      </c>
      <c r="I8" s="82"/>
      <c r="J8" s="83"/>
      <c r="K8" s="84" t="s">
        <v>436</v>
      </c>
      <c r="M8" s="83"/>
      <c r="N8" s="83"/>
      <c r="O8" s="85" t="e">
        <v>#N/A</v>
      </c>
      <c r="P8" s="86"/>
      <c r="Q8" s="85" t="e">
        <v>#N/A</v>
      </c>
      <c r="R8" s="86"/>
      <c r="S8" s="85" t="e">
        <v>#N/A</v>
      </c>
      <c r="T8" s="86"/>
    </row>
    <row r="9" spans="1:20" s="78" customFormat="1" ht="14.4" hidden="1" x14ac:dyDescent="0.3">
      <c r="B9" s="79"/>
      <c r="C9" s="80"/>
      <c r="D9" s="80"/>
      <c r="E9" s="80"/>
      <c r="F9" s="80"/>
      <c r="G9" s="80"/>
      <c r="H9" s="81" t="e">
        <v>#N/A</v>
      </c>
      <c r="I9" s="82"/>
      <c r="J9" s="83"/>
      <c r="K9" s="84" t="s">
        <v>436</v>
      </c>
      <c r="M9" s="83"/>
      <c r="N9" s="83"/>
      <c r="O9" s="85" t="e">
        <v>#N/A</v>
      </c>
      <c r="P9" s="86"/>
      <c r="Q9" s="85" t="e">
        <v>#N/A</v>
      </c>
      <c r="R9" s="86"/>
      <c r="S9" s="85" t="e">
        <v>#N/A</v>
      </c>
      <c r="T9" s="86"/>
    </row>
    <row r="10" spans="1:20" s="78" customFormat="1" ht="14.4" hidden="1" x14ac:dyDescent="0.3">
      <c r="B10" s="79"/>
      <c r="C10" s="80"/>
      <c r="D10" s="80"/>
      <c r="E10" s="80"/>
      <c r="F10" s="80"/>
      <c r="G10" s="80"/>
      <c r="H10" s="81" t="e">
        <v>#N/A</v>
      </c>
      <c r="I10" s="82"/>
      <c r="J10" s="83"/>
      <c r="K10" s="84" t="s">
        <v>436</v>
      </c>
      <c r="M10" s="83"/>
      <c r="N10" s="83"/>
      <c r="O10" s="85" t="e">
        <v>#N/A</v>
      </c>
      <c r="P10" s="86"/>
      <c r="Q10" s="85" t="e">
        <v>#N/A</v>
      </c>
      <c r="R10" s="86"/>
      <c r="S10" s="85" t="e">
        <v>#N/A</v>
      </c>
      <c r="T10" s="86"/>
    </row>
    <row r="11" spans="1:20" s="78" customFormat="1" ht="14.4" hidden="1" x14ac:dyDescent="0.3">
      <c r="B11" s="79"/>
      <c r="C11" s="80"/>
      <c r="D11" s="80"/>
      <c r="E11" s="80"/>
      <c r="F11" s="80"/>
      <c r="G11" s="80"/>
      <c r="H11" s="81" t="e">
        <v>#N/A</v>
      </c>
      <c r="I11" s="82"/>
      <c r="J11" s="83"/>
      <c r="K11" s="84" t="s">
        <v>436</v>
      </c>
      <c r="M11" s="83"/>
      <c r="N11" s="83"/>
      <c r="O11" s="85" t="e">
        <v>#N/A</v>
      </c>
      <c r="P11" s="86"/>
      <c r="Q11" s="85" t="e">
        <v>#N/A</v>
      </c>
      <c r="R11" s="86"/>
      <c r="S11" s="85" t="e">
        <v>#N/A</v>
      </c>
      <c r="T11" s="86"/>
    </row>
    <row r="12" spans="1:20" s="78" customFormat="1" ht="14.4" hidden="1" x14ac:dyDescent="0.3">
      <c r="B12" s="79"/>
      <c r="C12" s="80"/>
      <c r="D12" s="80"/>
      <c r="E12" s="80"/>
      <c r="F12" s="80"/>
      <c r="G12" s="80"/>
      <c r="H12" s="81" t="e">
        <v>#N/A</v>
      </c>
      <c r="I12" s="82"/>
      <c r="J12" s="83"/>
      <c r="K12" s="84" t="s">
        <v>436</v>
      </c>
      <c r="M12" s="83"/>
      <c r="N12" s="83"/>
      <c r="O12" s="85" t="e">
        <v>#N/A</v>
      </c>
      <c r="P12" s="86"/>
      <c r="Q12" s="85" t="e">
        <v>#N/A</v>
      </c>
      <c r="R12" s="86"/>
      <c r="S12" s="85" t="e">
        <v>#N/A</v>
      </c>
      <c r="T12" s="86"/>
    </row>
    <row r="13" spans="1:20" s="78" customFormat="1" ht="14.4" hidden="1" x14ac:dyDescent="0.3">
      <c r="B13" s="79"/>
      <c r="C13" s="80"/>
      <c r="D13" s="80"/>
      <c r="E13" s="80"/>
      <c r="F13" s="80"/>
      <c r="G13" s="80"/>
      <c r="H13" s="81" t="e">
        <v>#N/A</v>
      </c>
      <c r="I13" s="82"/>
      <c r="J13" s="83"/>
      <c r="K13" s="84" t="s">
        <v>436</v>
      </c>
      <c r="M13" s="83"/>
      <c r="N13" s="83"/>
      <c r="O13" s="85" t="e">
        <v>#N/A</v>
      </c>
      <c r="P13" s="86"/>
      <c r="Q13" s="85" t="e">
        <v>#N/A</v>
      </c>
      <c r="R13" s="86"/>
      <c r="S13" s="85" t="e">
        <v>#N/A</v>
      </c>
      <c r="T13" s="86"/>
    </row>
    <row r="14" spans="1:20" s="78" customFormat="1" ht="14.4" hidden="1" x14ac:dyDescent="0.3">
      <c r="B14" s="79"/>
      <c r="C14" s="80"/>
      <c r="D14" s="80"/>
      <c r="E14" s="80"/>
      <c r="F14" s="80"/>
      <c r="G14" s="80"/>
      <c r="H14" s="81" t="e">
        <v>#N/A</v>
      </c>
      <c r="I14" s="82"/>
      <c r="J14" s="83"/>
      <c r="K14" s="84" t="s">
        <v>436</v>
      </c>
      <c r="M14" s="83"/>
      <c r="N14" s="83"/>
      <c r="O14" s="85" t="e">
        <v>#N/A</v>
      </c>
      <c r="P14" s="86"/>
      <c r="Q14" s="85" t="e">
        <v>#N/A</v>
      </c>
      <c r="R14" s="86"/>
      <c r="S14" s="85" t="e">
        <v>#N/A</v>
      </c>
      <c r="T14" s="86"/>
    </row>
    <row r="15" spans="1:20" s="78" customFormat="1" ht="14.4" hidden="1" x14ac:dyDescent="0.3">
      <c r="B15" s="79"/>
      <c r="C15" s="80"/>
      <c r="D15" s="80"/>
      <c r="E15" s="80"/>
      <c r="F15" s="80"/>
      <c r="G15" s="80"/>
      <c r="H15" s="81" t="e">
        <v>#N/A</v>
      </c>
      <c r="I15" s="82"/>
      <c r="J15" s="83"/>
      <c r="K15" s="84" t="s">
        <v>436</v>
      </c>
      <c r="M15" s="83"/>
      <c r="N15" s="83"/>
      <c r="O15" s="85" t="e">
        <v>#N/A</v>
      </c>
      <c r="P15" s="86"/>
      <c r="Q15" s="85" t="e">
        <v>#N/A</v>
      </c>
      <c r="R15" s="86"/>
      <c r="S15" s="85" t="e">
        <v>#N/A</v>
      </c>
      <c r="T15" s="86"/>
    </row>
    <row r="16" spans="1:20" s="78" customFormat="1" ht="14.4" hidden="1" x14ac:dyDescent="0.3">
      <c r="B16" s="79"/>
      <c r="C16" s="80"/>
      <c r="D16" s="80"/>
      <c r="E16" s="80"/>
      <c r="F16" s="80"/>
      <c r="G16" s="80"/>
      <c r="H16" s="81" t="e">
        <v>#N/A</v>
      </c>
      <c r="I16" s="82"/>
      <c r="J16" s="83"/>
      <c r="K16" s="84" t="s">
        <v>436</v>
      </c>
      <c r="M16" s="83"/>
      <c r="N16" s="83"/>
      <c r="O16" s="85" t="e">
        <v>#N/A</v>
      </c>
      <c r="P16" s="86"/>
      <c r="Q16" s="85" t="e">
        <v>#N/A</v>
      </c>
      <c r="R16" s="86"/>
      <c r="S16" s="85" t="e">
        <v>#N/A</v>
      </c>
      <c r="T16" s="86"/>
    </row>
    <row r="17" spans="2:20" s="78" customFormat="1" ht="14.4" hidden="1" x14ac:dyDescent="0.3">
      <c r="B17" s="79"/>
      <c r="C17" s="80"/>
      <c r="D17" s="80"/>
      <c r="E17" s="80"/>
      <c r="F17" s="80"/>
      <c r="G17" s="80"/>
      <c r="H17" s="81" t="e">
        <v>#N/A</v>
      </c>
      <c r="I17" s="82"/>
      <c r="J17" s="83"/>
      <c r="K17" s="84" t="s">
        <v>436</v>
      </c>
      <c r="M17" s="83"/>
      <c r="N17" s="83"/>
      <c r="O17" s="85" t="e">
        <v>#N/A</v>
      </c>
      <c r="P17" s="86"/>
      <c r="Q17" s="85" t="e">
        <v>#N/A</v>
      </c>
      <c r="R17" s="86"/>
      <c r="S17" s="85" t="e">
        <v>#N/A</v>
      </c>
      <c r="T17" s="86"/>
    </row>
    <row r="18" spans="2:20" s="78" customFormat="1" ht="14.4" hidden="1" x14ac:dyDescent="0.3">
      <c r="B18" s="79"/>
      <c r="C18" s="80"/>
      <c r="D18" s="80"/>
      <c r="E18" s="80"/>
      <c r="F18" s="80"/>
      <c r="G18" s="80"/>
      <c r="H18" s="81" t="e">
        <v>#N/A</v>
      </c>
      <c r="I18" s="82"/>
      <c r="J18" s="83"/>
      <c r="K18" s="84" t="s">
        <v>436</v>
      </c>
      <c r="M18" s="83"/>
      <c r="N18" s="83"/>
      <c r="O18" s="85" t="e">
        <v>#N/A</v>
      </c>
      <c r="P18" s="86"/>
      <c r="Q18" s="85" t="e">
        <v>#N/A</v>
      </c>
      <c r="R18" s="86"/>
      <c r="S18" s="85" t="e">
        <v>#N/A</v>
      </c>
      <c r="T18" s="86"/>
    </row>
    <row r="19" spans="2:20" s="78" customFormat="1" ht="14.4" hidden="1" x14ac:dyDescent="0.3">
      <c r="B19" s="79"/>
      <c r="C19" s="80"/>
      <c r="D19" s="80"/>
      <c r="E19" s="80"/>
      <c r="F19" s="80"/>
      <c r="G19" s="80"/>
      <c r="H19" s="81" t="e">
        <v>#N/A</v>
      </c>
      <c r="I19" s="82"/>
      <c r="J19" s="83"/>
      <c r="K19" s="84" t="s">
        <v>436</v>
      </c>
      <c r="M19" s="83"/>
      <c r="N19" s="83"/>
      <c r="O19" s="85" t="e">
        <v>#N/A</v>
      </c>
      <c r="P19" s="86"/>
      <c r="Q19" s="85" t="e">
        <v>#N/A</v>
      </c>
      <c r="R19" s="86"/>
      <c r="S19" s="85" t="e">
        <v>#N/A</v>
      </c>
      <c r="T19" s="86"/>
    </row>
    <row r="20" spans="2:20" s="78" customFormat="1" ht="14.4" hidden="1" x14ac:dyDescent="0.3">
      <c r="B20" s="79"/>
      <c r="C20" s="80"/>
      <c r="D20" s="80"/>
      <c r="E20" s="80"/>
      <c r="F20" s="80"/>
      <c r="G20" s="80"/>
      <c r="H20" s="81" t="e">
        <v>#N/A</v>
      </c>
      <c r="I20" s="82"/>
      <c r="J20" s="83"/>
      <c r="K20" s="84" t="s">
        <v>436</v>
      </c>
      <c r="M20" s="83"/>
      <c r="N20" s="83"/>
      <c r="O20" s="85" t="e">
        <v>#N/A</v>
      </c>
      <c r="P20" s="86"/>
      <c r="Q20" s="85" t="e">
        <v>#N/A</v>
      </c>
      <c r="R20" s="86"/>
      <c r="S20" s="85" t="e">
        <v>#N/A</v>
      </c>
      <c r="T20" s="86"/>
    </row>
    <row r="21" spans="2:20" s="78" customFormat="1" ht="14.4" hidden="1" x14ac:dyDescent="0.3">
      <c r="B21" s="79"/>
      <c r="C21" s="80"/>
      <c r="D21" s="80"/>
      <c r="E21" s="80"/>
      <c r="F21" s="80"/>
      <c r="G21" s="80"/>
      <c r="H21" s="81" t="e">
        <v>#N/A</v>
      </c>
      <c r="I21" s="82"/>
      <c r="J21" s="83"/>
      <c r="K21" s="84" t="s">
        <v>436</v>
      </c>
      <c r="M21" s="83"/>
      <c r="N21" s="83"/>
      <c r="O21" s="85" t="e">
        <v>#N/A</v>
      </c>
      <c r="P21" s="86"/>
      <c r="Q21" s="85" t="e">
        <v>#N/A</v>
      </c>
      <c r="R21" s="86"/>
      <c r="S21" s="85" t="e">
        <v>#N/A</v>
      </c>
      <c r="T21" s="86"/>
    </row>
    <row r="22" spans="2:20" s="78" customFormat="1" ht="14.4" hidden="1" x14ac:dyDescent="0.3">
      <c r="B22" s="79"/>
      <c r="C22" s="80"/>
      <c r="D22" s="80"/>
      <c r="E22" s="80"/>
      <c r="F22" s="80"/>
      <c r="G22" s="80"/>
      <c r="H22" s="81" t="e">
        <v>#N/A</v>
      </c>
      <c r="I22" s="82"/>
      <c r="J22" s="83"/>
      <c r="K22" s="84" t="s">
        <v>436</v>
      </c>
      <c r="M22" s="83"/>
      <c r="N22" s="83"/>
      <c r="O22" s="85" t="e">
        <v>#N/A</v>
      </c>
      <c r="P22" s="86"/>
      <c r="Q22" s="85" t="e">
        <v>#N/A</v>
      </c>
      <c r="R22" s="86"/>
      <c r="S22" s="85" t="e">
        <v>#N/A</v>
      </c>
      <c r="T22" s="86"/>
    </row>
    <row r="23" spans="2:20" s="78" customFormat="1" ht="14.4" hidden="1" x14ac:dyDescent="0.3">
      <c r="B23" s="79"/>
      <c r="C23" s="80"/>
      <c r="D23" s="80"/>
      <c r="E23" s="80"/>
      <c r="F23" s="80"/>
      <c r="G23" s="80"/>
      <c r="H23" s="81" t="e">
        <v>#N/A</v>
      </c>
      <c r="I23" s="82"/>
      <c r="J23" s="83"/>
      <c r="K23" s="84" t="s">
        <v>436</v>
      </c>
      <c r="M23" s="83"/>
      <c r="N23" s="83"/>
      <c r="O23" s="85" t="e">
        <v>#N/A</v>
      </c>
      <c r="P23" s="86"/>
      <c r="Q23" s="85" t="e">
        <v>#N/A</v>
      </c>
      <c r="R23" s="86"/>
      <c r="S23" s="85" t="e">
        <v>#N/A</v>
      </c>
      <c r="T23" s="86"/>
    </row>
    <row r="24" spans="2:20" s="78" customFormat="1" ht="14.4" hidden="1" x14ac:dyDescent="0.3">
      <c r="B24" s="79"/>
      <c r="C24" s="80"/>
      <c r="D24" s="80"/>
      <c r="E24" s="80"/>
      <c r="F24" s="80"/>
      <c r="G24" s="80"/>
      <c r="H24" s="81" t="e">
        <v>#N/A</v>
      </c>
      <c r="I24" s="82"/>
      <c r="J24" s="83"/>
      <c r="K24" s="84" t="s">
        <v>436</v>
      </c>
      <c r="M24" s="83"/>
      <c r="N24" s="83"/>
      <c r="O24" s="85" t="e">
        <v>#N/A</v>
      </c>
      <c r="P24" s="86"/>
      <c r="Q24" s="85" t="e">
        <v>#N/A</v>
      </c>
      <c r="R24" s="86"/>
      <c r="S24" s="85" t="e">
        <v>#N/A</v>
      </c>
      <c r="T24" s="86"/>
    </row>
    <row r="25" spans="2:20" s="78" customFormat="1" ht="14.4" hidden="1" x14ac:dyDescent="0.3">
      <c r="B25" s="79"/>
      <c r="C25" s="80"/>
      <c r="D25" s="80"/>
      <c r="E25" s="80"/>
      <c r="F25" s="80"/>
      <c r="G25" s="80"/>
      <c r="H25" s="81" t="e">
        <v>#N/A</v>
      </c>
      <c r="I25" s="82"/>
      <c r="J25" s="83"/>
      <c r="K25" s="84" t="s">
        <v>436</v>
      </c>
      <c r="M25" s="83"/>
      <c r="N25" s="83"/>
      <c r="O25" s="85" t="e">
        <v>#N/A</v>
      </c>
      <c r="P25" s="86"/>
      <c r="Q25" s="85" t="e">
        <v>#N/A</v>
      </c>
      <c r="R25" s="86"/>
      <c r="S25" s="85" t="e">
        <v>#N/A</v>
      </c>
      <c r="T25" s="86"/>
    </row>
    <row r="26" spans="2:20" s="78" customFormat="1" ht="14.4" hidden="1" x14ac:dyDescent="0.3">
      <c r="B26" s="79"/>
      <c r="C26" s="80"/>
      <c r="D26" s="80"/>
      <c r="E26" s="80"/>
      <c r="F26" s="80"/>
      <c r="G26" s="80"/>
      <c r="H26" s="81" t="e">
        <v>#N/A</v>
      </c>
      <c r="I26" s="82"/>
      <c r="J26" s="83"/>
      <c r="K26" s="84" t="s">
        <v>436</v>
      </c>
      <c r="M26" s="83"/>
      <c r="N26" s="83"/>
      <c r="O26" s="85" t="e">
        <v>#N/A</v>
      </c>
      <c r="P26" s="86"/>
      <c r="Q26" s="85" t="e">
        <v>#N/A</v>
      </c>
      <c r="R26" s="86"/>
      <c r="S26" s="85" t="e">
        <v>#N/A</v>
      </c>
      <c r="T26" s="86"/>
    </row>
    <row r="27" spans="2:20" s="78" customFormat="1" ht="14.4" hidden="1" x14ac:dyDescent="0.3">
      <c r="B27" s="79"/>
      <c r="C27" s="80"/>
      <c r="D27" s="80"/>
      <c r="E27" s="80"/>
      <c r="F27" s="80"/>
      <c r="G27" s="80"/>
      <c r="H27" s="81" t="e">
        <v>#N/A</v>
      </c>
      <c r="I27" s="82"/>
      <c r="J27" s="83"/>
      <c r="K27" s="84" t="s">
        <v>436</v>
      </c>
      <c r="M27" s="83"/>
      <c r="N27" s="83"/>
      <c r="O27" s="85" t="e">
        <v>#N/A</v>
      </c>
      <c r="P27" s="86"/>
      <c r="Q27" s="85" t="e">
        <v>#N/A</v>
      </c>
      <c r="R27" s="86"/>
      <c r="S27" s="85" t="e">
        <v>#N/A</v>
      </c>
      <c r="T27" s="86"/>
    </row>
    <row r="28" spans="2:20" s="78" customFormat="1" ht="14.4" hidden="1" x14ac:dyDescent="0.3">
      <c r="B28" s="79"/>
      <c r="C28" s="80"/>
      <c r="D28" s="80"/>
      <c r="E28" s="80"/>
      <c r="F28" s="80"/>
      <c r="G28" s="80"/>
      <c r="H28" s="81" t="e">
        <v>#N/A</v>
      </c>
      <c r="I28" s="82"/>
      <c r="J28" s="83"/>
      <c r="K28" s="84" t="s">
        <v>436</v>
      </c>
      <c r="M28" s="83"/>
      <c r="N28" s="83"/>
      <c r="O28" s="85" t="e">
        <v>#N/A</v>
      </c>
      <c r="P28" s="86"/>
      <c r="Q28" s="85" t="e">
        <v>#N/A</v>
      </c>
      <c r="R28" s="86"/>
      <c r="S28" s="85" t="e">
        <v>#N/A</v>
      </c>
      <c r="T28" s="86"/>
    </row>
    <row r="29" spans="2:20" s="78" customFormat="1" ht="14.4" hidden="1" x14ac:dyDescent="0.3">
      <c r="B29" s="79"/>
      <c r="C29" s="80"/>
      <c r="D29" s="80"/>
      <c r="E29" s="80"/>
      <c r="F29" s="80"/>
      <c r="G29" s="80"/>
      <c r="H29" s="81" t="e">
        <v>#N/A</v>
      </c>
      <c r="I29" s="82"/>
      <c r="J29" s="83"/>
      <c r="K29" s="84" t="s">
        <v>436</v>
      </c>
      <c r="M29" s="83"/>
      <c r="N29" s="83"/>
      <c r="O29" s="85" t="e">
        <v>#N/A</v>
      </c>
      <c r="P29" s="86"/>
      <c r="Q29" s="85" t="e">
        <v>#N/A</v>
      </c>
      <c r="R29" s="86"/>
      <c r="S29" s="85" t="e">
        <v>#N/A</v>
      </c>
      <c r="T29" s="86"/>
    </row>
    <row r="30" spans="2:20" s="78" customFormat="1" ht="14.4" hidden="1" x14ac:dyDescent="0.3">
      <c r="B30" s="79"/>
      <c r="C30" s="80"/>
      <c r="D30" s="80"/>
      <c r="E30" s="80"/>
      <c r="F30" s="80"/>
      <c r="G30" s="80"/>
      <c r="H30" s="81" t="e">
        <v>#N/A</v>
      </c>
      <c r="I30" s="82"/>
      <c r="J30" s="83"/>
      <c r="K30" s="84" t="s">
        <v>436</v>
      </c>
      <c r="M30" s="83"/>
      <c r="N30" s="83"/>
      <c r="O30" s="85" t="e">
        <v>#N/A</v>
      </c>
      <c r="P30" s="86"/>
      <c r="Q30" s="85" t="e">
        <v>#N/A</v>
      </c>
      <c r="R30" s="86"/>
      <c r="S30" s="85" t="e">
        <v>#N/A</v>
      </c>
      <c r="T30" s="86"/>
    </row>
    <row r="31" spans="2:20" s="78" customFormat="1" ht="14.4" hidden="1" x14ac:dyDescent="0.3">
      <c r="B31" s="79"/>
      <c r="C31" s="80"/>
      <c r="D31" s="80"/>
      <c r="E31" s="80"/>
      <c r="F31" s="80"/>
      <c r="G31" s="80"/>
      <c r="H31" s="81" t="e">
        <v>#N/A</v>
      </c>
      <c r="I31" s="82"/>
      <c r="J31" s="83"/>
      <c r="K31" s="84" t="s">
        <v>436</v>
      </c>
      <c r="M31" s="83"/>
      <c r="N31" s="83"/>
      <c r="O31" s="85" t="e">
        <v>#N/A</v>
      </c>
      <c r="P31" s="86"/>
      <c r="Q31" s="85" t="e">
        <v>#N/A</v>
      </c>
      <c r="R31" s="86"/>
      <c r="S31" s="85" t="e">
        <v>#N/A</v>
      </c>
      <c r="T31" s="86"/>
    </row>
    <row r="32" spans="2:20" s="78" customFormat="1" ht="14.4" hidden="1" x14ac:dyDescent="0.3">
      <c r="B32" s="79"/>
      <c r="C32" s="80"/>
      <c r="D32" s="80"/>
      <c r="E32" s="80"/>
      <c r="F32" s="80"/>
      <c r="G32" s="80"/>
      <c r="H32" s="81" t="e">
        <v>#N/A</v>
      </c>
      <c r="I32" s="82"/>
      <c r="J32" s="83"/>
      <c r="K32" s="84" t="s">
        <v>436</v>
      </c>
      <c r="M32" s="83"/>
      <c r="N32" s="83"/>
      <c r="O32" s="85" t="e">
        <v>#N/A</v>
      </c>
      <c r="P32" s="86"/>
      <c r="Q32" s="85" t="e">
        <v>#N/A</v>
      </c>
      <c r="R32" s="86"/>
      <c r="S32" s="85" t="e">
        <v>#N/A</v>
      </c>
      <c r="T32" s="86"/>
    </row>
    <row r="33" spans="2:24" s="78" customFormat="1" ht="14.4" hidden="1" x14ac:dyDescent="0.3">
      <c r="B33" s="79"/>
      <c r="C33" s="80"/>
      <c r="D33" s="80"/>
      <c r="E33" s="80"/>
      <c r="F33" s="80"/>
      <c r="G33" s="80"/>
      <c r="H33" s="81" t="e">
        <v>#N/A</v>
      </c>
      <c r="I33" s="82"/>
      <c r="J33" s="83"/>
      <c r="K33" s="84" t="s">
        <v>436</v>
      </c>
      <c r="M33" s="83"/>
      <c r="N33" s="83"/>
      <c r="O33" s="85" t="e">
        <v>#N/A</v>
      </c>
      <c r="P33" s="86"/>
      <c r="Q33" s="85" t="e">
        <v>#N/A</v>
      </c>
      <c r="R33" s="86"/>
      <c r="S33" s="85" t="e">
        <v>#N/A</v>
      </c>
      <c r="T33" s="86"/>
    </row>
    <row r="34" spans="2:24" s="78" customFormat="1" ht="14.4" hidden="1" x14ac:dyDescent="0.3">
      <c r="B34" s="79"/>
      <c r="C34" s="80"/>
      <c r="D34" s="80"/>
      <c r="E34" s="80"/>
      <c r="F34" s="80"/>
      <c r="G34" s="80"/>
      <c r="H34" s="81"/>
      <c r="I34" s="82"/>
      <c r="J34" s="83"/>
      <c r="K34" s="84"/>
      <c r="M34" s="83"/>
      <c r="N34" s="83"/>
      <c r="O34" s="85"/>
      <c r="P34" s="86"/>
      <c r="Q34" s="85"/>
      <c r="R34" s="86"/>
      <c r="S34" s="85"/>
      <c r="T34" s="86"/>
    </row>
    <row r="35" spans="2:24" s="78" customFormat="1" ht="15" thickBot="1" x14ac:dyDescent="0.35">
      <c r="B35" s="79"/>
      <c r="C35" s="80"/>
      <c r="D35" s="80"/>
      <c r="E35" s="80"/>
      <c r="F35" s="80"/>
      <c r="G35" s="80"/>
      <c r="H35" s="81"/>
      <c r="I35" s="82"/>
      <c r="J35" s="87"/>
      <c r="K35" s="84"/>
      <c r="M35" s="83"/>
      <c r="N35" s="83"/>
      <c r="O35" s="85"/>
      <c r="P35" s="86"/>
      <c r="Q35" s="85"/>
      <c r="R35" s="86"/>
      <c r="S35" s="85"/>
      <c r="T35" s="86"/>
    </row>
    <row r="36" spans="2:24" s="79" customFormat="1" ht="15" thickBot="1" x14ac:dyDescent="0.35">
      <c r="B36" s="228" t="s">
        <v>5</v>
      </c>
      <c r="C36" s="229" t="s">
        <v>409</v>
      </c>
      <c r="D36" s="230" t="s">
        <v>410</v>
      </c>
      <c r="E36" s="230" t="s">
        <v>411</v>
      </c>
      <c r="F36" s="224" t="s">
        <v>412</v>
      </c>
      <c r="G36" s="224" t="s">
        <v>413</v>
      </c>
      <c r="H36" s="243" t="s">
        <v>414</v>
      </c>
      <c r="I36" s="243" t="s">
        <v>415</v>
      </c>
      <c r="J36" s="224" t="s">
        <v>416</v>
      </c>
      <c r="K36" s="243" t="s">
        <v>417</v>
      </c>
      <c r="L36" s="243" t="s">
        <v>418</v>
      </c>
      <c r="M36" s="246" t="s">
        <v>419</v>
      </c>
      <c r="N36" s="246"/>
      <c r="O36" s="246"/>
      <c r="P36" s="246"/>
      <c r="Q36" s="246"/>
      <c r="R36" s="246"/>
      <c r="S36" s="246"/>
      <c r="T36" s="246"/>
      <c r="U36" s="246"/>
      <c r="V36" s="246"/>
      <c r="W36" s="238" t="s">
        <v>420</v>
      </c>
      <c r="X36" s="239"/>
    </row>
    <row r="37" spans="2:24" s="79" customFormat="1" ht="27" customHeight="1" thickBot="1" x14ac:dyDescent="0.35">
      <c r="B37" s="228"/>
      <c r="C37" s="230"/>
      <c r="D37" s="230"/>
      <c r="E37" s="230"/>
      <c r="F37" s="236"/>
      <c r="G37" s="231"/>
      <c r="H37" s="244"/>
      <c r="I37" s="244"/>
      <c r="J37" s="231"/>
      <c r="K37" s="244"/>
      <c r="L37" s="244"/>
      <c r="M37" s="224" t="s">
        <v>421</v>
      </c>
      <c r="N37" s="224" t="s">
        <v>422</v>
      </c>
      <c r="O37" s="238" t="s">
        <v>423</v>
      </c>
      <c r="P37" s="242"/>
      <c r="Q37" s="242"/>
      <c r="R37" s="242"/>
      <c r="S37" s="242"/>
      <c r="T37" s="242"/>
      <c r="U37" s="242"/>
      <c r="V37" s="239"/>
      <c r="W37" s="240"/>
      <c r="X37" s="241"/>
    </row>
    <row r="38" spans="2:24" s="79" customFormat="1" ht="31.2" thickBot="1" x14ac:dyDescent="0.35">
      <c r="B38" s="228"/>
      <c r="C38" s="230"/>
      <c r="D38" s="230"/>
      <c r="E38" s="230"/>
      <c r="F38" s="237"/>
      <c r="G38" s="225"/>
      <c r="H38" s="245"/>
      <c r="I38" s="245"/>
      <c r="J38" s="225"/>
      <c r="K38" s="245"/>
      <c r="L38" s="245"/>
      <c r="M38" s="225"/>
      <c r="N38" s="237"/>
      <c r="O38" s="74" t="s">
        <v>424</v>
      </c>
      <c r="P38" s="74" t="s">
        <v>425</v>
      </c>
      <c r="Q38" s="75" t="s">
        <v>426</v>
      </c>
      <c r="R38" s="72" t="s">
        <v>427</v>
      </c>
      <c r="S38" s="72" t="s">
        <v>428</v>
      </c>
      <c r="T38" s="72" t="s">
        <v>429</v>
      </c>
      <c r="U38" s="72" t="s">
        <v>430</v>
      </c>
      <c r="V38" s="72" t="s">
        <v>431</v>
      </c>
      <c r="W38" s="72" t="s">
        <v>432</v>
      </c>
      <c r="X38" s="72" t="s">
        <v>433</v>
      </c>
    </row>
    <row r="39" spans="2:24" s="79" customFormat="1" ht="15" customHeight="1" thickBot="1" x14ac:dyDescent="0.35">
      <c r="B39" s="96" t="s">
        <v>389</v>
      </c>
      <c r="C39" s="65" t="s">
        <v>390</v>
      </c>
      <c r="D39" s="65" t="s">
        <v>391</v>
      </c>
      <c r="E39" s="65" t="s">
        <v>392</v>
      </c>
      <c r="F39" s="65" t="s">
        <v>393</v>
      </c>
      <c r="G39" s="65" t="s">
        <v>394</v>
      </c>
      <c r="H39" s="76"/>
      <c r="I39" s="71" t="s">
        <v>395</v>
      </c>
      <c r="J39" s="65" t="s">
        <v>396</v>
      </c>
      <c r="K39" s="76"/>
      <c r="L39" s="71" t="s">
        <v>397</v>
      </c>
      <c r="M39" s="65" t="s">
        <v>398</v>
      </c>
      <c r="N39" s="65" t="s">
        <v>399</v>
      </c>
      <c r="O39" s="73"/>
      <c r="P39" s="73" t="s">
        <v>400</v>
      </c>
      <c r="Q39" s="71"/>
      <c r="R39" s="71" t="s">
        <v>401</v>
      </c>
      <c r="S39" s="71"/>
      <c r="T39" s="71" t="s">
        <v>402</v>
      </c>
      <c r="U39" s="71"/>
      <c r="V39" s="71" t="s">
        <v>403</v>
      </c>
      <c r="W39" s="71" t="s">
        <v>404</v>
      </c>
      <c r="X39" s="71" t="s">
        <v>405</v>
      </c>
    </row>
    <row r="40" spans="2:24" s="88" customFormat="1" ht="10.8" thickBot="1" x14ac:dyDescent="0.35">
      <c r="B40" s="89">
        <v>1</v>
      </c>
      <c r="C40" s="90" t="s">
        <v>10</v>
      </c>
      <c r="D40" s="90">
        <v>8024957378</v>
      </c>
      <c r="E40" s="90" t="s">
        <v>434</v>
      </c>
      <c r="F40" s="90"/>
      <c r="G40" s="77"/>
      <c r="H40" s="97"/>
      <c r="I40" s="98"/>
      <c r="J40" s="77"/>
      <c r="K40" s="98"/>
      <c r="L40" s="99"/>
      <c r="M40" s="77"/>
      <c r="N40" s="77"/>
      <c r="O40" s="99"/>
      <c r="P40" s="99"/>
      <c r="Q40" s="99"/>
      <c r="R40" s="99"/>
      <c r="S40" s="99"/>
      <c r="T40" s="99"/>
      <c r="U40" s="99"/>
      <c r="V40" s="100"/>
      <c r="W40" s="77"/>
      <c r="X40" s="77"/>
    </row>
    <row r="41" spans="2:24" s="88" customFormat="1" ht="10.8" thickBot="1" x14ac:dyDescent="0.35">
      <c r="B41" s="89">
        <v>2</v>
      </c>
      <c r="C41" s="90" t="s">
        <v>15</v>
      </c>
      <c r="D41" s="90">
        <v>8130701561</v>
      </c>
      <c r="E41" s="90" t="s">
        <v>435</v>
      </c>
      <c r="F41" s="90"/>
      <c r="G41" s="77"/>
      <c r="H41" s="97"/>
      <c r="I41" s="98"/>
      <c r="J41" s="77"/>
      <c r="K41" s="98"/>
      <c r="L41" s="99"/>
      <c r="M41" s="77"/>
      <c r="N41" s="77"/>
      <c r="O41" s="99"/>
      <c r="P41" s="99"/>
      <c r="Q41" s="99"/>
      <c r="R41" s="99"/>
      <c r="S41" s="99"/>
      <c r="T41" s="99"/>
      <c r="U41" s="99"/>
      <c r="V41" s="100"/>
      <c r="W41" s="77"/>
      <c r="X41" s="77"/>
    </row>
    <row r="42" spans="2:24" s="88" customFormat="1" ht="10.8" thickBot="1" x14ac:dyDescent="0.35">
      <c r="B42" s="89">
        <v>3</v>
      </c>
      <c r="C42" s="90" t="s">
        <v>20</v>
      </c>
      <c r="D42" s="90">
        <v>8083172501</v>
      </c>
      <c r="E42" s="90" t="s">
        <v>434</v>
      </c>
      <c r="F42" s="90"/>
      <c r="G42" s="77"/>
      <c r="H42" s="97"/>
      <c r="I42" s="98"/>
      <c r="J42" s="77"/>
      <c r="K42" s="98"/>
      <c r="L42" s="99"/>
      <c r="M42" s="77"/>
      <c r="N42" s="77"/>
      <c r="O42" s="99"/>
      <c r="P42" s="99"/>
      <c r="Q42" s="99"/>
      <c r="R42" s="99"/>
      <c r="S42" s="99"/>
      <c r="T42" s="99"/>
      <c r="U42" s="99"/>
      <c r="V42" s="100"/>
      <c r="W42" s="77"/>
      <c r="X42" s="77"/>
    </row>
    <row r="43" spans="2:24" s="88" customFormat="1" ht="10.8" thickBot="1" x14ac:dyDescent="0.35">
      <c r="B43" s="89">
        <v>4</v>
      </c>
      <c r="C43" s="90" t="s">
        <v>25</v>
      </c>
      <c r="D43" s="90">
        <v>8481561673</v>
      </c>
      <c r="E43" s="90" t="s">
        <v>434</v>
      </c>
      <c r="F43" s="90"/>
      <c r="G43" s="77"/>
      <c r="H43" s="97"/>
      <c r="I43" s="98"/>
      <c r="J43" s="77"/>
      <c r="K43" s="98"/>
      <c r="L43" s="99"/>
      <c r="M43" s="77"/>
      <c r="N43" s="77"/>
      <c r="O43" s="99"/>
      <c r="P43" s="99"/>
      <c r="Q43" s="99"/>
      <c r="R43" s="99"/>
      <c r="S43" s="99"/>
      <c r="T43" s="99"/>
      <c r="U43" s="99"/>
      <c r="V43" s="100"/>
      <c r="W43" s="77"/>
      <c r="X43" s="77"/>
    </row>
    <row r="44" spans="2:24" s="88" customFormat="1" ht="10.8" thickBot="1" x14ac:dyDescent="0.35">
      <c r="B44" s="89">
        <v>5</v>
      </c>
      <c r="C44" s="90" t="s">
        <v>30</v>
      </c>
      <c r="D44" s="90">
        <v>8485445999</v>
      </c>
      <c r="E44" s="90" t="s">
        <v>434</v>
      </c>
      <c r="F44" s="90"/>
      <c r="G44" s="77"/>
      <c r="H44" s="97"/>
      <c r="I44" s="98"/>
      <c r="J44" s="77"/>
      <c r="K44" s="98"/>
      <c r="L44" s="99"/>
      <c r="M44" s="77"/>
      <c r="N44" s="77"/>
      <c r="O44" s="99"/>
      <c r="P44" s="99"/>
      <c r="Q44" s="99"/>
      <c r="R44" s="99"/>
      <c r="S44" s="99"/>
      <c r="T44" s="99"/>
      <c r="U44" s="99"/>
      <c r="V44" s="100"/>
      <c r="W44" s="77"/>
      <c r="X44" s="77"/>
    </row>
    <row r="45" spans="2:24" ht="15.75" customHeight="1" thickBot="1" x14ac:dyDescent="0.35">
      <c r="B45" s="89">
        <v>6</v>
      </c>
      <c r="C45" s="90" t="s">
        <v>33</v>
      </c>
      <c r="D45" s="90">
        <v>8111578577</v>
      </c>
      <c r="E45" s="90" t="s">
        <v>434</v>
      </c>
      <c r="F45" s="90"/>
      <c r="G45" s="77"/>
      <c r="H45" s="97"/>
      <c r="I45" s="98"/>
      <c r="J45" s="77"/>
      <c r="K45" s="98"/>
      <c r="L45" s="99"/>
      <c r="M45" s="77"/>
      <c r="N45" s="77"/>
      <c r="O45" s="99"/>
      <c r="P45" s="99"/>
      <c r="Q45" s="99"/>
      <c r="R45" s="99"/>
      <c r="S45" s="99"/>
      <c r="T45" s="99"/>
      <c r="U45" s="99"/>
      <c r="V45" s="100"/>
      <c r="W45" s="77"/>
      <c r="X45" s="77"/>
    </row>
    <row r="46" spans="2:24" ht="15.75" customHeight="1" thickBot="1" x14ac:dyDescent="0.35">
      <c r="B46" s="89">
        <v>7</v>
      </c>
      <c r="C46" s="90" t="s">
        <v>36</v>
      </c>
      <c r="D46" s="90">
        <v>8506572285</v>
      </c>
      <c r="E46" s="90" t="s">
        <v>434</v>
      </c>
      <c r="F46" s="90"/>
      <c r="G46" s="77"/>
      <c r="H46" s="97"/>
      <c r="I46" s="98"/>
      <c r="J46" s="77"/>
      <c r="K46" s="98"/>
      <c r="L46" s="99"/>
      <c r="M46" s="77"/>
      <c r="N46" s="77"/>
      <c r="O46" s="99"/>
      <c r="P46" s="99"/>
      <c r="Q46" s="99"/>
      <c r="R46" s="99"/>
      <c r="S46" s="99"/>
      <c r="T46" s="99"/>
      <c r="U46" s="99"/>
      <c r="V46" s="100"/>
      <c r="W46" s="77"/>
      <c r="X46" s="77"/>
    </row>
    <row r="47" spans="2:24" ht="15.75" customHeight="1" thickBot="1" x14ac:dyDescent="0.35">
      <c r="B47" s="89">
        <v>8</v>
      </c>
      <c r="C47" s="90" t="s">
        <v>39</v>
      </c>
      <c r="D47" s="90">
        <v>8112553180</v>
      </c>
      <c r="E47" s="90" t="s">
        <v>434</v>
      </c>
      <c r="F47" s="90"/>
      <c r="G47" s="77"/>
      <c r="H47" s="97"/>
      <c r="I47" s="98"/>
      <c r="J47" s="77"/>
      <c r="K47" s="98"/>
      <c r="L47" s="99"/>
      <c r="M47" s="77"/>
      <c r="N47" s="77"/>
      <c r="O47" s="99"/>
      <c r="P47" s="99"/>
      <c r="Q47" s="99"/>
      <c r="R47" s="99"/>
      <c r="S47" s="99"/>
      <c r="T47" s="99"/>
      <c r="U47" s="99"/>
      <c r="V47" s="100"/>
      <c r="W47" s="77"/>
      <c r="X47" s="77"/>
    </row>
    <row r="48" spans="2:24" ht="15.75" customHeight="1" thickBot="1" x14ac:dyDescent="0.35">
      <c r="B48" s="89">
        <v>9</v>
      </c>
      <c r="C48" s="90" t="s">
        <v>42</v>
      </c>
      <c r="D48" s="90">
        <v>8444465474</v>
      </c>
      <c r="E48" s="90" t="s">
        <v>434</v>
      </c>
      <c r="F48" s="90"/>
      <c r="G48" s="77"/>
      <c r="H48" s="97"/>
      <c r="I48" s="98"/>
      <c r="J48" s="77"/>
      <c r="K48" s="98"/>
      <c r="L48" s="99"/>
      <c r="M48" s="77"/>
      <c r="N48" s="77"/>
      <c r="O48" s="99"/>
      <c r="P48" s="99"/>
      <c r="Q48" s="99"/>
      <c r="R48" s="99"/>
      <c r="S48" s="99"/>
      <c r="T48" s="99"/>
      <c r="U48" s="99"/>
      <c r="V48" s="100"/>
      <c r="W48" s="77"/>
      <c r="X48" s="77"/>
    </row>
    <row r="49" spans="2:24" ht="15.75" customHeight="1" thickBot="1" x14ac:dyDescent="0.35">
      <c r="B49" s="89">
        <v>10</v>
      </c>
      <c r="C49" s="90" t="s">
        <v>45</v>
      </c>
      <c r="D49" s="90">
        <v>8024957459</v>
      </c>
      <c r="E49" s="90" t="s">
        <v>434</v>
      </c>
      <c r="F49" s="90"/>
      <c r="G49" s="77"/>
      <c r="H49" s="97"/>
      <c r="I49" s="98"/>
      <c r="J49" s="77"/>
      <c r="K49" s="98"/>
      <c r="L49" s="99"/>
      <c r="M49" s="77"/>
      <c r="N49" s="77"/>
      <c r="O49" s="99"/>
      <c r="P49" s="99"/>
      <c r="Q49" s="99"/>
      <c r="R49" s="99"/>
      <c r="S49" s="99"/>
      <c r="T49" s="99"/>
      <c r="U49" s="99"/>
      <c r="V49" s="100"/>
      <c r="W49" s="77"/>
      <c r="X49" s="77"/>
    </row>
  </sheetData>
  <mergeCells count="16">
    <mergeCell ref="W36:X37"/>
    <mergeCell ref="M37:M38"/>
    <mergeCell ref="N37:N38"/>
    <mergeCell ref="O37:V37"/>
    <mergeCell ref="H36:H38"/>
    <mergeCell ref="I36:I38"/>
    <mergeCell ref="J36:J38"/>
    <mergeCell ref="K36:K38"/>
    <mergeCell ref="L36:L38"/>
    <mergeCell ref="M36:V36"/>
    <mergeCell ref="G36:G38"/>
    <mergeCell ref="B36:B38"/>
    <mergeCell ref="C36:C38"/>
    <mergeCell ref="D36:D38"/>
    <mergeCell ref="E36:E38"/>
    <mergeCell ref="F36:F3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86042-B5A2-4509-A567-5F47340C3905}">
  <sheetPr codeName="Sheet343">
    <tabColor rgb="FFFF0000"/>
  </sheetPr>
  <dimension ref="A1:G177"/>
  <sheetViews>
    <sheetView workbookViewId="0">
      <selection activeCell="E165" sqref="E165:E177"/>
    </sheetView>
  </sheetViews>
  <sheetFormatPr defaultRowHeight="14.4" x14ac:dyDescent="0.3"/>
  <cols>
    <col min="1" max="7" width="19.33203125" customWidth="1"/>
  </cols>
  <sheetData>
    <row r="1" spans="1:7" x14ac:dyDescent="0.3">
      <c r="A1" s="53" t="s">
        <v>69</v>
      </c>
      <c r="B1" s="53" t="s">
        <v>70</v>
      </c>
      <c r="C1" s="53" t="s">
        <v>72</v>
      </c>
      <c r="D1" s="53" t="s">
        <v>71</v>
      </c>
      <c r="E1" s="53" t="s">
        <v>162</v>
      </c>
      <c r="F1" s="53" t="s">
        <v>121</v>
      </c>
      <c r="G1" s="53" t="s">
        <v>122</v>
      </c>
    </row>
    <row r="2" spans="1:7" x14ac:dyDescent="0.3">
      <c r="A2" s="42" t="s">
        <v>9</v>
      </c>
      <c r="B2" s="42" t="s">
        <v>10</v>
      </c>
      <c r="C2" s="42" t="s">
        <v>11</v>
      </c>
      <c r="D2" s="42" t="s">
        <v>438</v>
      </c>
      <c r="E2" s="42">
        <v>22</v>
      </c>
      <c r="F2" s="42">
        <v>1</v>
      </c>
      <c r="G2" s="42">
        <v>2023</v>
      </c>
    </row>
    <row r="3" spans="1:7" x14ac:dyDescent="0.3">
      <c r="A3" s="42" t="s">
        <v>14</v>
      </c>
      <c r="B3" s="42" t="s">
        <v>15</v>
      </c>
      <c r="C3" s="42" t="s">
        <v>16</v>
      </c>
      <c r="D3" s="42" t="s">
        <v>438</v>
      </c>
      <c r="E3" s="42">
        <v>22</v>
      </c>
      <c r="F3" s="42">
        <v>1</v>
      </c>
      <c r="G3" s="42">
        <v>2023</v>
      </c>
    </row>
    <row r="4" spans="1:7" x14ac:dyDescent="0.3">
      <c r="A4" s="42" t="s">
        <v>19</v>
      </c>
      <c r="B4" s="42" t="s">
        <v>20</v>
      </c>
      <c r="C4" s="42" t="s">
        <v>21</v>
      </c>
      <c r="D4" s="42" t="s">
        <v>438</v>
      </c>
      <c r="E4" s="42">
        <v>22</v>
      </c>
      <c r="F4" s="42">
        <v>1</v>
      </c>
      <c r="G4" s="42">
        <v>2023</v>
      </c>
    </row>
    <row r="5" spans="1:7" x14ac:dyDescent="0.3">
      <c r="A5" s="42" t="s">
        <v>24</v>
      </c>
      <c r="B5" s="42" t="s">
        <v>25</v>
      </c>
      <c r="C5" s="42" t="s">
        <v>26</v>
      </c>
      <c r="D5" s="42" t="s">
        <v>439</v>
      </c>
      <c r="E5" s="42">
        <v>22</v>
      </c>
      <c r="F5" s="42">
        <v>1</v>
      </c>
      <c r="G5" s="42">
        <v>2023</v>
      </c>
    </row>
    <row r="6" spans="1:7" x14ac:dyDescent="0.3">
      <c r="A6" s="42" t="s">
        <v>29</v>
      </c>
      <c r="B6" s="42" t="s">
        <v>30</v>
      </c>
      <c r="C6" s="42" t="s">
        <v>26</v>
      </c>
      <c r="D6" s="42" t="s">
        <v>439</v>
      </c>
      <c r="E6" s="42">
        <v>22</v>
      </c>
      <c r="F6" s="42">
        <v>1</v>
      </c>
      <c r="G6" s="42">
        <v>2023</v>
      </c>
    </row>
    <row r="7" spans="1:7" x14ac:dyDescent="0.3">
      <c r="A7" s="42" t="s">
        <v>32</v>
      </c>
      <c r="B7" s="42" t="s">
        <v>33</v>
      </c>
      <c r="C7" s="42" t="s">
        <v>26</v>
      </c>
      <c r="D7" s="42" t="s">
        <v>439</v>
      </c>
      <c r="E7" s="42">
        <v>22</v>
      </c>
      <c r="F7" s="42">
        <v>1</v>
      </c>
      <c r="G7" s="42">
        <v>2023</v>
      </c>
    </row>
    <row r="8" spans="1:7" x14ac:dyDescent="0.3">
      <c r="A8" s="42" t="s">
        <v>35</v>
      </c>
      <c r="B8" s="42" t="s">
        <v>36</v>
      </c>
      <c r="C8" s="42" t="s">
        <v>26</v>
      </c>
      <c r="D8" s="42" t="s">
        <v>439</v>
      </c>
      <c r="E8" s="42">
        <v>22</v>
      </c>
      <c r="F8" s="42">
        <v>1</v>
      </c>
      <c r="G8" s="42">
        <v>2023</v>
      </c>
    </row>
    <row r="9" spans="1:7" x14ac:dyDescent="0.3">
      <c r="A9" s="42" t="s">
        <v>38</v>
      </c>
      <c r="B9" s="42" t="s">
        <v>39</v>
      </c>
      <c r="C9" s="42" t="s">
        <v>26</v>
      </c>
      <c r="D9" s="42" t="s">
        <v>439</v>
      </c>
      <c r="E9" s="42">
        <v>22</v>
      </c>
      <c r="F9" s="42">
        <v>1</v>
      </c>
      <c r="G9" s="42">
        <v>2023</v>
      </c>
    </row>
    <row r="10" spans="1:7" x14ac:dyDescent="0.3">
      <c r="A10" s="42" t="s">
        <v>41</v>
      </c>
      <c r="B10" s="42" t="s">
        <v>42</v>
      </c>
      <c r="C10" s="42" t="s">
        <v>26</v>
      </c>
      <c r="D10" s="42" t="s">
        <v>439</v>
      </c>
      <c r="E10" s="42">
        <v>22</v>
      </c>
      <c r="F10" s="42">
        <v>1</v>
      </c>
      <c r="G10" s="42">
        <v>2023</v>
      </c>
    </row>
    <row r="11" spans="1:7" x14ac:dyDescent="0.3">
      <c r="A11" s="42" t="s">
        <v>44</v>
      </c>
      <c r="B11" s="42" t="s">
        <v>45</v>
      </c>
      <c r="C11" s="42" t="s">
        <v>26</v>
      </c>
      <c r="D11" s="42" t="s">
        <v>439</v>
      </c>
      <c r="E11" s="42">
        <v>22</v>
      </c>
      <c r="F11" s="42">
        <v>1</v>
      </c>
      <c r="G11" s="42">
        <v>2023</v>
      </c>
    </row>
    <row r="12" spans="1:7" x14ac:dyDescent="0.3">
      <c r="A12" s="42" t="s">
        <v>47</v>
      </c>
      <c r="B12" s="42" t="s">
        <v>48</v>
      </c>
      <c r="C12" s="42" t="s">
        <v>26</v>
      </c>
      <c r="D12" s="42" t="s">
        <v>439</v>
      </c>
      <c r="E12" s="42">
        <v>22</v>
      </c>
      <c r="F12" s="42">
        <v>1</v>
      </c>
      <c r="G12" s="42">
        <v>2023</v>
      </c>
    </row>
    <row r="13" spans="1:7" x14ac:dyDescent="0.3">
      <c r="A13" s="42" t="s">
        <v>49</v>
      </c>
      <c r="B13" s="42" t="s">
        <v>50</v>
      </c>
      <c r="C13" s="42" t="s">
        <v>26</v>
      </c>
      <c r="D13" s="42" t="s">
        <v>439</v>
      </c>
      <c r="E13" s="42">
        <v>22</v>
      </c>
      <c r="F13" s="42">
        <v>1</v>
      </c>
      <c r="G13" s="42">
        <v>2023</v>
      </c>
    </row>
    <row r="14" spans="1:7" x14ac:dyDescent="0.3">
      <c r="A14" s="42" t="s">
        <v>51</v>
      </c>
      <c r="B14" s="42" t="s">
        <v>52</v>
      </c>
      <c r="C14" s="42" t="s">
        <v>26</v>
      </c>
      <c r="D14" s="42" t="s">
        <v>439</v>
      </c>
      <c r="E14" s="42">
        <v>22</v>
      </c>
      <c r="F14" s="42">
        <v>1</v>
      </c>
      <c r="G14" s="42">
        <v>2023</v>
      </c>
    </row>
    <row r="15" spans="1:7" x14ac:dyDescent="0.3">
      <c r="A15" s="42" t="s">
        <v>53</v>
      </c>
      <c r="B15" s="42" t="s">
        <v>54</v>
      </c>
      <c r="C15" s="42" t="s">
        <v>26</v>
      </c>
      <c r="D15" s="42" t="s">
        <v>439</v>
      </c>
      <c r="E15" s="42">
        <v>22</v>
      </c>
      <c r="F15" s="42">
        <v>1</v>
      </c>
      <c r="G15" s="42">
        <v>2023</v>
      </c>
    </row>
    <row r="16" spans="1:7" x14ac:dyDescent="0.3">
      <c r="A16" s="42" t="s">
        <v>55</v>
      </c>
      <c r="B16" s="42" t="s">
        <v>56</v>
      </c>
      <c r="C16" s="42" t="s">
        <v>26</v>
      </c>
      <c r="D16" s="42" t="s">
        <v>439</v>
      </c>
      <c r="E16" s="42">
        <v>22</v>
      </c>
      <c r="F16" s="42">
        <v>1</v>
      </c>
      <c r="G16" s="42">
        <v>2023</v>
      </c>
    </row>
    <row r="17" spans="1:7" x14ac:dyDescent="0.3">
      <c r="A17" s="42" t="s">
        <v>9</v>
      </c>
      <c r="B17" s="42" t="s">
        <v>10</v>
      </c>
      <c r="C17" s="42" t="s">
        <v>11</v>
      </c>
      <c r="D17" s="42" t="s">
        <v>438</v>
      </c>
      <c r="E17" s="42">
        <v>20</v>
      </c>
      <c r="F17" s="42">
        <v>2</v>
      </c>
      <c r="G17" s="42">
        <v>2023</v>
      </c>
    </row>
    <row r="18" spans="1:7" x14ac:dyDescent="0.3">
      <c r="A18" s="42" t="s">
        <v>14</v>
      </c>
      <c r="B18" s="42" t="s">
        <v>15</v>
      </c>
      <c r="C18" s="42" t="s">
        <v>16</v>
      </c>
      <c r="D18" s="42" t="s">
        <v>438</v>
      </c>
      <c r="E18" s="42">
        <v>20</v>
      </c>
      <c r="F18" s="42">
        <v>2</v>
      </c>
      <c r="G18" s="42">
        <v>2023</v>
      </c>
    </row>
    <row r="19" spans="1:7" x14ac:dyDescent="0.3">
      <c r="A19" s="42" t="s">
        <v>19</v>
      </c>
      <c r="B19" s="42" t="s">
        <v>20</v>
      </c>
      <c r="C19" s="42" t="s">
        <v>21</v>
      </c>
      <c r="D19" s="42" t="s">
        <v>438</v>
      </c>
      <c r="E19" s="42">
        <v>20</v>
      </c>
      <c r="F19" s="42">
        <v>2</v>
      </c>
      <c r="G19" s="42">
        <v>2023</v>
      </c>
    </row>
    <row r="20" spans="1:7" x14ac:dyDescent="0.3">
      <c r="A20" s="42" t="s">
        <v>24</v>
      </c>
      <c r="B20" s="42" t="s">
        <v>25</v>
      </c>
      <c r="C20" s="42" t="s">
        <v>26</v>
      </c>
      <c r="D20" s="42" t="s">
        <v>439</v>
      </c>
      <c r="E20" s="42">
        <v>20</v>
      </c>
      <c r="F20" s="42">
        <v>2</v>
      </c>
      <c r="G20" s="42">
        <v>2023</v>
      </c>
    </row>
    <row r="21" spans="1:7" x14ac:dyDescent="0.3">
      <c r="A21" s="42" t="s">
        <v>29</v>
      </c>
      <c r="B21" s="42" t="s">
        <v>30</v>
      </c>
      <c r="C21" s="42" t="s">
        <v>26</v>
      </c>
      <c r="D21" s="42" t="s">
        <v>439</v>
      </c>
      <c r="E21" s="42">
        <v>20</v>
      </c>
      <c r="F21" s="42">
        <v>2</v>
      </c>
      <c r="G21" s="42">
        <v>2023</v>
      </c>
    </row>
    <row r="22" spans="1:7" x14ac:dyDescent="0.3">
      <c r="A22" s="42" t="s">
        <v>32</v>
      </c>
      <c r="B22" s="42" t="s">
        <v>33</v>
      </c>
      <c r="C22" s="42" t="s">
        <v>26</v>
      </c>
      <c r="D22" s="42" t="s">
        <v>439</v>
      </c>
      <c r="E22" s="42">
        <v>20</v>
      </c>
      <c r="F22" s="42">
        <v>2</v>
      </c>
      <c r="G22" s="42">
        <v>2023</v>
      </c>
    </row>
    <row r="23" spans="1:7" x14ac:dyDescent="0.3">
      <c r="A23" s="42" t="s">
        <v>35</v>
      </c>
      <c r="B23" s="42" t="s">
        <v>36</v>
      </c>
      <c r="C23" s="42" t="s">
        <v>26</v>
      </c>
      <c r="D23" s="42" t="s">
        <v>439</v>
      </c>
      <c r="E23" s="42">
        <v>20</v>
      </c>
      <c r="F23" s="42">
        <v>2</v>
      </c>
      <c r="G23" s="42">
        <v>2023</v>
      </c>
    </row>
    <row r="24" spans="1:7" x14ac:dyDescent="0.3">
      <c r="A24" s="42" t="s">
        <v>38</v>
      </c>
      <c r="B24" s="42" t="s">
        <v>39</v>
      </c>
      <c r="C24" s="42" t="s">
        <v>26</v>
      </c>
      <c r="D24" s="42" t="s">
        <v>439</v>
      </c>
      <c r="E24" s="42">
        <v>20</v>
      </c>
      <c r="F24" s="42">
        <v>2</v>
      </c>
      <c r="G24" s="42">
        <v>2023</v>
      </c>
    </row>
    <row r="25" spans="1:7" x14ac:dyDescent="0.3">
      <c r="A25" s="42" t="s">
        <v>41</v>
      </c>
      <c r="B25" s="42" t="s">
        <v>42</v>
      </c>
      <c r="C25" s="42" t="s">
        <v>26</v>
      </c>
      <c r="D25" s="42" t="s">
        <v>439</v>
      </c>
      <c r="E25" s="42">
        <v>20</v>
      </c>
      <c r="F25" s="42">
        <v>2</v>
      </c>
      <c r="G25" s="42">
        <v>2023</v>
      </c>
    </row>
    <row r="26" spans="1:7" x14ac:dyDescent="0.3">
      <c r="A26" s="42" t="s">
        <v>44</v>
      </c>
      <c r="B26" s="42" t="s">
        <v>45</v>
      </c>
      <c r="C26" s="42" t="s">
        <v>26</v>
      </c>
      <c r="D26" s="42" t="s">
        <v>439</v>
      </c>
      <c r="E26" s="42">
        <v>20</v>
      </c>
      <c r="F26" s="42">
        <v>2</v>
      </c>
      <c r="G26" s="42">
        <v>2023</v>
      </c>
    </row>
    <row r="27" spans="1:7" x14ac:dyDescent="0.3">
      <c r="A27" s="42" t="s">
        <v>47</v>
      </c>
      <c r="B27" s="42" t="s">
        <v>48</v>
      </c>
      <c r="C27" s="42" t="s">
        <v>26</v>
      </c>
      <c r="D27" s="42" t="s">
        <v>439</v>
      </c>
      <c r="E27" s="42">
        <v>20</v>
      </c>
      <c r="F27" s="42">
        <v>2</v>
      </c>
      <c r="G27" s="42">
        <v>2023</v>
      </c>
    </row>
    <row r="28" spans="1:7" x14ac:dyDescent="0.3">
      <c r="A28" s="42" t="s">
        <v>49</v>
      </c>
      <c r="B28" s="42" t="s">
        <v>50</v>
      </c>
      <c r="C28" s="42" t="s">
        <v>26</v>
      </c>
      <c r="D28" s="42" t="s">
        <v>439</v>
      </c>
      <c r="E28" s="42">
        <v>20</v>
      </c>
      <c r="F28" s="42">
        <v>2</v>
      </c>
      <c r="G28" s="42">
        <v>2023</v>
      </c>
    </row>
    <row r="29" spans="1:7" x14ac:dyDescent="0.3">
      <c r="A29" s="42" t="s">
        <v>51</v>
      </c>
      <c r="B29" s="42" t="s">
        <v>52</v>
      </c>
      <c r="C29" s="42" t="s">
        <v>26</v>
      </c>
      <c r="D29" s="42" t="s">
        <v>439</v>
      </c>
      <c r="E29" s="42">
        <v>20</v>
      </c>
      <c r="F29" s="42">
        <v>2</v>
      </c>
      <c r="G29" s="42">
        <v>2023</v>
      </c>
    </row>
    <row r="30" spans="1:7" x14ac:dyDescent="0.3">
      <c r="A30" s="42" t="s">
        <v>53</v>
      </c>
      <c r="B30" s="42" t="s">
        <v>54</v>
      </c>
      <c r="C30" s="42" t="s">
        <v>26</v>
      </c>
      <c r="D30" s="42" t="s">
        <v>439</v>
      </c>
      <c r="E30" s="42">
        <v>20</v>
      </c>
      <c r="F30" s="42">
        <v>2</v>
      </c>
      <c r="G30" s="42">
        <v>2023</v>
      </c>
    </row>
    <row r="31" spans="1:7" x14ac:dyDescent="0.3">
      <c r="A31" s="42" t="s">
        <v>55</v>
      </c>
      <c r="B31" s="42" t="s">
        <v>56</v>
      </c>
      <c r="C31" s="42" t="s">
        <v>26</v>
      </c>
      <c r="D31" s="42" t="s">
        <v>439</v>
      </c>
      <c r="E31" s="42">
        <v>20</v>
      </c>
      <c r="F31" s="42">
        <v>2</v>
      </c>
      <c r="G31" s="42">
        <v>2023</v>
      </c>
    </row>
    <row r="32" spans="1:7" x14ac:dyDescent="0.3">
      <c r="A32" s="42" t="s">
        <v>9</v>
      </c>
      <c r="B32" s="42" t="s">
        <v>10</v>
      </c>
      <c r="C32" s="42" t="s">
        <v>11</v>
      </c>
      <c r="D32" s="42" t="s">
        <v>438</v>
      </c>
      <c r="E32" s="42">
        <v>23</v>
      </c>
      <c r="F32" s="42">
        <v>3</v>
      </c>
      <c r="G32" s="42">
        <v>2023</v>
      </c>
    </row>
    <row r="33" spans="1:7" x14ac:dyDescent="0.3">
      <c r="A33" s="42" t="s">
        <v>14</v>
      </c>
      <c r="B33" s="42" t="s">
        <v>15</v>
      </c>
      <c r="C33" s="42" t="s">
        <v>16</v>
      </c>
      <c r="D33" s="42" t="s">
        <v>438</v>
      </c>
      <c r="E33" s="42">
        <v>23</v>
      </c>
      <c r="F33" s="42">
        <v>3</v>
      </c>
      <c r="G33" s="42">
        <v>2023</v>
      </c>
    </row>
    <row r="34" spans="1:7" x14ac:dyDescent="0.3">
      <c r="A34" s="42" t="s">
        <v>19</v>
      </c>
      <c r="B34" s="42" t="s">
        <v>20</v>
      </c>
      <c r="C34" s="42" t="s">
        <v>21</v>
      </c>
      <c r="D34" s="42" t="s">
        <v>438</v>
      </c>
      <c r="E34" s="42">
        <v>23</v>
      </c>
      <c r="F34" s="42">
        <v>3</v>
      </c>
      <c r="G34" s="42">
        <v>2023</v>
      </c>
    </row>
    <row r="35" spans="1:7" x14ac:dyDescent="0.3">
      <c r="A35" s="42" t="s">
        <v>24</v>
      </c>
      <c r="B35" s="42" t="s">
        <v>25</v>
      </c>
      <c r="C35" s="42" t="s">
        <v>26</v>
      </c>
      <c r="D35" s="42" t="s">
        <v>439</v>
      </c>
      <c r="E35" s="42">
        <v>23</v>
      </c>
      <c r="F35" s="42">
        <v>3</v>
      </c>
      <c r="G35" s="42">
        <v>2023</v>
      </c>
    </row>
    <row r="36" spans="1:7" x14ac:dyDescent="0.3">
      <c r="A36" s="42" t="s">
        <v>29</v>
      </c>
      <c r="B36" s="42" t="s">
        <v>30</v>
      </c>
      <c r="C36" s="42" t="s">
        <v>26</v>
      </c>
      <c r="D36" s="42" t="s">
        <v>439</v>
      </c>
      <c r="E36" s="42">
        <v>23</v>
      </c>
      <c r="F36" s="42">
        <v>3</v>
      </c>
      <c r="G36" s="42">
        <v>2023</v>
      </c>
    </row>
    <row r="37" spans="1:7" x14ac:dyDescent="0.3">
      <c r="A37" s="42" t="s">
        <v>32</v>
      </c>
      <c r="B37" s="42" t="s">
        <v>33</v>
      </c>
      <c r="C37" s="42" t="s">
        <v>26</v>
      </c>
      <c r="D37" s="42" t="s">
        <v>439</v>
      </c>
      <c r="E37" s="42">
        <v>23</v>
      </c>
      <c r="F37" s="42">
        <v>3</v>
      </c>
      <c r="G37" s="42">
        <v>2023</v>
      </c>
    </row>
    <row r="38" spans="1:7" x14ac:dyDescent="0.3">
      <c r="A38" s="42" t="s">
        <v>35</v>
      </c>
      <c r="B38" s="42" t="s">
        <v>36</v>
      </c>
      <c r="C38" s="42" t="s">
        <v>26</v>
      </c>
      <c r="D38" s="42" t="s">
        <v>439</v>
      </c>
      <c r="E38" s="42">
        <v>23</v>
      </c>
      <c r="F38" s="42">
        <v>3</v>
      </c>
      <c r="G38" s="42">
        <v>2023</v>
      </c>
    </row>
    <row r="39" spans="1:7" x14ac:dyDescent="0.3">
      <c r="A39" s="42" t="s">
        <v>38</v>
      </c>
      <c r="B39" s="42" t="s">
        <v>39</v>
      </c>
      <c r="C39" s="42" t="s">
        <v>26</v>
      </c>
      <c r="D39" s="42" t="s">
        <v>439</v>
      </c>
      <c r="E39" s="42">
        <v>23</v>
      </c>
      <c r="F39" s="42">
        <v>3</v>
      </c>
      <c r="G39" s="42">
        <v>2023</v>
      </c>
    </row>
    <row r="40" spans="1:7" x14ac:dyDescent="0.3">
      <c r="A40" s="42" t="s">
        <v>41</v>
      </c>
      <c r="B40" s="42" t="s">
        <v>42</v>
      </c>
      <c r="C40" s="42" t="s">
        <v>26</v>
      </c>
      <c r="D40" s="42" t="s">
        <v>439</v>
      </c>
      <c r="E40" s="42">
        <v>23</v>
      </c>
      <c r="F40" s="42">
        <v>3</v>
      </c>
      <c r="G40" s="42">
        <v>2023</v>
      </c>
    </row>
    <row r="41" spans="1:7" x14ac:dyDescent="0.3">
      <c r="A41" s="42" t="s">
        <v>44</v>
      </c>
      <c r="B41" s="42" t="s">
        <v>45</v>
      </c>
      <c r="C41" s="42" t="s">
        <v>26</v>
      </c>
      <c r="D41" s="42" t="s">
        <v>439</v>
      </c>
      <c r="E41" s="42">
        <v>23</v>
      </c>
      <c r="F41" s="42">
        <v>3</v>
      </c>
      <c r="G41" s="42">
        <v>2023</v>
      </c>
    </row>
    <row r="42" spans="1:7" x14ac:dyDescent="0.3">
      <c r="A42" s="42" t="s">
        <v>47</v>
      </c>
      <c r="B42" s="42" t="s">
        <v>48</v>
      </c>
      <c r="C42" s="42" t="s">
        <v>26</v>
      </c>
      <c r="D42" s="42" t="s">
        <v>439</v>
      </c>
      <c r="E42" s="42">
        <v>23</v>
      </c>
      <c r="F42" s="42">
        <v>3</v>
      </c>
      <c r="G42" s="42">
        <v>2023</v>
      </c>
    </row>
    <row r="43" spans="1:7" x14ac:dyDescent="0.3">
      <c r="A43" s="42" t="s">
        <v>49</v>
      </c>
      <c r="B43" s="42" t="s">
        <v>50</v>
      </c>
      <c r="C43" s="42" t="s">
        <v>26</v>
      </c>
      <c r="D43" s="42" t="s">
        <v>439</v>
      </c>
      <c r="E43" s="42">
        <v>23</v>
      </c>
      <c r="F43" s="42">
        <v>3</v>
      </c>
      <c r="G43" s="42">
        <v>2023</v>
      </c>
    </row>
    <row r="44" spans="1:7" x14ac:dyDescent="0.3">
      <c r="A44" s="42" t="s">
        <v>51</v>
      </c>
      <c r="B44" s="42" t="s">
        <v>52</v>
      </c>
      <c r="C44" s="42" t="s">
        <v>26</v>
      </c>
      <c r="D44" s="42" t="s">
        <v>439</v>
      </c>
      <c r="E44" s="42">
        <v>23</v>
      </c>
      <c r="F44" s="42">
        <v>3</v>
      </c>
      <c r="G44" s="42">
        <v>2023</v>
      </c>
    </row>
    <row r="45" spans="1:7" x14ac:dyDescent="0.3">
      <c r="A45" s="42" t="s">
        <v>53</v>
      </c>
      <c r="B45" s="42" t="s">
        <v>54</v>
      </c>
      <c r="C45" s="42" t="s">
        <v>26</v>
      </c>
      <c r="D45" s="42" t="s">
        <v>439</v>
      </c>
      <c r="E45" s="42">
        <v>23</v>
      </c>
      <c r="F45" s="42">
        <v>3</v>
      </c>
      <c r="G45" s="42">
        <v>2023</v>
      </c>
    </row>
    <row r="46" spans="1:7" x14ac:dyDescent="0.3">
      <c r="A46" s="42" t="s">
        <v>55</v>
      </c>
      <c r="B46" s="42" t="s">
        <v>56</v>
      </c>
      <c r="C46" s="42" t="s">
        <v>26</v>
      </c>
      <c r="D46" s="42" t="s">
        <v>439</v>
      </c>
      <c r="E46" s="42">
        <v>23</v>
      </c>
      <c r="F46" s="42">
        <v>3</v>
      </c>
      <c r="G46" s="42">
        <v>2023</v>
      </c>
    </row>
    <row r="47" spans="1:7" x14ac:dyDescent="0.3">
      <c r="A47" s="42" t="s">
        <v>9</v>
      </c>
      <c r="B47" s="42" t="s">
        <v>10</v>
      </c>
      <c r="C47" s="42" t="s">
        <v>11</v>
      </c>
      <c r="D47" s="42" t="s">
        <v>438</v>
      </c>
      <c r="E47" s="42">
        <v>20</v>
      </c>
      <c r="F47" s="42">
        <v>4</v>
      </c>
      <c r="G47" s="42">
        <v>2023</v>
      </c>
    </row>
    <row r="48" spans="1:7" x14ac:dyDescent="0.3">
      <c r="A48" s="42" t="s">
        <v>14</v>
      </c>
      <c r="B48" s="42" t="s">
        <v>15</v>
      </c>
      <c r="C48" s="42" t="s">
        <v>16</v>
      </c>
      <c r="D48" s="42" t="s">
        <v>438</v>
      </c>
      <c r="E48" s="42">
        <v>20</v>
      </c>
      <c r="F48" s="42">
        <v>4</v>
      </c>
      <c r="G48" s="42">
        <v>2023</v>
      </c>
    </row>
    <row r="49" spans="1:7" x14ac:dyDescent="0.3">
      <c r="A49" s="42" t="s">
        <v>19</v>
      </c>
      <c r="B49" s="42" t="s">
        <v>20</v>
      </c>
      <c r="C49" s="42" t="s">
        <v>21</v>
      </c>
      <c r="D49" s="42" t="s">
        <v>438</v>
      </c>
      <c r="E49" s="42">
        <v>20</v>
      </c>
      <c r="F49" s="42">
        <v>4</v>
      </c>
      <c r="G49" s="42">
        <v>2023</v>
      </c>
    </row>
    <row r="50" spans="1:7" x14ac:dyDescent="0.3">
      <c r="A50" s="42" t="s">
        <v>24</v>
      </c>
      <c r="B50" s="42" t="s">
        <v>25</v>
      </c>
      <c r="C50" s="42" t="s">
        <v>26</v>
      </c>
      <c r="D50" s="42" t="s">
        <v>439</v>
      </c>
      <c r="E50" s="42">
        <v>20</v>
      </c>
      <c r="F50" s="42">
        <v>4</v>
      </c>
      <c r="G50" s="42">
        <v>2023</v>
      </c>
    </row>
    <row r="51" spans="1:7" x14ac:dyDescent="0.3">
      <c r="A51" s="42" t="s">
        <v>29</v>
      </c>
      <c r="B51" s="42" t="s">
        <v>30</v>
      </c>
      <c r="C51" s="42" t="s">
        <v>26</v>
      </c>
      <c r="D51" s="42" t="s">
        <v>439</v>
      </c>
      <c r="E51" s="42">
        <v>20</v>
      </c>
      <c r="F51" s="42">
        <v>4</v>
      </c>
      <c r="G51" s="42">
        <v>2023</v>
      </c>
    </row>
    <row r="52" spans="1:7" x14ac:dyDescent="0.3">
      <c r="A52" s="42" t="s">
        <v>32</v>
      </c>
      <c r="B52" s="42" t="s">
        <v>33</v>
      </c>
      <c r="C52" s="42" t="s">
        <v>26</v>
      </c>
      <c r="D52" s="42" t="s">
        <v>439</v>
      </c>
      <c r="E52" s="42">
        <v>20</v>
      </c>
      <c r="F52" s="42">
        <v>4</v>
      </c>
      <c r="G52" s="42">
        <v>2023</v>
      </c>
    </row>
    <row r="53" spans="1:7" x14ac:dyDescent="0.3">
      <c r="A53" s="42" t="s">
        <v>35</v>
      </c>
      <c r="B53" s="42" t="s">
        <v>36</v>
      </c>
      <c r="C53" s="42" t="s">
        <v>26</v>
      </c>
      <c r="D53" s="42" t="s">
        <v>439</v>
      </c>
      <c r="E53" s="42">
        <v>20</v>
      </c>
      <c r="F53" s="42">
        <v>4</v>
      </c>
      <c r="G53" s="42">
        <v>2023</v>
      </c>
    </row>
    <row r="54" spans="1:7" x14ac:dyDescent="0.3">
      <c r="A54" s="42" t="s">
        <v>38</v>
      </c>
      <c r="B54" s="42" t="s">
        <v>39</v>
      </c>
      <c r="C54" s="42" t="s">
        <v>26</v>
      </c>
      <c r="D54" s="42" t="s">
        <v>439</v>
      </c>
      <c r="E54" s="42">
        <v>20</v>
      </c>
      <c r="F54" s="42">
        <v>4</v>
      </c>
      <c r="G54" s="42">
        <v>2023</v>
      </c>
    </row>
    <row r="55" spans="1:7" x14ac:dyDescent="0.3">
      <c r="A55" s="42" t="s">
        <v>41</v>
      </c>
      <c r="B55" s="42" t="s">
        <v>42</v>
      </c>
      <c r="C55" s="42" t="s">
        <v>26</v>
      </c>
      <c r="D55" s="42" t="s">
        <v>439</v>
      </c>
      <c r="E55" s="42">
        <v>20</v>
      </c>
      <c r="F55" s="42">
        <v>4</v>
      </c>
      <c r="G55" s="42">
        <v>2023</v>
      </c>
    </row>
    <row r="56" spans="1:7" x14ac:dyDescent="0.3">
      <c r="A56" s="42" t="s">
        <v>44</v>
      </c>
      <c r="B56" s="42" t="s">
        <v>45</v>
      </c>
      <c r="C56" s="42" t="s">
        <v>26</v>
      </c>
      <c r="D56" s="42" t="s">
        <v>439</v>
      </c>
      <c r="E56" s="42">
        <v>20</v>
      </c>
      <c r="F56" s="42">
        <v>4</v>
      </c>
      <c r="G56" s="42">
        <v>2023</v>
      </c>
    </row>
    <row r="57" spans="1:7" x14ac:dyDescent="0.3">
      <c r="A57" s="42" t="s">
        <v>47</v>
      </c>
      <c r="B57" s="42" t="s">
        <v>48</v>
      </c>
      <c r="C57" s="42" t="s">
        <v>26</v>
      </c>
      <c r="D57" s="42" t="s">
        <v>439</v>
      </c>
      <c r="E57" s="42">
        <v>20</v>
      </c>
      <c r="F57" s="42">
        <v>4</v>
      </c>
      <c r="G57" s="42">
        <v>2023</v>
      </c>
    </row>
    <row r="58" spans="1:7" x14ac:dyDescent="0.3">
      <c r="A58" s="42" t="s">
        <v>49</v>
      </c>
      <c r="B58" s="42" t="s">
        <v>50</v>
      </c>
      <c r="C58" s="42" t="s">
        <v>26</v>
      </c>
      <c r="D58" s="42" t="s">
        <v>439</v>
      </c>
      <c r="E58" s="42">
        <v>20</v>
      </c>
      <c r="F58" s="42">
        <v>4</v>
      </c>
      <c r="G58" s="42">
        <v>2023</v>
      </c>
    </row>
    <row r="59" spans="1:7" x14ac:dyDescent="0.3">
      <c r="A59" s="42" t="s">
        <v>51</v>
      </c>
      <c r="B59" s="42" t="s">
        <v>52</v>
      </c>
      <c r="C59" s="42" t="s">
        <v>26</v>
      </c>
      <c r="D59" s="42" t="s">
        <v>439</v>
      </c>
      <c r="E59" s="42">
        <v>20</v>
      </c>
      <c r="F59" s="42">
        <v>4</v>
      </c>
      <c r="G59" s="42">
        <v>2023</v>
      </c>
    </row>
    <row r="60" spans="1:7" x14ac:dyDescent="0.3">
      <c r="A60" s="42" t="s">
        <v>53</v>
      </c>
      <c r="B60" s="42" t="s">
        <v>54</v>
      </c>
      <c r="C60" s="42" t="s">
        <v>26</v>
      </c>
      <c r="D60" s="42" t="s">
        <v>439</v>
      </c>
      <c r="E60" s="42">
        <v>20</v>
      </c>
      <c r="F60" s="42">
        <v>4</v>
      </c>
      <c r="G60" s="42">
        <v>2023</v>
      </c>
    </row>
    <row r="61" spans="1:7" x14ac:dyDescent="0.3">
      <c r="A61" s="42" t="s">
        <v>55</v>
      </c>
      <c r="B61" s="42" t="s">
        <v>56</v>
      </c>
      <c r="C61" s="42" t="s">
        <v>26</v>
      </c>
      <c r="D61" s="42" t="s">
        <v>439</v>
      </c>
      <c r="E61" s="42">
        <v>20</v>
      </c>
      <c r="F61" s="42">
        <v>4</v>
      </c>
      <c r="G61" s="42">
        <v>2023</v>
      </c>
    </row>
    <row r="62" spans="1:7" x14ac:dyDescent="0.3">
      <c r="A62" s="42" t="s">
        <v>9</v>
      </c>
      <c r="B62" s="42" t="s">
        <v>10</v>
      </c>
      <c r="C62" s="42" t="s">
        <v>11</v>
      </c>
      <c r="D62" s="42" t="s">
        <v>438</v>
      </c>
      <c r="E62" s="42">
        <v>23</v>
      </c>
      <c r="F62" s="42">
        <v>5</v>
      </c>
      <c r="G62" s="42">
        <v>2023</v>
      </c>
    </row>
    <row r="63" spans="1:7" x14ac:dyDescent="0.3">
      <c r="A63" s="42" t="s">
        <v>14</v>
      </c>
      <c r="B63" s="42" t="s">
        <v>15</v>
      </c>
      <c r="C63" s="42" t="s">
        <v>16</v>
      </c>
      <c r="D63" s="42" t="s">
        <v>438</v>
      </c>
      <c r="E63" s="42">
        <v>23</v>
      </c>
      <c r="F63" s="42">
        <v>5</v>
      </c>
      <c r="G63" s="42">
        <v>2023</v>
      </c>
    </row>
    <row r="64" spans="1:7" x14ac:dyDescent="0.3">
      <c r="A64" s="42" t="s">
        <v>19</v>
      </c>
      <c r="B64" s="42" t="s">
        <v>20</v>
      </c>
      <c r="C64" s="42" t="s">
        <v>21</v>
      </c>
      <c r="D64" s="42" t="s">
        <v>438</v>
      </c>
      <c r="E64" s="42">
        <v>23</v>
      </c>
      <c r="F64" s="42">
        <v>5</v>
      </c>
      <c r="G64" s="42">
        <v>2023</v>
      </c>
    </row>
    <row r="65" spans="1:7" x14ac:dyDescent="0.3">
      <c r="A65" s="42" t="s">
        <v>24</v>
      </c>
      <c r="B65" s="42" t="s">
        <v>25</v>
      </c>
      <c r="C65" s="42" t="s">
        <v>26</v>
      </c>
      <c r="D65" s="42" t="s">
        <v>439</v>
      </c>
      <c r="E65" s="42">
        <v>23</v>
      </c>
      <c r="F65" s="42">
        <v>5</v>
      </c>
      <c r="G65" s="42">
        <v>2023</v>
      </c>
    </row>
    <row r="66" spans="1:7" x14ac:dyDescent="0.3">
      <c r="A66" s="42" t="s">
        <v>29</v>
      </c>
      <c r="B66" s="42" t="s">
        <v>30</v>
      </c>
      <c r="C66" s="42" t="s">
        <v>26</v>
      </c>
      <c r="D66" s="42" t="s">
        <v>439</v>
      </c>
      <c r="E66" s="42">
        <v>23</v>
      </c>
      <c r="F66" s="42">
        <v>5</v>
      </c>
      <c r="G66" s="42">
        <v>2023</v>
      </c>
    </row>
    <row r="67" spans="1:7" x14ac:dyDescent="0.3">
      <c r="A67" s="42" t="s">
        <v>32</v>
      </c>
      <c r="B67" s="42" t="s">
        <v>33</v>
      </c>
      <c r="C67" s="42" t="s">
        <v>26</v>
      </c>
      <c r="D67" s="42" t="s">
        <v>439</v>
      </c>
      <c r="E67" s="42">
        <v>23</v>
      </c>
      <c r="F67" s="42">
        <v>5</v>
      </c>
      <c r="G67" s="42">
        <v>2023</v>
      </c>
    </row>
    <row r="68" spans="1:7" x14ac:dyDescent="0.3">
      <c r="A68" s="42" t="s">
        <v>35</v>
      </c>
      <c r="B68" s="42" t="s">
        <v>36</v>
      </c>
      <c r="C68" s="42" t="s">
        <v>26</v>
      </c>
      <c r="D68" s="42" t="s">
        <v>439</v>
      </c>
      <c r="E68" s="42">
        <v>23</v>
      </c>
      <c r="F68" s="42">
        <v>5</v>
      </c>
      <c r="G68" s="42">
        <v>2023</v>
      </c>
    </row>
    <row r="69" spans="1:7" x14ac:dyDescent="0.3">
      <c r="A69" s="42" t="s">
        <v>38</v>
      </c>
      <c r="B69" s="42" t="s">
        <v>39</v>
      </c>
      <c r="C69" s="42" t="s">
        <v>26</v>
      </c>
      <c r="D69" s="42" t="s">
        <v>439</v>
      </c>
      <c r="E69" s="42">
        <v>23</v>
      </c>
      <c r="F69" s="42">
        <v>5</v>
      </c>
      <c r="G69" s="42">
        <v>2023</v>
      </c>
    </row>
    <row r="70" spans="1:7" x14ac:dyDescent="0.3">
      <c r="A70" s="42" t="s">
        <v>41</v>
      </c>
      <c r="B70" s="42" t="s">
        <v>42</v>
      </c>
      <c r="C70" s="42" t="s">
        <v>26</v>
      </c>
      <c r="D70" s="42" t="s">
        <v>439</v>
      </c>
      <c r="E70" s="42">
        <v>23</v>
      </c>
      <c r="F70" s="42">
        <v>5</v>
      </c>
      <c r="G70" s="42">
        <v>2023</v>
      </c>
    </row>
    <row r="71" spans="1:7" x14ac:dyDescent="0.3">
      <c r="A71" s="42" t="s">
        <v>44</v>
      </c>
      <c r="B71" s="42" t="s">
        <v>45</v>
      </c>
      <c r="C71" s="42" t="s">
        <v>26</v>
      </c>
      <c r="D71" s="42" t="s">
        <v>439</v>
      </c>
      <c r="E71" s="42">
        <v>23</v>
      </c>
      <c r="F71" s="42">
        <v>5</v>
      </c>
      <c r="G71" s="42">
        <v>2023</v>
      </c>
    </row>
    <row r="72" spans="1:7" x14ac:dyDescent="0.3">
      <c r="A72" s="42" t="s">
        <v>47</v>
      </c>
      <c r="B72" s="42" t="s">
        <v>48</v>
      </c>
      <c r="C72" s="42" t="s">
        <v>26</v>
      </c>
      <c r="D72" s="42" t="s">
        <v>439</v>
      </c>
      <c r="E72" s="42">
        <v>23</v>
      </c>
      <c r="F72" s="42">
        <v>5</v>
      </c>
      <c r="G72" s="42">
        <v>2023</v>
      </c>
    </row>
    <row r="73" spans="1:7" x14ac:dyDescent="0.3">
      <c r="A73" s="42" t="s">
        <v>49</v>
      </c>
      <c r="B73" s="42" t="s">
        <v>50</v>
      </c>
      <c r="C73" s="42" t="s">
        <v>26</v>
      </c>
      <c r="D73" s="42" t="s">
        <v>439</v>
      </c>
      <c r="E73" s="42">
        <v>23</v>
      </c>
      <c r="F73" s="42">
        <v>5</v>
      </c>
      <c r="G73" s="42">
        <v>2023</v>
      </c>
    </row>
    <row r="74" spans="1:7" x14ac:dyDescent="0.3">
      <c r="A74" s="42" t="s">
        <v>51</v>
      </c>
      <c r="B74" s="42" t="s">
        <v>52</v>
      </c>
      <c r="C74" s="42" t="s">
        <v>26</v>
      </c>
      <c r="D74" s="42" t="s">
        <v>439</v>
      </c>
      <c r="E74" s="42">
        <v>23</v>
      </c>
      <c r="F74" s="42">
        <v>5</v>
      </c>
      <c r="G74" s="42">
        <v>2023</v>
      </c>
    </row>
    <row r="75" spans="1:7" x14ac:dyDescent="0.3">
      <c r="A75" s="42" t="s">
        <v>53</v>
      </c>
      <c r="B75" s="42" t="s">
        <v>54</v>
      </c>
      <c r="C75" s="42" t="s">
        <v>26</v>
      </c>
      <c r="D75" s="42" t="s">
        <v>439</v>
      </c>
      <c r="E75" s="42">
        <v>23</v>
      </c>
      <c r="F75" s="42">
        <v>5</v>
      </c>
      <c r="G75" s="42">
        <v>2023</v>
      </c>
    </row>
    <row r="76" spans="1:7" x14ac:dyDescent="0.3">
      <c r="A76" s="42" t="s">
        <v>55</v>
      </c>
      <c r="B76" s="42" t="s">
        <v>56</v>
      </c>
      <c r="C76" s="42" t="s">
        <v>26</v>
      </c>
      <c r="D76" s="42" t="s">
        <v>439</v>
      </c>
      <c r="E76" s="42">
        <v>23</v>
      </c>
      <c r="F76" s="42">
        <v>5</v>
      </c>
      <c r="G76" s="42">
        <v>2023</v>
      </c>
    </row>
    <row r="77" spans="1:7" x14ac:dyDescent="0.3">
      <c r="A77" s="42" t="s">
        <v>9</v>
      </c>
      <c r="B77" s="42" t="s">
        <v>10</v>
      </c>
      <c r="C77" s="42" t="s">
        <v>11</v>
      </c>
      <c r="D77" s="42" t="s">
        <v>438</v>
      </c>
      <c r="E77" s="42">
        <v>22</v>
      </c>
      <c r="F77" s="42">
        <v>6</v>
      </c>
      <c r="G77" s="42">
        <v>2023</v>
      </c>
    </row>
    <row r="78" spans="1:7" x14ac:dyDescent="0.3">
      <c r="A78" s="42" t="s">
        <v>14</v>
      </c>
      <c r="B78" s="42" t="s">
        <v>15</v>
      </c>
      <c r="C78" s="42" t="s">
        <v>16</v>
      </c>
      <c r="D78" s="42" t="s">
        <v>438</v>
      </c>
      <c r="E78" s="42">
        <v>22</v>
      </c>
      <c r="F78" s="42">
        <v>6</v>
      </c>
      <c r="G78" s="42">
        <v>2023</v>
      </c>
    </row>
    <row r="79" spans="1:7" x14ac:dyDescent="0.3">
      <c r="A79" s="42" t="s">
        <v>19</v>
      </c>
      <c r="B79" s="42" t="s">
        <v>20</v>
      </c>
      <c r="C79" s="42" t="s">
        <v>21</v>
      </c>
      <c r="D79" s="42" t="s">
        <v>438</v>
      </c>
      <c r="E79" s="42">
        <v>22</v>
      </c>
      <c r="F79" s="42">
        <v>6</v>
      </c>
      <c r="G79" s="42">
        <v>2023</v>
      </c>
    </row>
    <row r="80" spans="1:7" x14ac:dyDescent="0.3">
      <c r="A80" s="42" t="s">
        <v>24</v>
      </c>
      <c r="B80" s="42" t="s">
        <v>25</v>
      </c>
      <c r="C80" s="42" t="s">
        <v>26</v>
      </c>
      <c r="D80" s="42" t="s">
        <v>439</v>
      </c>
      <c r="E80" s="42">
        <v>22</v>
      </c>
      <c r="F80" s="42">
        <v>6</v>
      </c>
      <c r="G80" s="42">
        <v>2023</v>
      </c>
    </row>
    <row r="81" spans="1:7" x14ac:dyDescent="0.3">
      <c r="A81" s="42" t="s">
        <v>29</v>
      </c>
      <c r="B81" s="42" t="s">
        <v>30</v>
      </c>
      <c r="C81" s="42" t="s">
        <v>26</v>
      </c>
      <c r="D81" s="42" t="s">
        <v>439</v>
      </c>
      <c r="E81" s="42">
        <v>22</v>
      </c>
      <c r="F81" s="42">
        <v>6</v>
      </c>
      <c r="G81" s="42">
        <v>2023</v>
      </c>
    </row>
    <row r="82" spans="1:7" x14ac:dyDescent="0.3">
      <c r="A82" s="42" t="s">
        <v>32</v>
      </c>
      <c r="B82" s="42" t="s">
        <v>33</v>
      </c>
      <c r="C82" s="42" t="s">
        <v>26</v>
      </c>
      <c r="D82" s="42" t="s">
        <v>439</v>
      </c>
      <c r="E82" s="42">
        <v>22</v>
      </c>
      <c r="F82" s="42">
        <v>6</v>
      </c>
      <c r="G82" s="42">
        <v>2023</v>
      </c>
    </row>
    <row r="83" spans="1:7" x14ac:dyDescent="0.3">
      <c r="A83" s="42" t="s">
        <v>35</v>
      </c>
      <c r="B83" s="42" t="s">
        <v>36</v>
      </c>
      <c r="C83" s="42" t="s">
        <v>26</v>
      </c>
      <c r="D83" s="42" t="s">
        <v>439</v>
      </c>
      <c r="E83" s="42">
        <v>22</v>
      </c>
      <c r="F83" s="42">
        <v>6</v>
      </c>
      <c r="G83" s="42">
        <v>2023</v>
      </c>
    </row>
    <row r="84" spans="1:7" x14ac:dyDescent="0.3">
      <c r="A84" s="42" t="s">
        <v>38</v>
      </c>
      <c r="B84" s="42" t="s">
        <v>39</v>
      </c>
      <c r="C84" s="42" t="s">
        <v>26</v>
      </c>
      <c r="D84" s="42" t="s">
        <v>439</v>
      </c>
      <c r="E84" s="42">
        <v>22</v>
      </c>
      <c r="F84" s="42">
        <v>6</v>
      </c>
      <c r="G84" s="42">
        <v>2023</v>
      </c>
    </row>
    <row r="85" spans="1:7" x14ac:dyDescent="0.3">
      <c r="A85" s="42" t="s">
        <v>41</v>
      </c>
      <c r="B85" s="42" t="s">
        <v>42</v>
      </c>
      <c r="C85" s="42" t="s">
        <v>26</v>
      </c>
      <c r="D85" s="42" t="s">
        <v>439</v>
      </c>
      <c r="E85" s="42">
        <v>22</v>
      </c>
      <c r="F85" s="42">
        <v>6</v>
      </c>
      <c r="G85" s="42">
        <v>2023</v>
      </c>
    </row>
    <row r="86" spans="1:7" x14ac:dyDescent="0.3">
      <c r="A86" s="42" t="s">
        <v>44</v>
      </c>
      <c r="B86" s="42" t="s">
        <v>45</v>
      </c>
      <c r="C86" s="42" t="s">
        <v>26</v>
      </c>
      <c r="D86" s="42" t="s">
        <v>439</v>
      </c>
      <c r="E86" s="42">
        <v>22</v>
      </c>
      <c r="F86" s="42">
        <v>6</v>
      </c>
      <c r="G86" s="42">
        <v>2023</v>
      </c>
    </row>
    <row r="87" spans="1:7" x14ac:dyDescent="0.3">
      <c r="A87" s="42" t="s">
        <v>47</v>
      </c>
      <c r="B87" s="42" t="s">
        <v>48</v>
      </c>
      <c r="C87" s="42" t="s">
        <v>26</v>
      </c>
      <c r="D87" s="42" t="s">
        <v>439</v>
      </c>
      <c r="E87" s="42">
        <v>22</v>
      </c>
      <c r="F87" s="42">
        <v>6</v>
      </c>
      <c r="G87" s="42">
        <v>2023</v>
      </c>
    </row>
    <row r="88" spans="1:7" x14ac:dyDescent="0.3">
      <c r="A88" s="42" t="s">
        <v>49</v>
      </c>
      <c r="B88" s="42" t="s">
        <v>50</v>
      </c>
      <c r="C88" s="42" t="s">
        <v>26</v>
      </c>
      <c r="D88" s="42" t="s">
        <v>439</v>
      </c>
      <c r="E88" s="42">
        <v>22</v>
      </c>
      <c r="F88" s="42">
        <v>6</v>
      </c>
      <c r="G88" s="42">
        <v>2023</v>
      </c>
    </row>
    <row r="89" spans="1:7" x14ac:dyDescent="0.3">
      <c r="A89" s="42" t="s">
        <v>51</v>
      </c>
      <c r="B89" s="42" t="s">
        <v>52</v>
      </c>
      <c r="C89" s="42" t="s">
        <v>26</v>
      </c>
      <c r="D89" s="42" t="s">
        <v>439</v>
      </c>
      <c r="E89" s="42">
        <v>22</v>
      </c>
      <c r="F89" s="42">
        <v>6</v>
      </c>
      <c r="G89" s="42">
        <v>2023</v>
      </c>
    </row>
    <row r="90" spans="1:7" x14ac:dyDescent="0.3">
      <c r="A90" s="42" t="s">
        <v>53</v>
      </c>
      <c r="B90" s="42" t="s">
        <v>54</v>
      </c>
      <c r="C90" s="42" t="s">
        <v>26</v>
      </c>
      <c r="D90" s="42" t="s">
        <v>439</v>
      </c>
      <c r="E90" s="42">
        <v>22</v>
      </c>
      <c r="F90" s="42">
        <v>6</v>
      </c>
      <c r="G90" s="42">
        <v>2023</v>
      </c>
    </row>
    <row r="91" spans="1:7" x14ac:dyDescent="0.3">
      <c r="A91" s="42" t="s">
        <v>55</v>
      </c>
      <c r="B91" s="42" t="s">
        <v>56</v>
      </c>
      <c r="C91" s="42" t="s">
        <v>26</v>
      </c>
      <c r="D91" s="42" t="s">
        <v>439</v>
      </c>
      <c r="E91" s="42">
        <v>22</v>
      </c>
      <c r="F91" s="42">
        <v>6</v>
      </c>
      <c r="G91" s="42">
        <v>2023</v>
      </c>
    </row>
    <row r="92" spans="1:7" x14ac:dyDescent="0.3">
      <c r="A92" s="42" t="s">
        <v>9</v>
      </c>
      <c r="B92" s="42" t="s">
        <v>10</v>
      </c>
      <c r="C92" s="42" t="s">
        <v>11</v>
      </c>
      <c r="D92" s="42" t="s">
        <v>438</v>
      </c>
      <c r="E92" s="42">
        <v>21</v>
      </c>
      <c r="F92" s="42">
        <v>7</v>
      </c>
      <c r="G92" s="42">
        <v>2023</v>
      </c>
    </row>
    <row r="93" spans="1:7" x14ac:dyDescent="0.3">
      <c r="A93" s="42" t="s">
        <v>14</v>
      </c>
      <c r="B93" s="42" t="s">
        <v>15</v>
      </c>
      <c r="C93" s="42" t="s">
        <v>16</v>
      </c>
      <c r="D93" s="42" t="s">
        <v>438</v>
      </c>
      <c r="E93" s="42">
        <v>21</v>
      </c>
      <c r="F93" s="42">
        <v>7</v>
      </c>
      <c r="G93" s="42">
        <v>2023</v>
      </c>
    </row>
    <row r="94" spans="1:7" x14ac:dyDescent="0.3">
      <c r="A94" s="42" t="s">
        <v>19</v>
      </c>
      <c r="B94" s="42" t="s">
        <v>20</v>
      </c>
      <c r="C94" s="42" t="s">
        <v>21</v>
      </c>
      <c r="D94" s="42" t="s">
        <v>438</v>
      </c>
      <c r="E94" s="42">
        <v>21</v>
      </c>
      <c r="F94" s="42">
        <v>7</v>
      </c>
      <c r="G94" s="42">
        <v>2023</v>
      </c>
    </row>
    <row r="95" spans="1:7" x14ac:dyDescent="0.3">
      <c r="A95" s="42" t="s">
        <v>24</v>
      </c>
      <c r="B95" s="42" t="s">
        <v>25</v>
      </c>
      <c r="C95" s="42" t="s">
        <v>26</v>
      </c>
      <c r="D95" s="42" t="s">
        <v>439</v>
      </c>
      <c r="E95" s="42">
        <v>21</v>
      </c>
      <c r="F95" s="42">
        <v>7</v>
      </c>
      <c r="G95" s="42">
        <v>2023</v>
      </c>
    </row>
    <row r="96" spans="1:7" x14ac:dyDescent="0.3">
      <c r="A96" s="42" t="s">
        <v>29</v>
      </c>
      <c r="B96" s="42" t="s">
        <v>30</v>
      </c>
      <c r="C96" s="42" t="s">
        <v>26</v>
      </c>
      <c r="D96" s="42" t="s">
        <v>439</v>
      </c>
      <c r="E96" s="42">
        <v>21</v>
      </c>
      <c r="F96" s="42">
        <v>7</v>
      </c>
      <c r="G96" s="42">
        <v>2023</v>
      </c>
    </row>
    <row r="97" spans="1:7" x14ac:dyDescent="0.3">
      <c r="A97" s="42" t="s">
        <v>32</v>
      </c>
      <c r="B97" s="42" t="s">
        <v>33</v>
      </c>
      <c r="C97" s="42" t="s">
        <v>26</v>
      </c>
      <c r="D97" s="42" t="s">
        <v>439</v>
      </c>
      <c r="E97" s="42">
        <v>21</v>
      </c>
      <c r="F97" s="42">
        <v>7</v>
      </c>
      <c r="G97" s="42">
        <v>2023</v>
      </c>
    </row>
    <row r="98" spans="1:7" x14ac:dyDescent="0.3">
      <c r="A98" s="42" t="s">
        <v>35</v>
      </c>
      <c r="B98" s="42" t="s">
        <v>36</v>
      </c>
      <c r="C98" s="42" t="s">
        <v>26</v>
      </c>
      <c r="D98" s="42" t="s">
        <v>439</v>
      </c>
      <c r="E98" s="42">
        <v>21</v>
      </c>
      <c r="F98" s="42">
        <v>7</v>
      </c>
      <c r="G98" s="42">
        <v>2023</v>
      </c>
    </row>
    <row r="99" spans="1:7" x14ac:dyDescent="0.3">
      <c r="A99" s="42" t="s">
        <v>38</v>
      </c>
      <c r="B99" s="42" t="s">
        <v>39</v>
      </c>
      <c r="C99" s="42" t="s">
        <v>26</v>
      </c>
      <c r="D99" s="42" t="s">
        <v>439</v>
      </c>
      <c r="E99" s="42">
        <v>21</v>
      </c>
      <c r="F99" s="42">
        <v>7</v>
      </c>
      <c r="G99" s="42">
        <v>2023</v>
      </c>
    </row>
    <row r="100" spans="1:7" x14ac:dyDescent="0.3">
      <c r="A100" s="42" t="s">
        <v>41</v>
      </c>
      <c r="B100" s="42" t="s">
        <v>42</v>
      </c>
      <c r="C100" s="42" t="s">
        <v>26</v>
      </c>
      <c r="D100" s="42" t="s">
        <v>439</v>
      </c>
      <c r="E100" s="42">
        <v>21</v>
      </c>
      <c r="F100" s="42">
        <v>7</v>
      </c>
      <c r="G100" s="42">
        <v>2023</v>
      </c>
    </row>
    <row r="101" spans="1:7" x14ac:dyDescent="0.3">
      <c r="A101" s="42" t="s">
        <v>44</v>
      </c>
      <c r="B101" s="42" t="s">
        <v>45</v>
      </c>
      <c r="C101" s="42" t="s">
        <v>26</v>
      </c>
      <c r="D101" s="42" t="s">
        <v>439</v>
      </c>
      <c r="E101" s="42">
        <v>21</v>
      </c>
      <c r="F101" s="42">
        <v>7</v>
      </c>
      <c r="G101" s="42">
        <v>2023</v>
      </c>
    </row>
    <row r="102" spans="1:7" x14ac:dyDescent="0.3">
      <c r="A102" s="42" t="s">
        <v>47</v>
      </c>
      <c r="B102" s="42" t="s">
        <v>48</v>
      </c>
      <c r="C102" s="42" t="s">
        <v>26</v>
      </c>
      <c r="D102" s="42" t="s">
        <v>439</v>
      </c>
      <c r="E102" s="42">
        <v>21</v>
      </c>
      <c r="F102" s="42">
        <v>7</v>
      </c>
      <c r="G102" s="42">
        <v>2023</v>
      </c>
    </row>
    <row r="103" spans="1:7" x14ac:dyDescent="0.3">
      <c r="A103" s="42" t="s">
        <v>49</v>
      </c>
      <c r="B103" s="42" t="s">
        <v>50</v>
      </c>
      <c r="C103" s="42" t="s">
        <v>26</v>
      </c>
      <c r="D103" s="42" t="s">
        <v>439</v>
      </c>
      <c r="E103" s="42">
        <v>21</v>
      </c>
      <c r="F103" s="42">
        <v>7</v>
      </c>
      <c r="G103" s="42">
        <v>2023</v>
      </c>
    </row>
    <row r="104" spans="1:7" x14ac:dyDescent="0.3">
      <c r="A104" s="42" t="s">
        <v>51</v>
      </c>
      <c r="B104" s="42" t="s">
        <v>52</v>
      </c>
      <c r="C104" s="42" t="s">
        <v>26</v>
      </c>
      <c r="D104" s="42" t="s">
        <v>439</v>
      </c>
      <c r="E104" s="42">
        <v>21</v>
      </c>
      <c r="F104" s="42">
        <v>7</v>
      </c>
      <c r="G104" s="42">
        <v>2023</v>
      </c>
    </row>
    <row r="105" spans="1:7" x14ac:dyDescent="0.3">
      <c r="A105" s="42" t="s">
        <v>53</v>
      </c>
      <c r="B105" s="42" t="s">
        <v>54</v>
      </c>
      <c r="C105" s="42" t="s">
        <v>26</v>
      </c>
      <c r="D105" s="42" t="s">
        <v>439</v>
      </c>
      <c r="E105" s="42">
        <v>21</v>
      </c>
      <c r="F105" s="42">
        <v>7</v>
      </c>
      <c r="G105" s="42">
        <v>2023</v>
      </c>
    </row>
    <row r="106" spans="1:7" x14ac:dyDescent="0.3">
      <c r="A106" s="42" t="s">
        <v>55</v>
      </c>
      <c r="B106" s="42" t="s">
        <v>56</v>
      </c>
      <c r="C106" s="42" t="s">
        <v>26</v>
      </c>
      <c r="D106" s="42" t="s">
        <v>439</v>
      </c>
      <c r="E106" s="42">
        <v>21</v>
      </c>
      <c r="F106" s="42">
        <v>7</v>
      </c>
      <c r="G106" s="42">
        <v>2023</v>
      </c>
    </row>
    <row r="107" spans="1:7" x14ac:dyDescent="0.3">
      <c r="A107" s="42" t="s">
        <v>9</v>
      </c>
      <c r="B107" s="42" t="s">
        <v>10</v>
      </c>
      <c r="C107" s="42" t="s">
        <v>11</v>
      </c>
      <c r="D107" s="42" t="s">
        <v>438</v>
      </c>
      <c r="E107" s="42">
        <v>23</v>
      </c>
      <c r="F107" s="42">
        <v>8</v>
      </c>
      <c r="G107" s="42">
        <v>2023</v>
      </c>
    </row>
    <row r="108" spans="1:7" x14ac:dyDescent="0.3">
      <c r="A108" s="42" t="s">
        <v>14</v>
      </c>
      <c r="B108" s="42" t="s">
        <v>15</v>
      </c>
      <c r="C108" s="42" t="s">
        <v>16</v>
      </c>
      <c r="D108" s="42" t="s">
        <v>438</v>
      </c>
      <c r="E108" s="42">
        <v>23</v>
      </c>
      <c r="F108" s="42">
        <v>8</v>
      </c>
      <c r="G108" s="42">
        <v>2023</v>
      </c>
    </row>
    <row r="109" spans="1:7" x14ac:dyDescent="0.3">
      <c r="A109" s="42" t="s">
        <v>19</v>
      </c>
      <c r="B109" s="42" t="s">
        <v>20</v>
      </c>
      <c r="C109" s="42" t="s">
        <v>21</v>
      </c>
      <c r="D109" s="42" t="s">
        <v>438</v>
      </c>
      <c r="E109" s="42">
        <v>23</v>
      </c>
      <c r="F109" s="42">
        <v>8</v>
      </c>
      <c r="G109" s="42">
        <v>2023</v>
      </c>
    </row>
    <row r="110" spans="1:7" x14ac:dyDescent="0.3">
      <c r="A110" s="42" t="s">
        <v>24</v>
      </c>
      <c r="B110" s="42" t="s">
        <v>25</v>
      </c>
      <c r="C110" s="42" t="s">
        <v>26</v>
      </c>
      <c r="D110" s="42" t="s">
        <v>439</v>
      </c>
      <c r="E110" s="42">
        <v>23</v>
      </c>
      <c r="F110" s="42">
        <v>8</v>
      </c>
      <c r="G110" s="42">
        <v>2023</v>
      </c>
    </row>
    <row r="111" spans="1:7" x14ac:dyDescent="0.3">
      <c r="A111" s="42" t="s">
        <v>29</v>
      </c>
      <c r="B111" s="42" t="s">
        <v>30</v>
      </c>
      <c r="C111" s="42" t="s">
        <v>26</v>
      </c>
      <c r="D111" s="42" t="s">
        <v>439</v>
      </c>
      <c r="E111" s="42">
        <v>23</v>
      </c>
      <c r="F111" s="42">
        <v>8</v>
      </c>
      <c r="G111" s="42">
        <v>2023</v>
      </c>
    </row>
    <row r="112" spans="1:7" x14ac:dyDescent="0.3">
      <c r="A112" s="42" t="s">
        <v>32</v>
      </c>
      <c r="B112" s="42" t="s">
        <v>33</v>
      </c>
      <c r="C112" s="42" t="s">
        <v>26</v>
      </c>
      <c r="D112" s="42" t="s">
        <v>439</v>
      </c>
      <c r="E112" s="42">
        <v>23</v>
      </c>
      <c r="F112" s="42">
        <v>8</v>
      </c>
      <c r="G112" s="42">
        <v>2023</v>
      </c>
    </row>
    <row r="113" spans="1:7" x14ac:dyDescent="0.3">
      <c r="A113" s="42" t="s">
        <v>35</v>
      </c>
      <c r="B113" s="42" t="s">
        <v>36</v>
      </c>
      <c r="C113" s="42" t="s">
        <v>26</v>
      </c>
      <c r="D113" s="42" t="s">
        <v>439</v>
      </c>
      <c r="E113" s="42">
        <v>23</v>
      </c>
      <c r="F113" s="42">
        <v>8</v>
      </c>
      <c r="G113" s="42">
        <v>2023</v>
      </c>
    </row>
    <row r="114" spans="1:7" x14ac:dyDescent="0.3">
      <c r="A114" s="42" t="s">
        <v>38</v>
      </c>
      <c r="B114" s="42" t="s">
        <v>39</v>
      </c>
      <c r="C114" s="42" t="s">
        <v>26</v>
      </c>
      <c r="D114" s="42" t="s">
        <v>439</v>
      </c>
      <c r="E114" s="42">
        <v>23</v>
      </c>
      <c r="F114" s="42">
        <v>8</v>
      </c>
      <c r="G114" s="42">
        <v>2023</v>
      </c>
    </row>
    <row r="115" spans="1:7" x14ac:dyDescent="0.3">
      <c r="A115" s="42" t="s">
        <v>41</v>
      </c>
      <c r="B115" s="42" t="s">
        <v>42</v>
      </c>
      <c r="C115" s="42" t="s">
        <v>26</v>
      </c>
      <c r="D115" s="42" t="s">
        <v>439</v>
      </c>
      <c r="E115" s="42">
        <v>23</v>
      </c>
      <c r="F115" s="42">
        <v>8</v>
      </c>
      <c r="G115" s="42">
        <v>2023</v>
      </c>
    </row>
    <row r="116" spans="1:7" x14ac:dyDescent="0.3">
      <c r="A116" s="42" t="s">
        <v>44</v>
      </c>
      <c r="B116" s="42" t="s">
        <v>45</v>
      </c>
      <c r="C116" s="42" t="s">
        <v>26</v>
      </c>
      <c r="D116" s="42" t="s">
        <v>439</v>
      </c>
      <c r="E116" s="42">
        <v>23</v>
      </c>
      <c r="F116" s="42">
        <v>8</v>
      </c>
      <c r="G116" s="42">
        <v>2023</v>
      </c>
    </row>
    <row r="117" spans="1:7" x14ac:dyDescent="0.3">
      <c r="A117" s="42" t="s">
        <v>47</v>
      </c>
      <c r="B117" s="42" t="s">
        <v>48</v>
      </c>
      <c r="C117" s="42" t="s">
        <v>26</v>
      </c>
      <c r="D117" s="42" t="s">
        <v>439</v>
      </c>
      <c r="E117" s="42">
        <v>23</v>
      </c>
      <c r="F117" s="42">
        <v>8</v>
      </c>
      <c r="G117" s="42">
        <v>2023</v>
      </c>
    </row>
    <row r="118" spans="1:7" x14ac:dyDescent="0.3">
      <c r="A118" s="42" t="s">
        <v>49</v>
      </c>
      <c r="B118" s="42" t="s">
        <v>50</v>
      </c>
      <c r="C118" s="42" t="s">
        <v>26</v>
      </c>
      <c r="D118" s="42" t="s">
        <v>439</v>
      </c>
      <c r="E118" s="42">
        <v>23</v>
      </c>
      <c r="F118" s="42">
        <v>8</v>
      </c>
      <c r="G118" s="42">
        <v>2023</v>
      </c>
    </row>
    <row r="119" spans="1:7" x14ac:dyDescent="0.3">
      <c r="A119" s="42" t="s">
        <v>51</v>
      </c>
      <c r="B119" s="42" t="s">
        <v>52</v>
      </c>
      <c r="C119" s="42" t="s">
        <v>26</v>
      </c>
      <c r="D119" s="42" t="s">
        <v>439</v>
      </c>
      <c r="E119" s="42">
        <v>23</v>
      </c>
      <c r="F119" s="42">
        <v>8</v>
      </c>
      <c r="G119" s="42">
        <v>2023</v>
      </c>
    </row>
    <row r="120" spans="1:7" x14ac:dyDescent="0.3">
      <c r="A120" s="42" t="s">
        <v>53</v>
      </c>
      <c r="B120" s="42" t="s">
        <v>54</v>
      </c>
      <c r="C120" s="42" t="s">
        <v>26</v>
      </c>
      <c r="D120" s="42" t="s">
        <v>439</v>
      </c>
      <c r="E120" s="42">
        <v>23</v>
      </c>
      <c r="F120" s="42">
        <v>8</v>
      </c>
      <c r="G120" s="42">
        <v>2023</v>
      </c>
    </row>
    <row r="121" spans="1:7" x14ac:dyDescent="0.3">
      <c r="A121" s="42" t="s">
        <v>55</v>
      </c>
      <c r="B121" s="42" t="s">
        <v>56</v>
      </c>
      <c r="C121" s="42" t="s">
        <v>26</v>
      </c>
      <c r="D121" s="42" t="s">
        <v>439</v>
      </c>
      <c r="E121" s="42">
        <v>23</v>
      </c>
      <c r="F121" s="42">
        <v>8</v>
      </c>
      <c r="G121" s="42">
        <v>2023</v>
      </c>
    </row>
    <row r="122" spans="1:7" x14ac:dyDescent="0.3">
      <c r="A122" s="42" t="s">
        <v>9</v>
      </c>
      <c r="B122" s="42" t="s">
        <v>10</v>
      </c>
      <c r="C122" s="42" t="s">
        <v>11</v>
      </c>
      <c r="D122" s="42" t="s">
        <v>438</v>
      </c>
      <c r="E122" s="42">
        <v>21</v>
      </c>
      <c r="F122" s="42">
        <v>9</v>
      </c>
      <c r="G122" s="42">
        <v>2023</v>
      </c>
    </row>
    <row r="123" spans="1:7" x14ac:dyDescent="0.3">
      <c r="A123" s="42" t="s">
        <v>14</v>
      </c>
      <c r="B123" s="42" t="s">
        <v>15</v>
      </c>
      <c r="C123" s="42" t="s">
        <v>16</v>
      </c>
      <c r="D123" s="42" t="s">
        <v>438</v>
      </c>
      <c r="E123" s="42">
        <v>21</v>
      </c>
      <c r="F123" s="42">
        <v>9</v>
      </c>
      <c r="G123" s="42">
        <v>2023</v>
      </c>
    </row>
    <row r="124" spans="1:7" x14ac:dyDescent="0.3">
      <c r="A124" s="42" t="s">
        <v>19</v>
      </c>
      <c r="B124" s="42" t="s">
        <v>20</v>
      </c>
      <c r="C124" s="42" t="s">
        <v>21</v>
      </c>
      <c r="D124" s="42" t="s">
        <v>438</v>
      </c>
      <c r="E124" s="42">
        <v>21</v>
      </c>
      <c r="F124" s="42">
        <v>9</v>
      </c>
      <c r="G124" s="42">
        <v>2023</v>
      </c>
    </row>
    <row r="125" spans="1:7" x14ac:dyDescent="0.3">
      <c r="A125" s="42" t="s">
        <v>24</v>
      </c>
      <c r="B125" s="42" t="s">
        <v>25</v>
      </c>
      <c r="C125" s="42" t="s">
        <v>26</v>
      </c>
      <c r="D125" s="42" t="s">
        <v>439</v>
      </c>
      <c r="E125" s="42">
        <v>21</v>
      </c>
      <c r="F125" s="42">
        <v>9</v>
      </c>
      <c r="G125" s="42">
        <v>2023</v>
      </c>
    </row>
    <row r="126" spans="1:7" x14ac:dyDescent="0.3">
      <c r="A126" s="42" t="s">
        <v>29</v>
      </c>
      <c r="B126" s="42" t="s">
        <v>30</v>
      </c>
      <c r="C126" s="42" t="s">
        <v>26</v>
      </c>
      <c r="D126" s="42" t="s">
        <v>439</v>
      </c>
      <c r="E126" s="42">
        <v>21</v>
      </c>
      <c r="F126" s="42">
        <v>9</v>
      </c>
      <c r="G126" s="42">
        <v>2023</v>
      </c>
    </row>
    <row r="127" spans="1:7" x14ac:dyDescent="0.3">
      <c r="A127" s="42" t="s">
        <v>32</v>
      </c>
      <c r="B127" s="42" t="s">
        <v>33</v>
      </c>
      <c r="C127" s="42" t="s">
        <v>26</v>
      </c>
      <c r="D127" s="42" t="s">
        <v>439</v>
      </c>
      <c r="E127" s="42">
        <v>21</v>
      </c>
      <c r="F127" s="42">
        <v>9</v>
      </c>
      <c r="G127" s="42">
        <v>2023</v>
      </c>
    </row>
    <row r="128" spans="1:7" x14ac:dyDescent="0.3">
      <c r="A128" s="42" t="s">
        <v>35</v>
      </c>
      <c r="B128" s="42" t="s">
        <v>36</v>
      </c>
      <c r="C128" s="42" t="s">
        <v>26</v>
      </c>
      <c r="D128" s="42" t="s">
        <v>439</v>
      </c>
      <c r="E128" s="42">
        <v>21</v>
      </c>
      <c r="F128" s="42">
        <v>9</v>
      </c>
      <c r="G128" s="42">
        <v>2023</v>
      </c>
    </row>
    <row r="129" spans="1:7" x14ac:dyDescent="0.3">
      <c r="A129" s="42" t="s">
        <v>38</v>
      </c>
      <c r="B129" s="42" t="s">
        <v>39</v>
      </c>
      <c r="C129" s="42" t="s">
        <v>26</v>
      </c>
      <c r="D129" s="42" t="s">
        <v>439</v>
      </c>
      <c r="E129" s="42">
        <v>21</v>
      </c>
      <c r="F129" s="42">
        <v>9</v>
      </c>
      <c r="G129" s="42">
        <v>2023</v>
      </c>
    </row>
    <row r="130" spans="1:7" x14ac:dyDescent="0.3">
      <c r="A130" s="42" t="s">
        <v>41</v>
      </c>
      <c r="B130" s="42" t="s">
        <v>42</v>
      </c>
      <c r="C130" s="42" t="s">
        <v>26</v>
      </c>
      <c r="D130" s="42" t="s">
        <v>439</v>
      </c>
      <c r="E130" s="42">
        <v>21</v>
      </c>
      <c r="F130" s="42">
        <v>9</v>
      </c>
      <c r="G130" s="42">
        <v>2023</v>
      </c>
    </row>
    <row r="131" spans="1:7" x14ac:dyDescent="0.3">
      <c r="A131" s="42" t="s">
        <v>44</v>
      </c>
      <c r="B131" s="42" t="s">
        <v>45</v>
      </c>
      <c r="C131" s="42" t="s">
        <v>26</v>
      </c>
      <c r="D131" s="42" t="s">
        <v>439</v>
      </c>
      <c r="E131" s="42">
        <v>21</v>
      </c>
      <c r="F131" s="42">
        <v>9</v>
      </c>
      <c r="G131" s="42">
        <v>2023</v>
      </c>
    </row>
    <row r="132" spans="1:7" x14ac:dyDescent="0.3">
      <c r="A132" s="42" t="s">
        <v>47</v>
      </c>
      <c r="B132" s="42" t="s">
        <v>48</v>
      </c>
      <c r="C132" s="42" t="s">
        <v>26</v>
      </c>
      <c r="D132" s="42" t="s">
        <v>439</v>
      </c>
      <c r="E132" s="42">
        <v>21</v>
      </c>
      <c r="F132" s="42">
        <v>9</v>
      </c>
      <c r="G132" s="42">
        <v>2023</v>
      </c>
    </row>
    <row r="133" spans="1:7" x14ac:dyDescent="0.3">
      <c r="A133" s="42" t="s">
        <v>49</v>
      </c>
      <c r="B133" s="42" t="s">
        <v>50</v>
      </c>
      <c r="C133" s="42" t="s">
        <v>26</v>
      </c>
      <c r="D133" s="42" t="s">
        <v>439</v>
      </c>
      <c r="E133" s="42">
        <v>21</v>
      </c>
      <c r="F133" s="42">
        <v>9</v>
      </c>
      <c r="G133" s="42">
        <v>2023</v>
      </c>
    </row>
    <row r="134" spans="1:7" x14ac:dyDescent="0.3">
      <c r="A134" s="42" t="s">
        <v>51</v>
      </c>
      <c r="B134" s="42" t="s">
        <v>52</v>
      </c>
      <c r="C134" s="42" t="s">
        <v>26</v>
      </c>
      <c r="D134" s="42" t="s">
        <v>439</v>
      </c>
      <c r="E134" s="42">
        <v>21</v>
      </c>
      <c r="F134" s="42">
        <v>9</v>
      </c>
      <c r="G134" s="42">
        <v>2023</v>
      </c>
    </row>
    <row r="135" spans="1:7" x14ac:dyDescent="0.3">
      <c r="A135" s="42" t="s">
        <v>53</v>
      </c>
      <c r="B135" s="42" t="s">
        <v>54</v>
      </c>
      <c r="C135" s="42" t="s">
        <v>26</v>
      </c>
      <c r="D135" s="42" t="s">
        <v>439</v>
      </c>
      <c r="E135" s="42">
        <v>21</v>
      </c>
      <c r="F135" s="42">
        <v>9</v>
      </c>
      <c r="G135" s="42">
        <v>2023</v>
      </c>
    </row>
    <row r="136" spans="1:7" x14ac:dyDescent="0.3">
      <c r="A136" s="42" t="s">
        <v>55</v>
      </c>
      <c r="B136" s="42" t="s">
        <v>56</v>
      </c>
      <c r="C136" s="42" t="s">
        <v>26</v>
      </c>
      <c r="D136" s="42" t="s">
        <v>439</v>
      </c>
      <c r="E136" s="42">
        <v>21</v>
      </c>
      <c r="F136" s="42">
        <v>9</v>
      </c>
      <c r="G136" s="42">
        <v>2023</v>
      </c>
    </row>
    <row r="137" spans="1:7" x14ac:dyDescent="0.3">
      <c r="A137" s="42" t="s">
        <v>9</v>
      </c>
      <c r="B137" s="42" t="s">
        <v>10</v>
      </c>
      <c r="C137" s="42" t="s">
        <v>11</v>
      </c>
      <c r="D137" s="42" t="s">
        <v>438</v>
      </c>
      <c r="E137" s="42">
        <v>22</v>
      </c>
      <c r="F137" s="42">
        <v>10</v>
      </c>
      <c r="G137" s="42">
        <v>2023</v>
      </c>
    </row>
    <row r="138" spans="1:7" x14ac:dyDescent="0.3">
      <c r="A138" s="42" t="s">
        <v>14</v>
      </c>
      <c r="B138" s="42" t="s">
        <v>15</v>
      </c>
      <c r="C138" s="42" t="s">
        <v>16</v>
      </c>
      <c r="D138" s="42" t="s">
        <v>438</v>
      </c>
      <c r="E138" s="42">
        <v>22</v>
      </c>
      <c r="F138" s="42">
        <v>10</v>
      </c>
      <c r="G138" s="42">
        <v>2023</v>
      </c>
    </row>
    <row r="139" spans="1:7" x14ac:dyDescent="0.3">
      <c r="A139" s="42" t="s">
        <v>19</v>
      </c>
      <c r="B139" s="42" t="s">
        <v>20</v>
      </c>
      <c r="C139" s="42" t="s">
        <v>21</v>
      </c>
      <c r="D139" s="42" t="s">
        <v>438</v>
      </c>
      <c r="E139" s="42">
        <v>22</v>
      </c>
      <c r="F139" s="42">
        <v>10</v>
      </c>
      <c r="G139" s="42">
        <v>2023</v>
      </c>
    </row>
    <row r="140" spans="1:7" x14ac:dyDescent="0.3">
      <c r="A140" s="42" t="s">
        <v>24</v>
      </c>
      <c r="B140" s="42" t="s">
        <v>25</v>
      </c>
      <c r="C140" s="42" t="s">
        <v>26</v>
      </c>
      <c r="D140" s="42" t="s">
        <v>439</v>
      </c>
      <c r="E140" s="42">
        <v>22</v>
      </c>
      <c r="F140" s="42">
        <v>10</v>
      </c>
      <c r="G140" s="42">
        <v>2023</v>
      </c>
    </row>
    <row r="141" spans="1:7" x14ac:dyDescent="0.3">
      <c r="A141" s="42" t="s">
        <v>29</v>
      </c>
      <c r="B141" s="42" t="s">
        <v>30</v>
      </c>
      <c r="C141" s="42" t="s">
        <v>26</v>
      </c>
      <c r="D141" s="42" t="s">
        <v>439</v>
      </c>
      <c r="E141" s="42">
        <v>22</v>
      </c>
      <c r="F141" s="42">
        <v>10</v>
      </c>
      <c r="G141" s="42">
        <v>2023</v>
      </c>
    </row>
    <row r="142" spans="1:7" x14ac:dyDescent="0.3">
      <c r="A142" s="42" t="s">
        <v>32</v>
      </c>
      <c r="B142" s="42" t="s">
        <v>33</v>
      </c>
      <c r="C142" s="42" t="s">
        <v>26</v>
      </c>
      <c r="D142" s="42" t="s">
        <v>439</v>
      </c>
      <c r="E142" s="42">
        <v>22</v>
      </c>
      <c r="F142" s="42">
        <v>10</v>
      </c>
      <c r="G142" s="42">
        <v>2023</v>
      </c>
    </row>
    <row r="143" spans="1:7" x14ac:dyDescent="0.3">
      <c r="A143" s="42" t="s">
        <v>35</v>
      </c>
      <c r="B143" s="42" t="s">
        <v>36</v>
      </c>
      <c r="C143" s="42" t="s">
        <v>26</v>
      </c>
      <c r="D143" s="42" t="s">
        <v>439</v>
      </c>
      <c r="E143" s="42">
        <v>22</v>
      </c>
      <c r="F143" s="42">
        <v>10</v>
      </c>
      <c r="G143" s="42">
        <v>2023</v>
      </c>
    </row>
    <row r="144" spans="1:7" x14ac:dyDescent="0.3">
      <c r="A144" s="42" t="s">
        <v>38</v>
      </c>
      <c r="B144" s="42" t="s">
        <v>39</v>
      </c>
      <c r="C144" s="42" t="s">
        <v>26</v>
      </c>
      <c r="D144" s="42" t="s">
        <v>439</v>
      </c>
      <c r="E144" s="42">
        <v>22</v>
      </c>
      <c r="F144" s="42">
        <v>10</v>
      </c>
      <c r="G144" s="42">
        <v>2023</v>
      </c>
    </row>
    <row r="145" spans="1:7" x14ac:dyDescent="0.3">
      <c r="A145" s="42" t="s">
        <v>41</v>
      </c>
      <c r="B145" s="42" t="s">
        <v>42</v>
      </c>
      <c r="C145" s="42" t="s">
        <v>26</v>
      </c>
      <c r="D145" s="42" t="s">
        <v>439</v>
      </c>
      <c r="E145" s="42">
        <v>22</v>
      </c>
      <c r="F145" s="42">
        <v>10</v>
      </c>
      <c r="G145" s="42">
        <v>2023</v>
      </c>
    </row>
    <row r="146" spans="1:7" x14ac:dyDescent="0.3">
      <c r="A146" s="42" t="s">
        <v>44</v>
      </c>
      <c r="B146" s="42" t="s">
        <v>45</v>
      </c>
      <c r="C146" s="42" t="s">
        <v>26</v>
      </c>
      <c r="D146" s="42" t="s">
        <v>439</v>
      </c>
      <c r="E146" s="42">
        <v>22</v>
      </c>
      <c r="F146" s="42">
        <v>10</v>
      </c>
      <c r="G146" s="42">
        <v>2023</v>
      </c>
    </row>
    <row r="147" spans="1:7" x14ac:dyDescent="0.3">
      <c r="A147" s="42" t="s">
        <v>47</v>
      </c>
      <c r="B147" s="42" t="s">
        <v>48</v>
      </c>
      <c r="C147" s="42" t="s">
        <v>26</v>
      </c>
      <c r="D147" s="42" t="s">
        <v>439</v>
      </c>
      <c r="E147" s="42">
        <v>22</v>
      </c>
      <c r="F147" s="42">
        <v>10</v>
      </c>
      <c r="G147" s="42">
        <v>2023</v>
      </c>
    </row>
    <row r="148" spans="1:7" x14ac:dyDescent="0.3">
      <c r="A148" s="42" t="s">
        <v>49</v>
      </c>
      <c r="B148" s="42" t="s">
        <v>50</v>
      </c>
      <c r="C148" s="42" t="s">
        <v>26</v>
      </c>
      <c r="D148" s="42" t="s">
        <v>439</v>
      </c>
      <c r="E148" s="42">
        <v>22</v>
      </c>
      <c r="F148" s="42">
        <v>10</v>
      </c>
      <c r="G148" s="42">
        <v>2023</v>
      </c>
    </row>
    <row r="149" spans="1:7" x14ac:dyDescent="0.3">
      <c r="A149" s="42" t="s">
        <v>51</v>
      </c>
      <c r="B149" s="42" t="s">
        <v>52</v>
      </c>
      <c r="C149" s="42" t="s">
        <v>26</v>
      </c>
      <c r="D149" s="42" t="s">
        <v>439</v>
      </c>
      <c r="E149" s="42">
        <v>22</v>
      </c>
      <c r="F149" s="42">
        <v>10</v>
      </c>
      <c r="G149" s="42">
        <v>2023</v>
      </c>
    </row>
    <row r="150" spans="1:7" x14ac:dyDescent="0.3">
      <c r="A150" s="42" t="s">
        <v>53</v>
      </c>
      <c r="B150" s="42" t="s">
        <v>54</v>
      </c>
      <c r="C150" s="42" t="s">
        <v>26</v>
      </c>
      <c r="D150" s="42" t="s">
        <v>439</v>
      </c>
      <c r="E150" s="42">
        <v>22</v>
      </c>
      <c r="F150" s="42">
        <v>10</v>
      </c>
      <c r="G150" s="42">
        <v>2023</v>
      </c>
    </row>
    <row r="151" spans="1:7" x14ac:dyDescent="0.3">
      <c r="A151" s="42" t="s">
        <v>55</v>
      </c>
      <c r="B151" s="42" t="s">
        <v>56</v>
      </c>
      <c r="C151" s="42" t="s">
        <v>26</v>
      </c>
      <c r="D151" s="42" t="s">
        <v>439</v>
      </c>
      <c r="E151" s="42">
        <v>22</v>
      </c>
      <c r="F151" s="42">
        <v>10</v>
      </c>
      <c r="G151" s="42">
        <v>2023</v>
      </c>
    </row>
    <row r="152" spans="1:7" x14ac:dyDescent="0.3">
      <c r="A152" s="42" t="s">
        <v>9</v>
      </c>
      <c r="B152" s="42" t="s">
        <v>10</v>
      </c>
      <c r="C152" s="42" t="s">
        <v>11</v>
      </c>
      <c r="D152" s="42" t="s">
        <v>438</v>
      </c>
      <c r="E152" s="42">
        <v>22</v>
      </c>
      <c r="F152" s="42">
        <v>11</v>
      </c>
      <c r="G152" s="42">
        <v>2023</v>
      </c>
    </row>
    <row r="153" spans="1:7" x14ac:dyDescent="0.3">
      <c r="A153" s="42" t="s">
        <v>14</v>
      </c>
      <c r="B153" s="42" t="s">
        <v>15</v>
      </c>
      <c r="C153" s="42" t="s">
        <v>16</v>
      </c>
      <c r="D153" s="42" t="s">
        <v>438</v>
      </c>
      <c r="E153" s="42">
        <v>22</v>
      </c>
      <c r="F153" s="42">
        <v>11</v>
      </c>
      <c r="G153" s="42">
        <v>2023</v>
      </c>
    </row>
    <row r="154" spans="1:7" x14ac:dyDescent="0.3">
      <c r="A154" s="42" t="s">
        <v>19</v>
      </c>
      <c r="B154" s="42" t="s">
        <v>20</v>
      </c>
      <c r="C154" s="42" t="s">
        <v>21</v>
      </c>
      <c r="D154" s="42" t="s">
        <v>438</v>
      </c>
      <c r="E154" s="42">
        <v>22</v>
      </c>
      <c r="F154" s="42">
        <v>11</v>
      </c>
      <c r="G154" s="42">
        <v>2023</v>
      </c>
    </row>
    <row r="155" spans="1:7" x14ac:dyDescent="0.3">
      <c r="A155" s="42" t="s">
        <v>24</v>
      </c>
      <c r="B155" s="42" t="s">
        <v>25</v>
      </c>
      <c r="C155" s="42" t="s">
        <v>26</v>
      </c>
      <c r="D155" s="42" t="s">
        <v>439</v>
      </c>
      <c r="E155" s="42">
        <v>22</v>
      </c>
      <c r="F155" s="42">
        <v>11</v>
      </c>
      <c r="G155" s="42">
        <v>2023</v>
      </c>
    </row>
    <row r="156" spans="1:7" x14ac:dyDescent="0.3">
      <c r="A156" s="42" t="s">
        <v>29</v>
      </c>
      <c r="B156" s="42" t="s">
        <v>30</v>
      </c>
      <c r="C156" s="42" t="s">
        <v>26</v>
      </c>
      <c r="D156" s="42" t="s">
        <v>439</v>
      </c>
      <c r="E156" s="42">
        <v>22</v>
      </c>
      <c r="F156" s="42">
        <v>11</v>
      </c>
      <c r="G156" s="42">
        <v>2023</v>
      </c>
    </row>
    <row r="157" spans="1:7" x14ac:dyDescent="0.3">
      <c r="A157" s="42" t="s">
        <v>32</v>
      </c>
      <c r="B157" s="42" t="s">
        <v>33</v>
      </c>
      <c r="C157" s="42" t="s">
        <v>26</v>
      </c>
      <c r="D157" s="42" t="s">
        <v>439</v>
      </c>
      <c r="E157" s="42">
        <v>22</v>
      </c>
      <c r="F157" s="42">
        <v>11</v>
      </c>
      <c r="G157" s="42">
        <v>2023</v>
      </c>
    </row>
    <row r="158" spans="1:7" x14ac:dyDescent="0.3">
      <c r="A158" s="42" t="s">
        <v>35</v>
      </c>
      <c r="B158" s="42" t="s">
        <v>36</v>
      </c>
      <c r="C158" s="42" t="s">
        <v>26</v>
      </c>
      <c r="D158" s="42" t="s">
        <v>439</v>
      </c>
      <c r="E158" s="42">
        <v>22</v>
      </c>
      <c r="F158" s="42">
        <v>11</v>
      </c>
      <c r="G158" s="42">
        <v>2023</v>
      </c>
    </row>
    <row r="159" spans="1:7" x14ac:dyDescent="0.3">
      <c r="A159" s="42" t="s">
        <v>38</v>
      </c>
      <c r="B159" s="42" t="s">
        <v>39</v>
      </c>
      <c r="C159" s="42" t="s">
        <v>26</v>
      </c>
      <c r="D159" s="42" t="s">
        <v>439</v>
      </c>
      <c r="E159" s="42">
        <v>22</v>
      </c>
      <c r="F159" s="42">
        <v>11</v>
      </c>
      <c r="G159" s="42">
        <v>2023</v>
      </c>
    </row>
    <row r="160" spans="1:7" x14ac:dyDescent="0.3">
      <c r="A160" s="42" t="s">
        <v>41</v>
      </c>
      <c r="B160" s="42" t="s">
        <v>42</v>
      </c>
      <c r="C160" s="42" t="s">
        <v>26</v>
      </c>
      <c r="D160" s="42" t="s">
        <v>439</v>
      </c>
      <c r="E160" s="42">
        <v>22</v>
      </c>
      <c r="F160" s="42">
        <v>11</v>
      </c>
      <c r="G160" s="42">
        <v>2023</v>
      </c>
    </row>
    <row r="161" spans="1:7" x14ac:dyDescent="0.3">
      <c r="A161" s="42" t="s">
        <v>44</v>
      </c>
      <c r="B161" s="42" t="s">
        <v>45</v>
      </c>
      <c r="C161" s="42" t="s">
        <v>26</v>
      </c>
      <c r="D161" s="42" t="s">
        <v>439</v>
      </c>
      <c r="E161" s="42">
        <v>22</v>
      </c>
      <c r="F161" s="42">
        <v>11</v>
      </c>
      <c r="G161" s="42">
        <v>2023</v>
      </c>
    </row>
    <row r="162" spans="1:7" x14ac:dyDescent="0.3">
      <c r="A162" s="42" t="s">
        <v>47</v>
      </c>
      <c r="B162" s="42" t="s">
        <v>48</v>
      </c>
      <c r="C162" s="42" t="s">
        <v>26</v>
      </c>
      <c r="D162" s="42" t="s">
        <v>439</v>
      </c>
      <c r="E162" s="42">
        <v>22</v>
      </c>
      <c r="F162" s="42">
        <v>11</v>
      </c>
      <c r="G162" s="42">
        <v>2023</v>
      </c>
    </row>
    <row r="163" spans="1:7" x14ac:dyDescent="0.3">
      <c r="A163" s="42" t="s">
        <v>49</v>
      </c>
      <c r="B163" s="42" t="s">
        <v>50</v>
      </c>
      <c r="C163" s="42" t="s">
        <v>26</v>
      </c>
      <c r="D163" s="42" t="s">
        <v>439</v>
      </c>
      <c r="E163" s="42">
        <v>22</v>
      </c>
      <c r="F163" s="42">
        <v>11</v>
      </c>
      <c r="G163" s="42">
        <v>2023</v>
      </c>
    </row>
    <row r="164" spans="1:7" x14ac:dyDescent="0.3">
      <c r="A164" s="42" t="s">
        <v>51</v>
      </c>
      <c r="B164" s="42" t="s">
        <v>52</v>
      </c>
      <c r="C164" s="42" t="s">
        <v>26</v>
      </c>
      <c r="D164" s="42" t="s">
        <v>439</v>
      </c>
      <c r="E164" s="42">
        <v>22</v>
      </c>
      <c r="F164" s="42">
        <v>11</v>
      </c>
      <c r="G164" s="42">
        <v>2023</v>
      </c>
    </row>
    <row r="165" spans="1:7" x14ac:dyDescent="0.3">
      <c r="A165" s="42" t="s">
        <v>9</v>
      </c>
      <c r="B165" s="42" t="s">
        <v>10</v>
      </c>
      <c r="C165" s="42" t="s">
        <v>11</v>
      </c>
      <c r="D165" s="42" t="s">
        <v>438</v>
      </c>
      <c r="E165" s="42">
        <v>21</v>
      </c>
      <c r="F165" s="42">
        <v>12</v>
      </c>
      <c r="G165" s="42">
        <v>2023</v>
      </c>
    </row>
    <row r="166" spans="1:7" x14ac:dyDescent="0.3">
      <c r="A166" s="42" t="s">
        <v>14</v>
      </c>
      <c r="B166" s="42" t="s">
        <v>15</v>
      </c>
      <c r="C166" s="42" t="s">
        <v>16</v>
      </c>
      <c r="D166" s="42" t="s">
        <v>438</v>
      </c>
      <c r="E166" s="42">
        <v>21</v>
      </c>
      <c r="F166" s="42">
        <v>12</v>
      </c>
      <c r="G166" s="42">
        <v>2023</v>
      </c>
    </row>
    <row r="167" spans="1:7" x14ac:dyDescent="0.3">
      <c r="A167" s="42" t="s">
        <v>19</v>
      </c>
      <c r="B167" s="42" t="s">
        <v>20</v>
      </c>
      <c r="C167" s="42" t="s">
        <v>21</v>
      </c>
      <c r="D167" s="42" t="s">
        <v>438</v>
      </c>
      <c r="E167" s="42">
        <v>21</v>
      </c>
      <c r="F167" s="42">
        <v>12</v>
      </c>
      <c r="G167" s="42">
        <v>2023</v>
      </c>
    </row>
    <row r="168" spans="1:7" x14ac:dyDescent="0.3">
      <c r="A168" s="42" t="s">
        <v>24</v>
      </c>
      <c r="B168" s="42" t="s">
        <v>25</v>
      </c>
      <c r="C168" s="42" t="s">
        <v>26</v>
      </c>
      <c r="D168" s="42" t="s">
        <v>439</v>
      </c>
      <c r="E168" s="42">
        <v>21</v>
      </c>
      <c r="F168" s="42">
        <v>12</v>
      </c>
      <c r="G168" s="42">
        <v>2023</v>
      </c>
    </row>
    <row r="169" spans="1:7" x14ac:dyDescent="0.3">
      <c r="A169" s="42" t="s">
        <v>29</v>
      </c>
      <c r="B169" s="42" t="s">
        <v>30</v>
      </c>
      <c r="C169" s="42" t="s">
        <v>26</v>
      </c>
      <c r="D169" s="42" t="s">
        <v>439</v>
      </c>
      <c r="E169" s="42">
        <v>21</v>
      </c>
      <c r="F169" s="42">
        <v>12</v>
      </c>
      <c r="G169" s="42">
        <v>2023</v>
      </c>
    </row>
    <row r="170" spans="1:7" x14ac:dyDescent="0.3">
      <c r="A170" s="42" t="s">
        <v>32</v>
      </c>
      <c r="B170" s="42" t="s">
        <v>33</v>
      </c>
      <c r="C170" s="42" t="s">
        <v>26</v>
      </c>
      <c r="D170" s="42" t="s">
        <v>439</v>
      </c>
      <c r="E170" s="42">
        <v>21</v>
      </c>
      <c r="F170" s="42">
        <v>12</v>
      </c>
      <c r="G170" s="42">
        <v>2023</v>
      </c>
    </row>
    <row r="171" spans="1:7" x14ac:dyDescent="0.3">
      <c r="A171" s="42" t="s">
        <v>35</v>
      </c>
      <c r="B171" s="42" t="s">
        <v>36</v>
      </c>
      <c r="C171" s="42" t="s">
        <v>26</v>
      </c>
      <c r="D171" s="42" t="s">
        <v>439</v>
      </c>
      <c r="E171" s="42">
        <v>21</v>
      </c>
      <c r="F171" s="42">
        <v>12</v>
      </c>
      <c r="G171" s="42">
        <v>2023</v>
      </c>
    </row>
    <row r="172" spans="1:7" x14ac:dyDescent="0.3">
      <c r="A172" s="42" t="s">
        <v>38</v>
      </c>
      <c r="B172" s="42" t="s">
        <v>39</v>
      </c>
      <c r="C172" s="42" t="s">
        <v>26</v>
      </c>
      <c r="D172" s="42" t="s">
        <v>439</v>
      </c>
      <c r="E172" s="42">
        <v>21</v>
      </c>
      <c r="F172" s="42">
        <v>12</v>
      </c>
      <c r="G172" s="42">
        <v>2023</v>
      </c>
    </row>
    <row r="173" spans="1:7" x14ac:dyDescent="0.3">
      <c r="A173" s="42" t="s">
        <v>41</v>
      </c>
      <c r="B173" s="42" t="s">
        <v>42</v>
      </c>
      <c r="C173" s="42" t="s">
        <v>26</v>
      </c>
      <c r="D173" s="42" t="s">
        <v>439</v>
      </c>
      <c r="E173" s="42">
        <v>21</v>
      </c>
      <c r="F173" s="42">
        <v>12</v>
      </c>
      <c r="G173" s="42">
        <v>2023</v>
      </c>
    </row>
    <row r="174" spans="1:7" x14ac:dyDescent="0.3">
      <c r="A174" s="42" t="s">
        <v>44</v>
      </c>
      <c r="B174" s="42" t="s">
        <v>45</v>
      </c>
      <c r="C174" s="42" t="s">
        <v>26</v>
      </c>
      <c r="D174" s="42" t="s">
        <v>439</v>
      </c>
      <c r="E174" s="42">
        <v>21</v>
      </c>
      <c r="F174" s="42">
        <v>12</v>
      </c>
      <c r="G174" s="42">
        <v>2023</v>
      </c>
    </row>
    <row r="175" spans="1:7" x14ac:dyDescent="0.3">
      <c r="A175" s="42" t="s">
        <v>47</v>
      </c>
      <c r="B175" s="42" t="s">
        <v>48</v>
      </c>
      <c r="C175" s="42" t="s">
        <v>26</v>
      </c>
      <c r="D175" s="42" t="s">
        <v>439</v>
      </c>
      <c r="E175" s="42">
        <v>21</v>
      </c>
      <c r="F175" s="42">
        <v>12</v>
      </c>
      <c r="G175" s="42">
        <v>2023</v>
      </c>
    </row>
    <row r="176" spans="1:7" x14ac:dyDescent="0.3">
      <c r="A176" s="42" t="s">
        <v>49</v>
      </c>
      <c r="B176" s="42" t="s">
        <v>50</v>
      </c>
      <c r="C176" s="42" t="s">
        <v>26</v>
      </c>
      <c r="D176" s="42" t="s">
        <v>439</v>
      </c>
      <c r="E176" s="42">
        <v>21</v>
      </c>
      <c r="F176" s="42">
        <v>12</v>
      </c>
      <c r="G176" s="42">
        <v>2023</v>
      </c>
    </row>
    <row r="177" spans="1:7" x14ac:dyDescent="0.3">
      <c r="A177" s="42" t="s">
        <v>51</v>
      </c>
      <c r="B177" s="42" t="s">
        <v>52</v>
      </c>
      <c r="C177" s="42" t="s">
        <v>26</v>
      </c>
      <c r="D177" s="42" t="s">
        <v>439</v>
      </c>
      <c r="E177" s="42">
        <v>21</v>
      </c>
      <c r="F177" s="42">
        <v>12</v>
      </c>
      <c r="G177" s="42">
        <v>2023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9584-7423-4B69-9417-999DB2495FEB}">
  <sheetPr codeName="Sheet356">
    <tabColor rgb="FFFF0000"/>
  </sheetPr>
  <dimension ref="A1:M172"/>
  <sheetViews>
    <sheetView workbookViewId="0">
      <selection activeCell="A160" sqref="A160:K172"/>
    </sheetView>
  </sheetViews>
  <sheetFormatPr defaultRowHeight="14.4" x14ac:dyDescent="0.3"/>
  <cols>
    <col min="1" max="1" width="13.109375" style="3" bestFit="1" customWidth="1"/>
    <col min="2" max="2" width="9.33203125" style="3" bestFit="1" customWidth="1"/>
    <col min="3" max="3" width="16.88671875" style="3" bestFit="1" customWidth="1"/>
    <col min="4" max="4" width="8" style="3" bestFit="1" customWidth="1"/>
    <col min="5" max="5" width="9.21875" style="3" bestFit="1" customWidth="1"/>
    <col min="6" max="6" width="8.6640625" style="3" bestFit="1" customWidth="1"/>
    <col min="7" max="7" width="9" style="3" bestFit="1" customWidth="1"/>
    <col min="8" max="8" width="9.21875" style="3" bestFit="1" customWidth="1"/>
    <col min="9" max="9" width="8.6640625" style="3" bestFit="1" customWidth="1"/>
    <col min="10" max="10" width="9" style="3" bestFit="1" customWidth="1"/>
    <col min="11" max="11" width="11.88671875" style="3" bestFit="1" customWidth="1"/>
    <col min="12" max="12" width="5.77734375" style="3" bestFit="1" customWidth="1"/>
    <col min="13" max="13" width="5" style="3" bestFit="1" customWidth="1"/>
    <col min="14" max="16384" width="8.88671875" style="3"/>
  </cols>
  <sheetData>
    <row r="1" spans="1:13" x14ac:dyDescent="0.3">
      <c r="A1" s="19" t="s">
        <v>69</v>
      </c>
      <c r="B1" s="19" t="s">
        <v>72</v>
      </c>
      <c r="C1" s="19" t="s">
        <v>70</v>
      </c>
      <c r="D1" s="19" t="s">
        <v>163</v>
      </c>
      <c r="E1" s="19" t="s">
        <v>115</v>
      </c>
      <c r="F1" s="19" t="s">
        <v>116</v>
      </c>
      <c r="G1" s="19" t="s">
        <v>117</v>
      </c>
      <c r="H1" s="19" t="s">
        <v>118</v>
      </c>
      <c r="I1" s="19" t="s">
        <v>119</v>
      </c>
      <c r="J1" s="19" t="s">
        <v>120</v>
      </c>
      <c r="K1" s="19" t="s">
        <v>318</v>
      </c>
      <c r="L1" s="19" t="s">
        <v>121</v>
      </c>
      <c r="M1" s="19" t="s">
        <v>122</v>
      </c>
    </row>
    <row r="2" spans="1:13" x14ac:dyDescent="0.3">
      <c r="A2" s="22" t="s">
        <v>9</v>
      </c>
      <c r="B2" s="22" t="s">
        <v>438</v>
      </c>
      <c r="C2" s="22" t="s">
        <v>10</v>
      </c>
      <c r="D2" s="22">
        <v>5007600</v>
      </c>
      <c r="E2" s="22">
        <v>876330</v>
      </c>
      <c r="F2" s="22">
        <v>150228</v>
      </c>
      <c r="G2" s="22">
        <v>50076</v>
      </c>
      <c r="H2" s="22">
        <v>400608</v>
      </c>
      <c r="I2" s="22">
        <v>75114</v>
      </c>
      <c r="J2" s="22">
        <v>50076</v>
      </c>
      <c r="K2" s="22">
        <v>1602432</v>
      </c>
      <c r="L2" s="22">
        <v>1</v>
      </c>
      <c r="M2" s="22">
        <v>2023</v>
      </c>
    </row>
    <row r="3" spans="1:13" x14ac:dyDescent="0.3">
      <c r="A3" s="22" t="s">
        <v>14</v>
      </c>
      <c r="B3" s="22" t="s">
        <v>438</v>
      </c>
      <c r="C3" s="22" t="s">
        <v>15</v>
      </c>
      <c r="D3" s="22">
        <v>5007600</v>
      </c>
      <c r="E3" s="22">
        <v>876330</v>
      </c>
      <c r="F3" s="22">
        <v>150228</v>
      </c>
      <c r="G3" s="22">
        <v>50076</v>
      </c>
      <c r="H3" s="22">
        <v>400608</v>
      </c>
      <c r="I3" s="22">
        <v>75114</v>
      </c>
      <c r="J3" s="22">
        <v>50076</v>
      </c>
      <c r="K3" s="22">
        <v>1602432</v>
      </c>
      <c r="L3" s="22">
        <v>1</v>
      </c>
      <c r="M3" s="22">
        <v>2023</v>
      </c>
    </row>
    <row r="4" spans="1:13" x14ac:dyDescent="0.3">
      <c r="A4" s="22" t="s">
        <v>19</v>
      </c>
      <c r="B4" s="22" t="s">
        <v>438</v>
      </c>
      <c r="C4" s="22" t="s">
        <v>20</v>
      </c>
      <c r="D4" s="22">
        <v>5007600</v>
      </c>
      <c r="E4" s="22">
        <v>876330</v>
      </c>
      <c r="F4" s="22">
        <v>150228</v>
      </c>
      <c r="G4" s="22">
        <v>50076</v>
      </c>
      <c r="H4" s="22">
        <v>400608</v>
      </c>
      <c r="I4" s="22">
        <v>75114</v>
      </c>
      <c r="J4" s="22">
        <v>50076</v>
      </c>
      <c r="K4" s="22">
        <v>1602432</v>
      </c>
      <c r="L4" s="22">
        <v>1</v>
      </c>
      <c r="M4" s="22">
        <v>2023</v>
      </c>
    </row>
    <row r="5" spans="1:13" x14ac:dyDescent="0.3">
      <c r="A5" s="22" t="s">
        <v>24</v>
      </c>
      <c r="B5" s="22" t="s">
        <v>439</v>
      </c>
      <c r="C5" s="22" t="s">
        <v>25</v>
      </c>
      <c r="D5" s="22">
        <v>5007600</v>
      </c>
      <c r="E5" s="22">
        <v>876330</v>
      </c>
      <c r="F5" s="22">
        <v>150228</v>
      </c>
      <c r="G5" s="22">
        <v>50076</v>
      </c>
      <c r="H5" s="22">
        <v>400608</v>
      </c>
      <c r="I5" s="22">
        <v>75114</v>
      </c>
      <c r="J5" s="22">
        <v>50076</v>
      </c>
      <c r="K5" s="22">
        <v>1602432</v>
      </c>
      <c r="L5" s="22">
        <v>1</v>
      </c>
      <c r="M5" s="22">
        <v>2023</v>
      </c>
    </row>
    <row r="6" spans="1:13" x14ac:dyDescent="0.3">
      <c r="A6" s="22" t="s">
        <v>29</v>
      </c>
      <c r="B6" s="22" t="s">
        <v>439</v>
      </c>
      <c r="C6" s="22" t="s">
        <v>30</v>
      </c>
      <c r="D6" s="22">
        <v>5007600</v>
      </c>
      <c r="E6" s="22">
        <v>876330</v>
      </c>
      <c r="F6" s="22">
        <v>150228</v>
      </c>
      <c r="G6" s="22">
        <v>50076</v>
      </c>
      <c r="H6" s="22">
        <v>400608</v>
      </c>
      <c r="I6" s="22">
        <v>75114</v>
      </c>
      <c r="J6" s="22">
        <v>50076</v>
      </c>
      <c r="K6" s="22">
        <v>1602432</v>
      </c>
      <c r="L6" s="22">
        <v>1</v>
      </c>
      <c r="M6" s="22">
        <v>2023</v>
      </c>
    </row>
    <row r="7" spans="1:13" x14ac:dyDescent="0.3">
      <c r="A7" s="22" t="s">
        <v>32</v>
      </c>
      <c r="B7" s="22" t="s">
        <v>439</v>
      </c>
      <c r="C7" s="22" t="s">
        <v>33</v>
      </c>
      <c r="D7" s="22">
        <v>5007600</v>
      </c>
      <c r="E7" s="22">
        <v>876330</v>
      </c>
      <c r="F7" s="22">
        <v>150228</v>
      </c>
      <c r="G7" s="22">
        <v>50076</v>
      </c>
      <c r="H7" s="22">
        <v>400608</v>
      </c>
      <c r="I7" s="22">
        <v>75114</v>
      </c>
      <c r="J7" s="22">
        <v>50076</v>
      </c>
      <c r="K7" s="22">
        <v>1602432</v>
      </c>
      <c r="L7" s="22">
        <v>1</v>
      </c>
      <c r="M7" s="22">
        <v>2023</v>
      </c>
    </row>
    <row r="8" spans="1:13" x14ac:dyDescent="0.3">
      <c r="A8" s="22" t="s">
        <v>35</v>
      </c>
      <c r="B8" s="22" t="s">
        <v>439</v>
      </c>
      <c r="C8" s="22" t="s">
        <v>36</v>
      </c>
      <c r="D8" s="22">
        <v>5007600</v>
      </c>
      <c r="E8" s="22">
        <v>876330</v>
      </c>
      <c r="F8" s="22">
        <v>150228</v>
      </c>
      <c r="G8" s="22">
        <v>50076</v>
      </c>
      <c r="H8" s="22">
        <v>400608</v>
      </c>
      <c r="I8" s="22">
        <v>75114</v>
      </c>
      <c r="J8" s="22">
        <v>50076</v>
      </c>
      <c r="K8" s="22">
        <v>1602432</v>
      </c>
      <c r="L8" s="22">
        <v>1</v>
      </c>
      <c r="M8" s="22">
        <v>2023</v>
      </c>
    </row>
    <row r="9" spans="1:13" x14ac:dyDescent="0.3">
      <c r="A9" s="22" t="s">
        <v>38</v>
      </c>
      <c r="B9" s="22" t="s">
        <v>439</v>
      </c>
      <c r="C9" s="22" t="s">
        <v>39</v>
      </c>
      <c r="D9" s="22">
        <v>5007600</v>
      </c>
      <c r="E9" s="22">
        <v>876330</v>
      </c>
      <c r="F9" s="22">
        <v>150228</v>
      </c>
      <c r="G9" s="22">
        <v>50076</v>
      </c>
      <c r="H9" s="22">
        <v>400608</v>
      </c>
      <c r="I9" s="22">
        <v>75114</v>
      </c>
      <c r="J9" s="22">
        <v>50076</v>
      </c>
      <c r="K9" s="22">
        <v>1602432</v>
      </c>
      <c r="L9" s="22">
        <v>1</v>
      </c>
      <c r="M9" s="22">
        <v>2023</v>
      </c>
    </row>
    <row r="10" spans="1:13" x14ac:dyDescent="0.3">
      <c r="A10" s="22" t="s">
        <v>41</v>
      </c>
      <c r="B10" s="22" t="s">
        <v>439</v>
      </c>
      <c r="C10" s="22" t="s">
        <v>42</v>
      </c>
      <c r="D10" s="22">
        <v>5007600</v>
      </c>
      <c r="E10" s="22">
        <v>876330</v>
      </c>
      <c r="F10" s="22">
        <v>150228</v>
      </c>
      <c r="G10" s="22">
        <v>50076</v>
      </c>
      <c r="H10" s="22">
        <v>400608</v>
      </c>
      <c r="I10" s="22">
        <v>75114</v>
      </c>
      <c r="J10" s="22">
        <v>50076</v>
      </c>
      <c r="K10" s="22">
        <v>1602432</v>
      </c>
      <c r="L10" s="22">
        <v>1</v>
      </c>
      <c r="M10" s="22">
        <v>2023</v>
      </c>
    </row>
    <row r="11" spans="1:13" x14ac:dyDescent="0.3">
      <c r="A11" s="22" t="s">
        <v>44</v>
      </c>
      <c r="B11" s="22" t="s">
        <v>439</v>
      </c>
      <c r="C11" s="22" t="s">
        <v>45</v>
      </c>
      <c r="D11" s="22">
        <v>5007600</v>
      </c>
      <c r="E11" s="22">
        <v>876330</v>
      </c>
      <c r="F11" s="22">
        <v>150228</v>
      </c>
      <c r="G11" s="22">
        <v>50076</v>
      </c>
      <c r="H11" s="22">
        <v>400608</v>
      </c>
      <c r="I11" s="22">
        <v>75114</v>
      </c>
      <c r="J11" s="22">
        <v>50076</v>
      </c>
      <c r="K11" s="22">
        <v>1602432</v>
      </c>
      <c r="L11" s="22">
        <v>1</v>
      </c>
      <c r="M11" s="22">
        <v>2023</v>
      </c>
    </row>
    <row r="12" spans="1:13" x14ac:dyDescent="0.3">
      <c r="A12" s="22" t="s">
        <v>9</v>
      </c>
      <c r="B12" s="22" t="s">
        <v>438</v>
      </c>
      <c r="C12" s="22" t="s">
        <v>10</v>
      </c>
      <c r="D12" s="22">
        <v>5007600</v>
      </c>
      <c r="E12" s="22">
        <v>876330</v>
      </c>
      <c r="F12" s="22">
        <v>150228</v>
      </c>
      <c r="G12" s="22">
        <v>50076</v>
      </c>
      <c r="H12" s="22">
        <v>400608</v>
      </c>
      <c r="I12" s="22">
        <v>75114</v>
      </c>
      <c r="J12" s="22">
        <v>50076</v>
      </c>
      <c r="K12" s="22">
        <v>1602432</v>
      </c>
      <c r="L12" s="22">
        <v>2</v>
      </c>
      <c r="M12" s="22">
        <v>2023</v>
      </c>
    </row>
    <row r="13" spans="1:13" x14ac:dyDescent="0.3">
      <c r="A13" s="22" t="s">
        <v>14</v>
      </c>
      <c r="B13" s="22" t="s">
        <v>438</v>
      </c>
      <c r="C13" s="22" t="s">
        <v>15</v>
      </c>
      <c r="D13" s="22">
        <v>5007600</v>
      </c>
      <c r="E13" s="22">
        <v>876330</v>
      </c>
      <c r="F13" s="22">
        <v>150228</v>
      </c>
      <c r="G13" s="22">
        <v>50076</v>
      </c>
      <c r="H13" s="22">
        <v>400608</v>
      </c>
      <c r="I13" s="22">
        <v>75114</v>
      </c>
      <c r="J13" s="22">
        <v>50076</v>
      </c>
      <c r="K13" s="22">
        <v>1602432</v>
      </c>
      <c r="L13" s="22">
        <v>2</v>
      </c>
      <c r="M13" s="22">
        <v>2023</v>
      </c>
    </row>
    <row r="14" spans="1:13" x14ac:dyDescent="0.3">
      <c r="A14" s="22" t="s">
        <v>19</v>
      </c>
      <c r="B14" s="22" t="s">
        <v>438</v>
      </c>
      <c r="C14" s="22" t="s">
        <v>20</v>
      </c>
      <c r="D14" s="22">
        <v>5007600</v>
      </c>
      <c r="E14" s="22">
        <v>876330</v>
      </c>
      <c r="F14" s="22">
        <v>150228</v>
      </c>
      <c r="G14" s="22">
        <v>50076</v>
      </c>
      <c r="H14" s="22">
        <v>400608</v>
      </c>
      <c r="I14" s="22">
        <v>75114</v>
      </c>
      <c r="J14" s="22">
        <v>50076</v>
      </c>
      <c r="K14" s="22">
        <v>1602432</v>
      </c>
      <c r="L14" s="22">
        <v>2</v>
      </c>
      <c r="M14" s="22">
        <v>2023</v>
      </c>
    </row>
    <row r="15" spans="1:13" x14ac:dyDescent="0.3">
      <c r="A15" s="22" t="s">
        <v>24</v>
      </c>
      <c r="B15" s="22" t="s">
        <v>439</v>
      </c>
      <c r="C15" s="22" t="s">
        <v>25</v>
      </c>
      <c r="D15" s="22">
        <v>5007600</v>
      </c>
      <c r="E15" s="22">
        <v>876330</v>
      </c>
      <c r="F15" s="22">
        <v>150228</v>
      </c>
      <c r="G15" s="22">
        <v>50076</v>
      </c>
      <c r="H15" s="22">
        <v>400608</v>
      </c>
      <c r="I15" s="22">
        <v>75114</v>
      </c>
      <c r="J15" s="22">
        <v>50076</v>
      </c>
      <c r="K15" s="22">
        <v>1602432</v>
      </c>
      <c r="L15" s="22">
        <v>2</v>
      </c>
      <c r="M15" s="22">
        <v>2023</v>
      </c>
    </row>
    <row r="16" spans="1:13" x14ac:dyDescent="0.3">
      <c r="A16" s="22" t="s">
        <v>29</v>
      </c>
      <c r="B16" s="22" t="s">
        <v>439</v>
      </c>
      <c r="C16" s="22" t="s">
        <v>30</v>
      </c>
      <c r="D16" s="22">
        <v>5007600</v>
      </c>
      <c r="E16" s="22">
        <v>876330</v>
      </c>
      <c r="F16" s="22">
        <v>150228</v>
      </c>
      <c r="G16" s="22">
        <v>50076</v>
      </c>
      <c r="H16" s="22">
        <v>400608</v>
      </c>
      <c r="I16" s="22">
        <v>75114</v>
      </c>
      <c r="J16" s="22">
        <v>50076</v>
      </c>
      <c r="K16" s="22">
        <v>1602432</v>
      </c>
      <c r="L16" s="22">
        <v>2</v>
      </c>
      <c r="M16" s="22">
        <v>2023</v>
      </c>
    </row>
    <row r="17" spans="1:13" x14ac:dyDescent="0.3">
      <c r="A17" s="22" t="s">
        <v>32</v>
      </c>
      <c r="B17" s="22" t="s">
        <v>439</v>
      </c>
      <c r="C17" s="22" t="s">
        <v>33</v>
      </c>
      <c r="D17" s="22">
        <v>5007600</v>
      </c>
      <c r="E17" s="22">
        <v>876330</v>
      </c>
      <c r="F17" s="22">
        <v>150228</v>
      </c>
      <c r="G17" s="22">
        <v>50076</v>
      </c>
      <c r="H17" s="22">
        <v>400608</v>
      </c>
      <c r="I17" s="22">
        <v>75114</v>
      </c>
      <c r="J17" s="22">
        <v>50076</v>
      </c>
      <c r="K17" s="22">
        <v>1602432</v>
      </c>
      <c r="L17" s="22">
        <v>2</v>
      </c>
      <c r="M17" s="22">
        <v>2023</v>
      </c>
    </row>
    <row r="18" spans="1:13" x14ac:dyDescent="0.3">
      <c r="A18" s="22" t="s">
        <v>35</v>
      </c>
      <c r="B18" s="22" t="s">
        <v>439</v>
      </c>
      <c r="C18" s="22" t="s">
        <v>36</v>
      </c>
      <c r="D18" s="22">
        <v>5007600</v>
      </c>
      <c r="E18" s="22">
        <v>876330</v>
      </c>
      <c r="F18" s="22">
        <v>150228</v>
      </c>
      <c r="G18" s="22">
        <v>50076</v>
      </c>
      <c r="H18" s="22">
        <v>400608</v>
      </c>
      <c r="I18" s="22">
        <v>75114</v>
      </c>
      <c r="J18" s="22">
        <v>50076</v>
      </c>
      <c r="K18" s="22">
        <v>1602432</v>
      </c>
      <c r="L18" s="22">
        <v>2</v>
      </c>
      <c r="M18" s="22">
        <v>2023</v>
      </c>
    </row>
    <row r="19" spans="1:13" x14ac:dyDescent="0.3">
      <c r="A19" s="22" t="s">
        <v>38</v>
      </c>
      <c r="B19" s="22" t="s">
        <v>439</v>
      </c>
      <c r="C19" s="22" t="s">
        <v>39</v>
      </c>
      <c r="D19" s="22">
        <v>5007600</v>
      </c>
      <c r="E19" s="22">
        <v>876330</v>
      </c>
      <c r="F19" s="22">
        <v>150228</v>
      </c>
      <c r="G19" s="22">
        <v>50076</v>
      </c>
      <c r="H19" s="22">
        <v>400608</v>
      </c>
      <c r="I19" s="22">
        <v>75114</v>
      </c>
      <c r="J19" s="22">
        <v>50076</v>
      </c>
      <c r="K19" s="22">
        <v>1602432</v>
      </c>
      <c r="L19" s="22">
        <v>2</v>
      </c>
      <c r="M19" s="22">
        <v>2023</v>
      </c>
    </row>
    <row r="20" spans="1:13" x14ac:dyDescent="0.3">
      <c r="A20" s="22" t="s">
        <v>41</v>
      </c>
      <c r="B20" s="22" t="s">
        <v>439</v>
      </c>
      <c r="C20" s="22" t="s">
        <v>42</v>
      </c>
      <c r="D20" s="22">
        <v>5007600</v>
      </c>
      <c r="E20" s="22">
        <v>876330</v>
      </c>
      <c r="F20" s="22">
        <v>150228</v>
      </c>
      <c r="G20" s="22">
        <v>50076</v>
      </c>
      <c r="H20" s="22">
        <v>400608</v>
      </c>
      <c r="I20" s="22">
        <v>75114</v>
      </c>
      <c r="J20" s="22">
        <v>50076</v>
      </c>
      <c r="K20" s="22">
        <v>1602432</v>
      </c>
      <c r="L20" s="22">
        <v>2</v>
      </c>
      <c r="M20" s="22">
        <v>2023</v>
      </c>
    </row>
    <row r="21" spans="1:13" x14ac:dyDescent="0.3">
      <c r="A21" s="22" t="s">
        <v>44</v>
      </c>
      <c r="B21" s="22" t="s">
        <v>439</v>
      </c>
      <c r="C21" s="22" t="s">
        <v>45</v>
      </c>
      <c r="D21" s="22">
        <v>5007600</v>
      </c>
      <c r="E21" s="22">
        <v>876330</v>
      </c>
      <c r="F21" s="22">
        <v>150228</v>
      </c>
      <c r="G21" s="22">
        <v>50076</v>
      </c>
      <c r="H21" s="22">
        <v>400608</v>
      </c>
      <c r="I21" s="22">
        <v>75114</v>
      </c>
      <c r="J21" s="22">
        <v>50076</v>
      </c>
      <c r="K21" s="22">
        <v>1602432</v>
      </c>
      <c r="L21" s="22">
        <v>2</v>
      </c>
      <c r="M21" s="22">
        <v>2023</v>
      </c>
    </row>
    <row r="22" spans="1:13" x14ac:dyDescent="0.3">
      <c r="A22" s="22" t="s">
        <v>47</v>
      </c>
      <c r="B22" s="22" t="s">
        <v>439</v>
      </c>
      <c r="C22" s="22" t="s">
        <v>48</v>
      </c>
      <c r="D22" s="22">
        <v>5050000</v>
      </c>
      <c r="E22" s="22">
        <v>883750</v>
      </c>
      <c r="F22" s="22">
        <v>151500</v>
      </c>
      <c r="G22" s="22">
        <v>50500</v>
      </c>
      <c r="H22" s="22">
        <v>404000</v>
      </c>
      <c r="I22" s="22">
        <v>75750</v>
      </c>
      <c r="J22" s="22">
        <v>50500</v>
      </c>
      <c r="K22" s="22">
        <v>1616000</v>
      </c>
      <c r="L22" s="22">
        <v>2</v>
      </c>
      <c r="M22" s="22">
        <v>2023</v>
      </c>
    </row>
    <row r="23" spans="1:13" x14ac:dyDescent="0.3">
      <c r="A23" s="22" t="s">
        <v>49</v>
      </c>
      <c r="B23" s="22" t="s">
        <v>439</v>
      </c>
      <c r="C23" s="22" t="s">
        <v>50</v>
      </c>
      <c r="D23" s="22">
        <v>5050000</v>
      </c>
      <c r="E23" s="22">
        <v>883750</v>
      </c>
      <c r="F23" s="22">
        <v>151500</v>
      </c>
      <c r="G23" s="22">
        <v>50500</v>
      </c>
      <c r="H23" s="22">
        <v>404000</v>
      </c>
      <c r="I23" s="22">
        <v>75750</v>
      </c>
      <c r="J23" s="22">
        <v>50500</v>
      </c>
      <c r="K23" s="22">
        <v>1616000</v>
      </c>
      <c r="L23" s="22">
        <v>2</v>
      </c>
      <c r="M23" s="22">
        <v>2023</v>
      </c>
    </row>
    <row r="24" spans="1:13" x14ac:dyDescent="0.3">
      <c r="A24" s="22" t="s">
        <v>51</v>
      </c>
      <c r="B24" s="22" t="s">
        <v>439</v>
      </c>
      <c r="C24" s="22" t="s">
        <v>52</v>
      </c>
      <c r="D24" s="22">
        <v>5050000</v>
      </c>
      <c r="E24" s="22">
        <v>883750</v>
      </c>
      <c r="F24" s="22">
        <v>151500</v>
      </c>
      <c r="G24" s="22">
        <v>50500</v>
      </c>
      <c r="H24" s="22">
        <v>404000</v>
      </c>
      <c r="I24" s="22">
        <v>75750</v>
      </c>
      <c r="J24" s="22">
        <v>50500</v>
      </c>
      <c r="K24" s="22">
        <v>1616000</v>
      </c>
      <c r="L24" s="22">
        <v>2</v>
      </c>
      <c r="M24" s="22">
        <v>2023</v>
      </c>
    </row>
    <row r="25" spans="1:13" x14ac:dyDescent="0.3">
      <c r="A25" s="22" t="s">
        <v>53</v>
      </c>
      <c r="B25" s="22" t="s">
        <v>439</v>
      </c>
      <c r="C25" s="22" t="s">
        <v>54</v>
      </c>
      <c r="D25" s="22">
        <v>5050000</v>
      </c>
      <c r="E25" s="22">
        <v>883750</v>
      </c>
      <c r="F25" s="22">
        <v>151500</v>
      </c>
      <c r="G25" s="22">
        <v>50500</v>
      </c>
      <c r="H25" s="22">
        <v>404000</v>
      </c>
      <c r="I25" s="22">
        <v>75750</v>
      </c>
      <c r="J25" s="22">
        <v>50500</v>
      </c>
      <c r="K25" s="22">
        <v>1616000</v>
      </c>
      <c r="L25" s="22">
        <v>2</v>
      </c>
      <c r="M25" s="22">
        <v>2023</v>
      </c>
    </row>
    <row r="26" spans="1:13" x14ac:dyDescent="0.3">
      <c r="A26" s="22" t="s">
        <v>55</v>
      </c>
      <c r="B26" s="22" t="s">
        <v>439</v>
      </c>
      <c r="C26" s="22" t="s">
        <v>56</v>
      </c>
      <c r="D26" s="22">
        <v>5050000</v>
      </c>
      <c r="E26" s="22">
        <v>883750</v>
      </c>
      <c r="F26" s="22">
        <v>151500</v>
      </c>
      <c r="G26" s="22">
        <v>50500</v>
      </c>
      <c r="H26" s="22">
        <v>404000</v>
      </c>
      <c r="I26" s="22">
        <v>75750</v>
      </c>
      <c r="J26" s="22">
        <v>50500</v>
      </c>
      <c r="K26" s="22">
        <v>1616000</v>
      </c>
      <c r="L26" s="22">
        <v>2</v>
      </c>
      <c r="M26" s="22">
        <v>2023</v>
      </c>
    </row>
    <row r="27" spans="1:13" x14ac:dyDescent="0.3">
      <c r="A27" s="22" t="s">
        <v>9</v>
      </c>
      <c r="B27" s="22" t="s">
        <v>438</v>
      </c>
      <c r="C27" s="22" t="s">
        <v>10</v>
      </c>
      <c r="D27" s="22">
        <v>5007600</v>
      </c>
      <c r="E27" s="22">
        <v>876330</v>
      </c>
      <c r="F27" s="22">
        <v>150228</v>
      </c>
      <c r="G27" s="22">
        <v>50076</v>
      </c>
      <c r="H27" s="22">
        <v>400608</v>
      </c>
      <c r="I27" s="22">
        <v>75114</v>
      </c>
      <c r="J27" s="22">
        <v>50076</v>
      </c>
      <c r="K27" s="22">
        <v>1602432</v>
      </c>
      <c r="L27" s="22">
        <v>3</v>
      </c>
      <c r="M27" s="22">
        <v>2023</v>
      </c>
    </row>
    <row r="28" spans="1:13" x14ac:dyDescent="0.3">
      <c r="A28" s="22" t="s">
        <v>14</v>
      </c>
      <c r="B28" s="22" t="s">
        <v>438</v>
      </c>
      <c r="C28" s="22" t="s">
        <v>15</v>
      </c>
      <c r="D28" s="22">
        <v>5007600</v>
      </c>
      <c r="E28" s="22">
        <v>876330</v>
      </c>
      <c r="F28" s="22">
        <v>150228</v>
      </c>
      <c r="G28" s="22">
        <v>50076</v>
      </c>
      <c r="H28" s="22">
        <v>400608</v>
      </c>
      <c r="I28" s="22">
        <v>75114</v>
      </c>
      <c r="J28" s="22">
        <v>50076</v>
      </c>
      <c r="K28" s="22">
        <v>1602432</v>
      </c>
      <c r="L28" s="22">
        <v>3</v>
      </c>
      <c r="M28" s="22">
        <v>2023</v>
      </c>
    </row>
    <row r="29" spans="1:13" x14ac:dyDescent="0.3">
      <c r="A29" s="22" t="s">
        <v>19</v>
      </c>
      <c r="B29" s="22" t="s">
        <v>438</v>
      </c>
      <c r="C29" s="22" t="s">
        <v>20</v>
      </c>
      <c r="D29" s="22">
        <v>5007600</v>
      </c>
      <c r="E29" s="22">
        <v>876330</v>
      </c>
      <c r="F29" s="22">
        <v>150228</v>
      </c>
      <c r="G29" s="22">
        <v>50076</v>
      </c>
      <c r="H29" s="22">
        <v>400608</v>
      </c>
      <c r="I29" s="22">
        <v>75114</v>
      </c>
      <c r="J29" s="22">
        <v>50076</v>
      </c>
      <c r="K29" s="22">
        <v>1602432</v>
      </c>
      <c r="L29" s="22">
        <v>3</v>
      </c>
      <c r="M29" s="22">
        <v>2023</v>
      </c>
    </row>
    <row r="30" spans="1:13" x14ac:dyDescent="0.3">
      <c r="A30" s="22" t="s">
        <v>24</v>
      </c>
      <c r="B30" s="22" t="s">
        <v>439</v>
      </c>
      <c r="C30" s="22" t="s">
        <v>25</v>
      </c>
      <c r="D30" s="22">
        <v>5007600</v>
      </c>
      <c r="E30" s="22">
        <v>876330</v>
      </c>
      <c r="F30" s="22">
        <v>150228</v>
      </c>
      <c r="G30" s="22">
        <v>50076</v>
      </c>
      <c r="H30" s="22">
        <v>400608</v>
      </c>
      <c r="I30" s="22">
        <v>75114</v>
      </c>
      <c r="J30" s="22">
        <v>50076</v>
      </c>
      <c r="K30" s="22">
        <v>1602432</v>
      </c>
      <c r="L30" s="22">
        <v>3</v>
      </c>
      <c r="M30" s="22">
        <v>2023</v>
      </c>
    </row>
    <row r="31" spans="1:13" x14ac:dyDescent="0.3">
      <c r="A31" s="22" t="s">
        <v>29</v>
      </c>
      <c r="B31" s="22" t="s">
        <v>439</v>
      </c>
      <c r="C31" s="22" t="s">
        <v>30</v>
      </c>
      <c r="D31" s="22">
        <v>5007600</v>
      </c>
      <c r="E31" s="22">
        <v>876330</v>
      </c>
      <c r="F31" s="22">
        <v>150228</v>
      </c>
      <c r="G31" s="22">
        <v>50076</v>
      </c>
      <c r="H31" s="22">
        <v>400608</v>
      </c>
      <c r="I31" s="22">
        <v>75114</v>
      </c>
      <c r="J31" s="22">
        <v>50076</v>
      </c>
      <c r="K31" s="22">
        <v>1602432</v>
      </c>
      <c r="L31" s="22">
        <v>3</v>
      </c>
      <c r="M31" s="22">
        <v>2023</v>
      </c>
    </row>
    <row r="32" spans="1:13" x14ac:dyDescent="0.3">
      <c r="A32" s="22" t="s">
        <v>32</v>
      </c>
      <c r="B32" s="22" t="s">
        <v>439</v>
      </c>
      <c r="C32" s="22" t="s">
        <v>33</v>
      </c>
      <c r="D32" s="22">
        <v>5007600</v>
      </c>
      <c r="E32" s="22">
        <v>876330</v>
      </c>
      <c r="F32" s="22">
        <v>150228</v>
      </c>
      <c r="G32" s="22">
        <v>50076</v>
      </c>
      <c r="H32" s="22">
        <v>400608</v>
      </c>
      <c r="I32" s="22">
        <v>75114</v>
      </c>
      <c r="J32" s="22">
        <v>50076</v>
      </c>
      <c r="K32" s="22">
        <v>1602432</v>
      </c>
      <c r="L32" s="22">
        <v>3</v>
      </c>
      <c r="M32" s="22">
        <v>2023</v>
      </c>
    </row>
    <row r="33" spans="1:13" x14ac:dyDescent="0.3">
      <c r="A33" s="22" t="s">
        <v>35</v>
      </c>
      <c r="B33" s="22" t="s">
        <v>439</v>
      </c>
      <c r="C33" s="22" t="s">
        <v>36</v>
      </c>
      <c r="D33" s="22">
        <v>5007600</v>
      </c>
      <c r="E33" s="22">
        <v>876330</v>
      </c>
      <c r="F33" s="22">
        <v>150228</v>
      </c>
      <c r="G33" s="22">
        <v>50076</v>
      </c>
      <c r="H33" s="22">
        <v>400608</v>
      </c>
      <c r="I33" s="22">
        <v>75114</v>
      </c>
      <c r="J33" s="22">
        <v>50076</v>
      </c>
      <c r="K33" s="22">
        <v>1602432</v>
      </c>
      <c r="L33" s="22">
        <v>3</v>
      </c>
      <c r="M33" s="22">
        <v>2023</v>
      </c>
    </row>
    <row r="34" spans="1:13" x14ac:dyDescent="0.3">
      <c r="A34" s="22" t="s">
        <v>38</v>
      </c>
      <c r="B34" s="22" t="s">
        <v>439</v>
      </c>
      <c r="C34" s="22" t="s">
        <v>39</v>
      </c>
      <c r="D34" s="22">
        <v>5007600</v>
      </c>
      <c r="E34" s="22">
        <v>876330</v>
      </c>
      <c r="F34" s="22">
        <v>150228</v>
      </c>
      <c r="G34" s="22">
        <v>50076</v>
      </c>
      <c r="H34" s="22">
        <v>400608</v>
      </c>
      <c r="I34" s="22">
        <v>75114</v>
      </c>
      <c r="J34" s="22">
        <v>50076</v>
      </c>
      <c r="K34" s="22">
        <v>1602432</v>
      </c>
      <c r="L34" s="22">
        <v>3</v>
      </c>
      <c r="M34" s="22">
        <v>2023</v>
      </c>
    </row>
    <row r="35" spans="1:13" x14ac:dyDescent="0.3">
      <c r="A35" s="22" t="s">
        <v>41</v>
      </c>
      <c r="B35" s="22" t="s">
        <v>439</v>
      </c>
      <c r="C35" s="22" t="s">
        <v>42</v>
      </c>
      <c r="D35" s="22">
        <v>5007600</v>
      </c>
      <c r="E35" s="22">
        <v>876330</v>
      </c>
      <c r="F35" s="22">
        <v>150228</v>
      </c>
      <c r="G35" s="22">
        <v>50076</v>
      </c>
      <c r="H35" s="22">
        <v>400608</v>
      </c>
      <c r="I35" s="22">
        <v>75114</v>
      </c>
      <c r="J35" s="22">
        <v>50076</v>
      </c>
      <c r="K35" s="22">
        <v>1602432</v>
      </c>
      <c r="L35" s="22">
        <v>3</v>
      </c>
      <c r="M35" s="22">
        <v>2023</v>
      </c>
    </row>
    <row r="36" spans="1:13" x14ac:dyDescent="0.3">
      <c r="A36" s="22" t="s">
        <v>44</v>
      </c>
      <c r="B36" s="22" t="s">
        <v>439</v>
      </c>
      <c r="C36" s="22" t="s">
        <v>45</v>
      </c>
      <c r="D36" s="22">
        <v>5007600</v>
      </c>
      <c r="E36" s="22">
        <v>876330</v>
      </c>
      <c r="F36" s="22">
        <v>150228</v>
      </c>
      <c r="G36" s="22">
        <v>50076</v>
      </c>
      <c r="H36" s="22">
        <v>400608</v>
      </c>
      <c r="I36" s="22">
        <v>75114</v>
      </c>
      <c r="J36" s="22">
        <v>50076</v>
      </c>
      <c r="K36" s="22">
        <v>1602432</v>
      </c>
      <c r="L36" s="22">
        <v>3</v>
      </c>
      <c r="M36" s="22">
        <v>2023</v>
      </c>
    </row>
    <row r="37" spans="1:13" x14ac:dyDescent="0.3">
      <c r="A37" s="22" t="s">
        <v>47</v>
      </c>
      <c r="B37" s="22" t="s">
        <v>439</v>
      </c>
      <c r="C37" s="22" t="s">
        <v>48</v>
      </c>
      <c r="D37" s="22">
        <v>5050000</v>
      </c>
      <c r="E37" s="22">
        <v>883750</v>
      </c>
      <c r="F37" s="22">
        <v>151500</v>
      </c>
      <c r="G37" s="22">
        <v>50500</v>
      </c>
      <c r="H37" s="22">
        <v>404000</v>
      </c>
      <c r="I37" s="22">
        <v>75750</v>
      </c>
      <c r="J37" s="22">
        <v>50500</v>
      </c>
      <c r="K37" s="22">
        <v>1616000</v>
      </c>
      <c r="L37" s="22">
        <v>3</v>
      </c>
      <c r="M37" s="22">
        <v>2023</v>
      </c>
    </row>
    <row r="38" spans="1:13" x14ac:dyDescent="0.3">
      <c r="A38" s="22" t="s">
        <v>49</v>
      </c>
      <c r="B38" s="22" t="s">
        <v>439</v>
      </c>
      <c r="C38" s="22" t="s">
        <v>50</v>
      </c>
      <c r="D38" s="22">
        <v>5050000</v>
      </c>
      <c r="E38" s="22">
        <v>883750</v>
      </c>
      <c r="F38" s="22">
        <v>151500</v>
      </c>
      <c r="G38" s="22">
        <v>50500</v>
      </c>
      <c r="H38" s="22">
        <v>404000</v>
      </c>
      <c r="I38" s="22">
        <v>75750</v>
      </c>
      <c r="J38" s="22">
        <v>50500</v>
      </c>
      <c r="K38" s="22">
        <v>1616000</v>
      </c>
      <c r="L38" s="22">
        <v>3</v>
      </c>
      <c r="M38" s="22">
        <v>2023</v>
      </c>
    </row>
    <row r="39" spans="1:13" x14ac:dyDescent="0.3">
      <c r="A39" s="22" t="s">
        <v>51</v>
      </c>
      <c r="B39" s="22" t="s">
        <v>439</v>
      </c>
      <c r="C39" s="22" t="s">
        <v>52</v>
      </c>
      <c r="D39" s="22">
        <v>5050000</v>
      </c>
      <c r="E39" s="22">
        <v>883750</v>
      </c>
      <c r="F39" s="22">
        <v>151500</v>
      </c>
      <c r="G39" s="22">
        <v>50500</v>
      </c>
      <c r="H39" s="22">
        <v>404000</v>
      </c>
      <c r="I39" s="22">
        <v>75750</v>
      </c>
      <c r="J39" s="22">
        <v>50500</v>
      </c>
      <c r="K39" s="22">
        <v>1616000</v>
      </c>
      <c r="L39" s="22">
        <v>3</v>
      </c>
      <c r="M39" s="22">
        <v>2023</v>
      </c>
    </row>
    <row r="40" spans="1:13" x14ac:dyDescent="0.3">
      <c r="A40" s="22" t="s">
        <v>53</v>
      </c>
      <c r="B40" s="22" t="s">
        <v>439</v>
      </c>
      <c r="C40" s="22" t="s">
        <v>54</v>
      </c>
      <c r="D40" s="22">
        <v>5050000</v>
      </c>
      <c r="E40" s="22">
        <v>883750</v>
      </c>
      <c r="F40" s="22">
        <v>151500</v>
      </c>
      <c r="G40" s="22">
        <v>50500</v>
      </c>
      <c r="H40" s="22">
        <v>404000</v>
      </c>
      <c r="I40" s="22">
        <v>75750</v>
      </c>
      <c r="J40" s="22">
        <v>50500</v>
      </c>
      <c r="K40" s="22">
        <v>1616000</v>
      </c>
      <c r="L40" s="22">
        <v>3</v>
      </c>
      <c r="M40" s="22">
        <v>2023</v>
      </c>
    </row>
    <row r="41" spans="1:13" x14ac:dyDescent="0.3">
      <c r="A41" s="22" t="s">
        <v>55</v>
      </c>
      <c r="B41" s="22" t="s">
        <v>439</v>
      </c>
      <c r="C41" s="22" t="s">
        <v>56</v>
      </c>
      <c r="D41" s="22">
        <v>5050000</v>
      </c>
      <c r="E41" s="22">
        <v>883750</v>
      </c>
      <c r="F41" s="22">
        <v>151500</v>
      </c>
      <c r="G41" s="22">
        <v>50500</v>
      </c>
      <c r="H41" s="22">
        <v>404000</v>
      </c>
      <c r="I41" s="22">
        <v>75750</v>
      </c>
      <c r="J41" s="22">
        <v>50500</v>
      </c>
      <c r="K41" s="22">
        <v>1616000</v>
      </c>
      <c r="L41" s="22">
        <v>3</v>
      </c>
      <c r="M41" s="22">
        <v>2023</v>
      </c>
    </row>
    <row r="42" spans="1:13" x14ac:dyDescent="0.3">
      <c r="A42" s="22" t="s">
        <v>9</v>
      </c>
      <c r="B42" s="22" t="s">
        <v>438</v>
      </c>
      <c r="C42" s="22" t="s">
        <v>10</v>
      </c>
      <c r="D42" s="22">
        <v>5007600</v>
      </c>
      <c r="E42" s="22">
        <v>876330</v>
      </c>
      <c r="F42" s="22">
        <v>150228</v>
      </c>
      <c r="G42" s="22">
        <v>50076</v>
      </c>
      <c r="H42" s="22">
        <v>400608</v>
      </c>
      <c r="I42" s="22">
        <v>75114</v>
      </c>
      <c r="J42" s="22">
        <v>50076</v>
      </c>
      <c r="K42" s="22">
        <v>1602432</v>
      </c>
      <c r="L42" s="22">
        <v>4</v>
      </c>
      <c r="M42" s="22">
        <v>2023</v>
      </c>
    </row>
    <row r="43" spans="1:13" x14ac:dyDescent="0.3">
      <c r="A43" s="22" t="s">
        <v>14</v>
      </c>
      <c r="B43" s="22" t="s">
        <v>438</v>
      </c>
      <c r="C43" s="22" t="s">
        <v>15</v>
      </c>
      <c r="D43" s="22">
        <v>5007600</v>
      </c>
      <c r="E43" s="22">
        <v>876330</v>
      </c>
      <c r="F43" s="22">
        <v>150228</v>
      </c>
      <c r="G43" s="22">
        <v>50076</v>
      </c>
      <c r="H43" s="22">
        <v>400608</v>
      </c>
      <c r="I43" s="22">
        <v>75114</v>
      </c>
      <c r="J43" s="22">
        <v>50076</v>
      </c>
      <c r="K43" s="22">
        <v>1602432</v>
      </c>
      <c r="L43" s="22">
        <v>4</v>
      </c>
      <c r="M43" s="22">
        <v>2023</v>
      </c>
    </row>
    <row r="44" spans="1:13" x14ac:dyDescent="0.3">
      <c r="A44" s="22" t="s">
        <v>19</v>
      </c>
      <c r="B44" s="22" t="s">
        <v>438</v>
      </c>
      <c r="C44" s="22" t="s">
        <v>20</v>
      </c>
      <c r="D44" s="22">
        <v>5007600</v>
      </c>
      <c r="E44" s="22">
        <v>876330</v>
      </c>
      <c r="F44" s="22">
        <v>150228</v>
      </c>
      <c r="G44" s="22">
        <v>50076</v>
      </c>
      <c r="H44" s="22">
        <v>400608</v>
      </c>
      <c r="I44" s="22">
        <v>75114</v>
      </c>
      <c r="J44" s="22">
        <v>50076</v>
      </c>
      <c r="K44" s="22">
        <v>1602432</v>
      </c>
      <c r="L44" s="22">
        <v>4</v>
      </c>
      <c r="M44" s="22">
        <v>2023</v>
      </c>
    </row>
    <row r="45" spans="1:13" x14ac:dyDescent="0.3">
      <c r="A45" s="22" t="s">
        <v>24</v>
      </c>
      <c r="B45" s="22" t="s">
        <v>439</v>
      </c>
      <c r="C45" s="22" t="s">
        <v>25</v>
      </c>
      <c r="D45" s="22">
        <v>5007600</v>
      </c>
      <c r="E45" s="22">
        <v>876330</v>
      </c>
      <c r="F45" s="22">
        <v>150228</v>
      </c>
      <c r="G45" s="22">
        <v>50076</v>
      </c>
      <c r="H45" s="22">
        <v>400608</v>
      </c>
      <c r="I45" s="22">
        <v>75114</v>
      </c>
      <c r="J45" s="22">
        <v>50076</v>
      </c>
      <c r="K45" s="22">
        <v>1602432</v>
      </c>
      <c r="L45" s="22">
        <v>4</v>
      </c>
      <c r="M45" s="22">
        <v>2023</v>
      </c>
    </row>
    <row r="46" spans="1:13" x14ac:dyDescent="0.3">
      <c r="A46" s="22" t="s">
        <v>29</v>
      </c>
      <c r="B46" s="22" t="s">
        <v>439</v>
      </c>
      <c r="C46" s="22" t="s">
        <v>30</v>
      </c>
      <c r="D46" s="22">
        <v>5007600</v>
      </c>
      <c r="E46" s="22">
        <v>876330</v>
      </c>
      <c r="F46" s="22">
        <v>150228</v>
      </c>
      <c r="G46" s="22">
        <v>50076</v>
      </c>
      <c r="H46" s="22">
        <v>400608</v>
      </c>
      <c r="I46" s="22">
        <v>75114</v>
      </c>
      <c r="J46" s="22">
        <v>50076</v>
      </c>
      <c r="K46" s="22">
        <v>1602432</v>
      </c>
      <c r="L46" s="22">
        <v>4</v>
      </c>
      <c r="M46" s="22">
        <v>2023</v>
      </c>
    </row>
    <row r="47" spans="1:13" x14ac:dyDescent="0.3">
      <c r="A47" s="22" t="s">
        <v>32</v>
      </c>
      <c r="B47" s="22" t="s">
        <v>439</v>
      </c>
      <c r="C47" s="22" t="s">
        <v>33</v>
      </c>
      <c r="D47" s="22">
        <v>5007600</v>
      </c>
      <c r="E47" s="22">
        <v>876330</v>
      </c>
      <c r="F47" s="22">
        <v>150228</v>
      </c>
      <c r="G47" s="22">
        <v>50076</v>
      </c>
      <c r="H47" s="22">
        <v>400608</v>
      </c>
      <c r="I47" s="22">
        <v>75114</v>
      </c>
      <c r="J47" s="22">
        <v>50076</v>
      </c>
      <c r="K47" s="22">
        <v>1602432</v>
      </c>
      <c r="L47" s="22">
        <v>4</v>
      </c>
      <c r="M47" s="22">
        <v>2023</v>
      </c>
    </row>
    <row r="48" spans="1:13" x14ac:dyDescent="0.3">
      <c r="A48" s="22" t="s">
        <v>35</v>
      </c>
      <c r="B48" s="22" t="s">
        <v>439</v>
      </c>
      <c r="C48" s="22" t="s">
        <v>36</v>
      </c>
      <c r="D48" s="22">
        <v>5007600</v>
      </c>
      <c r="E48" s="22">
        <v>876330</v>
      </c>
      <c r="F48" s="22">
        <v>150228</v>
      </c>
      <c r="G48" s="22">
        <v>50076</v>
      </c>
      <c r="H48" s="22">
        <v>400608</v>
      </c>
      <c r="I48" s="22">
        <v>75114</v>
      </c>
      <c r="J48" s="22">
        <v>50076</v>
      </c>
      <c r="K48" s="22">
        <v>1602432</v>
      </c>
      <c r="L48" s="22">
        <v>4</v>
      </c>
      <c r="M48" s="22">
        <v>2023</v>
      </c>
    </row>
    <row r="49" spans="1:13" x14ac:dyDescent="0.3">
      <c r="A49" s="22" t="s">
        <v>38</v>
      </c>
      <c r="B49" s="22" t="s">
        <v>439</v>
      </c>
      <c r="C49" s="22" t="s">
        <v>39</v>
      </c>
      <c r="D49" s="22">
        <v>5007600</v>
      </c>
      <c r="E49" s="22">
        <v>876330</v>
      </c>
      <c r="F49" s="22">
        <v>150228</v>
      </c>
      <c r="G49" s="22">
        <v>50076</v>
      </c>
      <c r="H49" s="22">
        <v>400608</v>
      </c>
      <c r="I49" s="22">
        <v>75114</v>
      </c>
      <c r="J49" s="22">
        <v>50076</v>
      </c>
      <c r="K49" s="22">
        <v>1602432</v>
      </c>
      <c r="L49" s="22">
        <v>4</v>
      </c>
      <c r="M49" s="22">
        <v>2023</v>
      </c>
    </row>
    <row r="50" spans="1:13" x14ac:dyDescent="0.3">
      <c r="A50" s="22" t="s">
        <v>41</v>
      </c>
      <c r="B50" s="22" t="s">
        <v>439</v>
      </c>
      <c r="C50" s="22" t="s">
        <v>42</v>
      </c>
      <c r="D50" s="22">
        <v>5007600</v>
      </c>
      <c r="E50" s="22">
        <v>876330</v>
      </c>
      <c r="F50" s="22">
        <v>150228</v>
      </c>
      <c r="G50" s="22">
        <v>50076</v>
      </c>
      <c r="H50" s="22">
        <v>400608</v>
      </c>
      <c r="I50" s="22">
        <v>75114</v>
      </c>
      <c r="J50" s="22">
        <v>50076</v>
      </c>
      <c r="K50" s="22">
        <v>1602432</v>
      </c>
      <c r="L50" s="22">
        <v>4</v>
      </c>
      <c r="M50" s="22">
        <v>2023</v>
      </c>
    </row>
    <row r="51" spans="1:13" x14ac:dyDescent="0.3">
      <c r="A51" s="22" t="s">
        <v>44</v>
      </c>
      <c r="B51" s="22" t="s">
        <v>439</v>
      </c>
      <c r="C51" s="22" t="s">
        <v>45</v>
      </c>
      <c r="D51" s="22">
        <v>5007600</v>
      </c>
      <c r="E51" s="22">
        <v>876330</v>
      </c>
      <c r="F51" s="22">
        <v>150228</v>
      </c>
      <c r="G51" s="22">
        <v>50076</v>
      </c>
      <c r="H51" s="22">
        <v>400608</v>
      </c>
      <c r="I51" s="22">
        <v>75114</v>
      </c>
      <c r="J51" s="22">
        <v>50076</v>
      </c>
      <c r="K51" s="22">
        <v>1602432</v>
      </c>
      <c r="L51" s="22">
        <v>4</v>
      </c>
      <c r="M51" s="22">
        <v>2023</v>
      </c>
    </row>
    <row r="52" spans="1:13" x14ac:dyDescent="0.3">
      <c r="A52" s="22" t="s">
        <v>47</v>
      </c>
      <c r="B52" s="22" t="s">
        <v>439</v>
      </c>
      <c r="C52" s="22" t="s">
        <v>48</v>
      </c>
      <c r="D52" s="22">
        <v>5050000</v>
      </c>
      <c r="E52" s="22">
        <v>883750</v>
      </c>
      <c r="F52" s="22">
        <v>151500</v>
      </c>
      <c r="G52" s="22">
        <v>50500</v>
      </c>
      <c r="H52" s="22">
        <v>404000</v>
      </c>
      <c r="I52" s="22">
        <v>75750</v>
      </c>
      <c r="J52" s="22">
        <v>50500</v>
      </c>
      <c r="K52" s="22">
        <v>1616000</v>
      </c>
      <c r="L52" s="22">
        <v>4</v>
      </c>
      <c r="M52" s="22">
        <v>2023</v>
      </c>
    </row>
    <row r="53" spans="1:13" x14ac:dyDescent="0.3">
      <c r="A53" s="22" t="s">
        <v>49</v>
      </c>
      <c r="B53" s="22" t="s">
        <v>439</v>
      </c>
      <c r="C53" s="22" t="s">
        <v>50</v>
      </c>
      <c r="D53" s="22">
        <v>5050000</v>
      </c>
      <c r="E53" s="22">
        <v>883750</v>
      </c>
      <c r="F53" s="22">
        <v>151500</v>
      </c>
      <c r="G53" s="22">
        <v>50500</v>
      </c>
      <c r="H53" s="22">
        <v>404000</v>
      </c>
      <c r="I53" s="22">
        <v>75750</v>
      </c>
      <c r="J53" s="22">
        <v>50500</v>
      </c>
      <c r="K53" s="22">
        <v>1616000</v>
      </c>
      <c r="L53" s="22">
        <v>4</v>
      </c>
      <c r="M53" s="22">
        <v>2023</v>
      </c>
    </row>
    <row r="54" spans="1:13" x14ac:dyDescent="0.3">
      <c r="A54" s="22" t="s">
        <v>51</v>
      </c>
      <c r="B54" s="22" t="s">
        <v>439</v>
      </c>
      <c r="C54" s="22" t="s">
        <v>52</v>
      </c>
      <c r="D54" s="22">
        <v>5050000</v>
      </c>
      <c r="E54" s="22">
        <v>883750</v>
      </c>
      <c r="F54" s="22">
        <v>151500</v>
      </c>
      <c r="G54" s="22">
        <v>50500</v>
      </c>
      <c r="H54" s="22">
        <v>404000</v>
      </c>
      <c r="I54" s="22">
        <v>75750</v>
      </c>
      <c r="J54" s="22">
        <v>50500</v>
      </c>
      <c r="K54" s="22">
        <v>1616000</v>
      </c>
      <c r="L54" s="22">
        <v>4</v>
      </c>
      <c r="M54" s="22">
        <v>2023</v>
      </c>
    </row>
    <row r="55" spans="1:13" x14ac:dyDescent="0.3">
      <c r="A55" s="22" t="s">
        <v>53</v>
      </c>
      <c r="B55" s="22" t="s">
        <v>439</v>
      </c>
      <c r="C55" s="22" t="s">
        <v>54</v>
      </c>
      <c r="D55" s="22">
        <v>5050000</v>
      </c>
      <c r="E55" s="22">
        <v>883750</v>
      </c>
      <c r="F55" s="22">
        <v>151500</v>
      </c>
      <c r="G55" s="22">
        <v>50500</v>
      </c>
      <c r="H55" s="22">
        <v>404000</v>
      </c>
      <c r="I55" s="22">
        <v>75750</v>
      </c>
      <c r="J55" s="22">
        <v>50500</v>
      </c>
      <c r="K55" s="22">
        <v>1616000</v>
      </c>
      <c r="L55" s="22">
        <v>4</v>
      </c>
      <c r="M55" s="22">
        <v>2023</v>
      </c>
    </row>
    <row r="56" spans="1:13" x14ac:dyDescent="0.3">
      <c r="A56" s="22" t="s">
        <v>55</v>
      </c>
      <c r="B56" s="22" t="s">
        <v>439</v>
      </c>
      <c r="C56" s="22" t="s">
        <v>56</v>
      </c>
      <c r="D56" s="22">
        <v>5050000</v>
      </c>
      <c r="E56" s="22">
        <v>883750</v>
      </c>
      <c r="F56" s="22">
        <v>151500</v>
      </c>
      <c r="G56" s="22">
        <v>50500</v>
      </c>
      <c r="H56" s="22">
        <v>404000</v>
      </c>
      <c r="I56" s="22">
        <v>75750</v>
      </c>
      <c r="J56" s="22">
        <v>50500</v>
      </c>
      <c r="K56" s="22">
        <v>1616000</v>
      </c>
      <c r="L56" s="22">
        <v>4</v>
      </c>
      <c r="M56" s="22">
        <v>2023</v>
      </c>
    </row>
    <row r="57" spans="1:13" x14ac:dyDescent="0.3">
      <c r="A57" s="22" t="s">
        <v>9</v>
      </c>
      <c r="B57" s="22" t="s">
        <v>438</v>
      </c>
      <c r="C57" s="22" t="s">
        <v>10</v>
      </c>
      <c r="D57" s="22">
        <v>5007600</v>
      </c>
      <c r="E57" s="22">
        <v>876330</v>
      </c>
      <c r="F57" s="22">
        <v>150228</v>
      </c>
      <c r="G57" s="22">
        <v>50076</v>
      </c>
      <c r="H57" s="22">
        <v>400608</v>
      </c>
      <c r="I57" s="22">
        <v>75114</v>
      </c>
      <c r="J57" s="22">
        <v>50076</v>
      </c>
      <c r="K57" s="22">
        <v>1602432</v>
      </c>
      <c r="L57" s="22">
        <v>5</v>
      </c>
      <c r="M57" s="22">
        <v>2023</v>
      </c>
    </row>
    <row r="58" spans="1:13" x14ac:dyDescent="0.3">
      <c r="A58" s="22" t="s">
        <v>14</v>
      </c>
      <c r="B58" s="22" t="s">
        <v>438</v>
      </c>
      <c r="C58" s="22" t="s">
        <v>15</v>
      </c>
      <c r="D58" s="22">
        <v>5007600</v>
      </c>
      <c r="E58" s="22">
        <v>876330</v>
      </c>
      <c r="F58" s="22">
        <v>150228</v>
      </c>
      <c r="G58" s="22">
        <v>50076</v>
      </c>
      <c r="H58" s="22">
        <v>400608</v>
      </c>
      <c r="I58" s="22">
        <v>75114</v>
      </c>
      <c r="J58" s="22">
        <v>50076</v>
      </c>
      <c r="K58" s="22">
        <v>1602432</v>
      </c>
      <c r="L58" s="22">
        <v>5</v>
      </c>
      <c r="M58" s="22">
        <v>2023</v>
      </c>
    </row>
    <row r="59" spans="1:13" x14ac:dyDescent="0.3">
      <c r="A59" s="22" t="s">
        <v>19</v>
      </c>
      <c r="B59" s="22" t="s">
        <v>438</v>
      </c>
      <c r="C59" s="22" t="s">
        <v>20</v>
      </c>
      <c r="D59" s="22">
        <v>5007600</v>
      </c>
      <c r="E59" s="22">
        <v>876330</v>
      </c>
      <c r="F59" s="22">
        <v>150228</v>
      </c>
      <c r="G59" s="22">
        <v>50076</v>
      </c>
      <c r="H59" s="22">
        <v>400608</v>
      </c>
      <c r="I59" s="22">
        <v>75114</v>
      </c>
      <c r="J59" s="22">
        <v>50076</v>
      </c>
      <c r="K59" s="22">
        <v>1602432</v>
      </c>
      <c r="L59" s="22">
        <v>5</v>
      </c>
      <c r="M59" s="22">
        <v>2023</v>
      </c>
    </row>
    <row r="60" spans="1:13" x14ac:dyDescent="0.3">
      <c r="A60" s="22" t="s">
        <v>24</v>
      </c>
      <c r="B60" s="22" t="s">
        <v>439</v>
      </c>
      <c r="C60" s="22" t="s">
        <v>25</v>
      </c>
      <c r="D60" s="22">
        <v>5007600</v>
      </c>
      <c r="E60" s="22">
        <v>876330</v>
      </c>
      <c r="F60" s="22">
        <v>150228</v>
      </c>
      <c r="G60" s="22">
        <v>50076</v>
      </c>
      <c r="H60" s="22">
        <v>400608</v>
      </c>
      <c r="I60" s="22">
        <v>75114</v>
      </c>
      <c r="J60" s="22">
        <v>50076</v>
      </c>
      <c r="K60" s="22">
        <v>1602432</v>
      </c>
      <c r="L60" s="22">
        <v>5</v>
      </c>
      <c r="M60" s="22">
        <v>2023</v>
      </c>
    </row>
    <row r="61" spans="1:13" x14ac:dyDescent="0.3">
      <c r="A61" s="22" t="s">
        <v>29</v>
      </c>
      <c r="B61" s="22" t="s">
        <v>439</v>
      </c>
      <c r="C61" s="22" t="s">
        <v>30</v>
      </c>
      <c r="D61" s="22">
        <v>5007600</v>
      </c>
      <c r="E61" s="22">
        <v>876330</v>
      </c>
      <c r="F61" s="22">
        <v>150228</v>
      </c>
      <c r="G61" s="22">
        <v>50076</v>
      </c>
      <c r="H61" s="22">
        <v>400608</v>
      </c>
      <c r="I61" s="22">
        <v>75114</v>
      </c>
      <c r="J61" s="22">
        <v>50076</v>
      </c>
      <c r="K61" s="22">
        <v>1602432</v>
      </c>
      <c r="L61" s="22">
        <v>5</v>
      </c>
      <c r="M61" s="22">
        <v>2023</v>
      </c>
    </row>
    <row r="62" spans="1:13" x14ac:dyDescent="0.3">
      <c r="A62" s="22" t="s">
        <v>32</v>
      </c>
      <c r="B62" s="22" t="s">
        <v>439</v>
      </c>
      <c r="C62" s="22" t="s">
        <v>33</v>
      </c>
      <c r="D62" s="22">
        <v>5007600</v>
      </c>
      <c r="E62" s="22">
        <v>876330</v>
      </c>
      <c r="F62" s="22">
        <v>150228</v>
      </c>
      <c r="G62" s="22">
        <v>50076</v>
      </c>
      <c r="H62" s="22">
        <v>400608</v>
      </c>
      <c r="I62" s="22">
        <v>75114</v>
      </c>
      <c r="J62" s="22">
        <v>50076</v>
      </c>
      <c r="K62" s="22">
        <v>1602432</v>
      </c>
      <c r="L62" s="22">
        <v>5</v>
      </c>
      <c r="M62" s="22">
        <v>2023</v>
      </c>
    </row>
    <row r="63" spans="1:13" x14ac:dyDescent="0.3">
      <c r="A63" s="22" t="s">
        <v>35</v>
      </c>
      <c r="B63" s="22" t="s">
        <v>439</v>
      </c>
      <c r="C63" s="22" t="s">
        <v>36</v>
      </c>
      <c r="D63" s="22">
        <v>5007600</v>
      </c>
      <c r="E63" s="22">
        <v>876330</v>
      </c>
      <c r="F63" s="22">
        <v>150228</v>
      </c>
      <c r="G63" s="22">
        <v>50076</v>
      </c>
      <c r="H63" s="22">
        <v>400608</v>
      </c>
      <c r="I63" s="22">
        <v>75114</v>
      </c>
      <c r="J63" s="22">
        <v>50076</v>
      </c>
      <c r="K63" s="22">
        <v>1602432</v>
      </c>
      <c r="L63" s="22">
        <v>5</v>
      </c>
      <c r="M63" s="22">
        <v>2023</v>
      </c>
    </row>
    <row r="64" spans="1:13" x14ac:dyDescent="0.3">
      <c r="A64" s="22" t="s">
        <v>38</v>
      </c>
      <c r="B64" s="22" t="s">
        <v>439</v>
      </c>
      <c r="C64" s="22" t="s">
        <v>39</v>
      </c>
      <c r="D64" s="22">
        <v>5007600</v>
      </c>
      <c r="E64" s="22">
        <v>876330</v>
      </c>
      <c r="F64" s="22">
        <v>150228</v>
      </c>
      <c r="G64" s="22">
        <v>50076</v>
      </c>
      <c r="H64" s="22">
        <v>400608</v>
      </c>
      <c r="I64" s="22">
        <v>75114</v>
      </c>
      <c r="J64" s="22">
        <v>50076</v>
      </c>
      <c r="K64" s="22">
        <v>1602432</v>
      </c>
      <c r="L64" s="22">
        <v>5</v>
      </c>
      <c r="M64" s="22">
        <v>2023</v>
      </c>
    </row>
    <row r="65" spans="1:13" x14ac:dyDescent="0.3">
      <c r="A65" s="22" t="s">
        <v>41</v>
      </c>
      <c r="B65" s="22" t="s">
        <v>439</v>
      </c>
      <c r="C65" s="22" t="s">
        <v>42</v>
      </c>
      <c r="D65" s="22">
        <v>5007600</v>
      </c>
      <c r="E65" s="22">
        <v>876330</v>
      </c>
      <c r="F65" s="22">
        <v>150228</v>
      </c>
      <c r="G65" s="22">
        <v>50076</v>
      </c>
      <c r="H65" s="22">
        <v>400608</v>
      </c>
      <c r="I65" s="22">
        <v>75114</v>
      </c>
      <c r="J65" s="22">
        <v>50076</v>
      </c>
      <c r="K65" s="22">
        <v>1602432</v>
      </c>
      <c r="L65" s="22">
        <v>5</v>
      </c>
      <c r="M65" s="22">
        <v>2023</v>
      </c>
    </row>
    <row r="66" spans="1:13" x14ac:dyDescent="0.3">
      <c r="A66" s="22" t="s">
        <v>44</v>
      </c>
      <c r="B66" s="22" t="s">
        <v>439</v>
      </c>
      <c r="C66" s="22" t="s">
        <v>45</v>
      </c>
      <c r="D66" s="22">
        <v>5007600</v>
      </c>
      <c r="E66" s="22">
        <v>876330</v>
      </c>
      <c r="F66" s="22">
        <v>150228</v>
      </c>
      <c r="G66" s="22">
        <v>50076</v>
      </c>
      <c r="H66" s="22">
        <v>400608</v>
      </c>
      <c r="I66" s="22">
        <v>75114</v>
      </c>
      <c r="J66" s="22">
        <v>50076</v>
      </c>
      <c r="K66" s="22">
        <v>1602432</v>
      </c>
      <c r="L66" s="22">
        <v>5</v>
      </c>
      <c r="M66" s="22">
        <v>2023</v>
      </c>
    </row>
    <row r="67" spans="1:13" x14ac:dyDescent="0.3">
      <c r="A67" s="22" t="s">
        <v>47</v>
      </c>
      <c r="B67" s="22" t="s">
        <v>439</v>
      </c>
      <c r="C67" s="22" t="s">
        <v>48</v>
      </c>
      <c r="D67" s="22">
        <v>5050000</v>
      </c>
      <c r="E67" s="22">
        <v>883750</v>
      </c>
      <c r="F67" s="22">
        <v>151500</v>
      </c>
      <c r="G67" s="22">
        <v>50500</v>
      </c>
      <c r="H67" s="22">
        <v>404000</v>
      </c>
      <c r="I67" s="22">
        <v>75750</v>
      </c>
      <c r="J67" s="22">
        <v>50500</v>
      </c>
      <c r="K67" s="22">
        <v>1616000</v>
      </c>
      <c r="L67" s="22">
        <v>5</v>
      </c>
      <c r="M67" s="22">
        <v>2023</v>
      </c>
    </row>
    <row r="68" spans="1:13" x14ac:dyDescent="0.3">
      <c r="A68" s="22" t="s">
        <v>49</v>
      </c>
      <c r="B68" s="22" t="s">
        <v>439</v>
      </c>
      <c r="C68" s="22" t="s">
        <v>50</v>
      </c>
      <c r="D68" s="22">
        <v>5050000</v>
      </c>
      <c r="E68" s="22">
        <v>883750</v>
      </c>
      <c r="F68" s="22">
        <v>151500</v>
      </c>
      <c r="G68" s="22">
        <v>50500</v>
      </c>
      <c r="H68" s="22">
        <v>404000</v>
      </c>
      <c r="I68" s="22">
        <v>75750</v>
      </c>
      <c r="J68" s="22">
        <v>50500</v>
      </c>
      <c r="K68" s="22">
        <v>1616000</v>
      </c>
      <c r="L68" s="22">
        <v>5</v>
      </c>
      <c r="M68" s="22">
        <v>2023</v>
      </c>
    </row>
    <row r="69" spans="1:13" x14ac:dyDescent="0.3">
      <c r="A69" s="22" t="s">
        <v>51</v>
      </c>
      <c r="B69" s="22" t="s">
        <v>439</v>
      </c>
      <c r="C69" s="22" t="s">
        <v>52</v>
      </c>
      <c r="D69" s="22">
        <v>5050000</v>
      </c>
      <c r="E69" s="22">
        <v>883750</v>
      </c>
      <c r="F69" s="22">
        <v>151500</v>
      </c>
      <c r="G69" s="22">
        <v>50500</v>
      </c>
      <c r="H69" s="22">
        <v>404000</v>
      </c>
      <c r="I69" s="22">
        <v>75750</v>
      </c>
      <c r="J69" s="22">
        <v>50500</v>
      </c>
      <c r="K69" s="22">
        <v>1616000</v>
      </c>
      <c r="L69" s="22">
        <v>5</v>
      </c>
      <c r="M69" s="22">
        <v>2023</v>
      </c>
    </row>
    <row r="70" spans="1:13" x14ac:dyDescent="0.3">
      <c r="A70" s="22" t="s">
        <v>53</v>
      </c>
      <c r="B70" s="22" t="s">
        <v>439</v>
      </c>
      <c r="C70" s="22" t="s">
        <v>54</v>
      </c>
      <c r="D70" s="22">
        <v>5050000</v>
      </c>
      <c r="E70" s="22">
        <v>883750</v>
      </c>
      <c r="F70" s="22">
        <v>151500</v>
      </c>
      <c r="G70" s="22">
        <v>50500</v>
      </c>
      <c r="H70" s="22">
        <v>404000</v>
      </c>
      <c r="I70" s="22">
        <v>75750</v>
      </c>
      <c r="J70" s="22">
        <v>50500</v>
      </c>
      <c r="K70" s="22">
        <v>1616000</v>
      </c>
      <c r="L70" s="22">
        <v>5</v>
      </c>
      <c r="M70" s="22">
        <v>2023</v>
      </c>
    </row>
    <row r="71" spans="1:13" x14ac:dyDescent="0.3">
      <c r="A71" s="22" t="s">
        <v>55</v>
      </c>
      <c r="B71" s="22" t="s">
        <v>439</v>
      </c>
      <c r="C71" s="22" t="s">
        <v>56</v>
      </c>
      <c r="D71" s="22">
        <v>5050000</v>
      </c>
      <c r="E71" s="22">
        <v>883750</v>
      </c>
      <c r="F71" s="22">
        <v>151500</v>
      </c>
      <c r="G71" s="22">
        <v>50500</v>
      </c>
      <c r="H71" s="22">
        <v>404000</v>
      </c>
      <c r="I71" s="22">
        <v>75750</v>
      </c>
      <c r="J71" s="22">
        <v>50500</v>
      </c>
      <c r="K71" s="22">
        <v>1616000</v>
      </c>
      <c r="L71" s="22">
        <v>5</v>
      </c>
      <c r="M71" s="22">
        <v>2023</v>
      </c>
    </row>
    <row r="72" spans="1:13" x14ac:dyDescent="0.3">
      <c r="A72" s="22" t="s">
        <v>9</v>
      </c>
      <c r="B72" s="22" t="s">
        <v>438</v>
      </c>
      <c r="C72" s="22" t="s">
        <v>10</v>
      </c>
      <c r="D72" s="22">
        <v>6000000</v>
      </c>
      <c r="E72" s="22">
        <v>1050000</v>
      </c>
      <c r="F72" s="22">
        <v>180000</v>
      </c>
      <c r="G72" s="22">
        <v>60000</v>
      </c>
      <c r="H72" s="22">
        <v>480000</v>
      </c>
      <c r="I72" s="22">
        <v>90000</v>
      </c>
      <c r="J72" s="22">
        <v>60000</v>
      </c>
      <c r="K72" s="22">
        <v>1920000</v>
      </c>
      <c r="L72" s="22">
        <v>6</v>
      </c>
      <c r="M72" s="22">
        <v>2023</v>
      </c>
    </row>
    <row r="73" spans="1:13" x14ac:dyDescent="0.3">
      <c r="A73" s="22" t="s">
        <v>14</v>
      </c>
      <c r="B73" s="22" t="s">
        <v>438</v>
      </c>
      <c r="C73" s="22" t="s">
        <v>15</v>
      </c>
      <c r="D73" s="22">
        <v>6000000</v>
      </c>
      <c r="E73" s="22">
        <v>1050000</v>
      </c>
      <c r="F73" s="22">
        <v>180000</v>
      </c>
      <c r="G73" s="22">
        <v>60000</v>
      </c>
      <c r="H73" s="22">
        <v>480000</v>
      </c>
      <c r="I73" s="22">
        <v>90000</v>
      </c>
      <c r="J73" s="22">
        <v>60000</v>
      </c>
      <c r="K73" s="22">
        <v>1920000</v>
      </c>
      <c r="L73" s="22">
        <v>6</v>
      </c>
      <c r="M73" s="22">
        <v>2023</v>
      </c>
    </row>
    <row r="74" spans="1:13" x14ac:dyDescent="0.3">
      <c r="A74" s="22" t="s">
        <v>19</v>
      </c>
      <c r="B74" s="22" t="s">
        <v>438</v>
      </c>
      <c r="C74" s="22" t="s">
        <v>20</v>
      </c>
      <c r="D74" s="22">
        <v>6000000</v>
      </c>
      <c r="E74" s="22">
        <v>1050000</v>
      </c>
      <c r="F74" s="22">
        <v>180000</v>
      </c>
      <c r="G74" s="22">
        <v>60000</v>
      </c>
      <c r="H74" s="22">
        <v>480000</v>
      </c>
      <c r="I74" s="22">
        <v>90000</v>
      </c>
      <c r="J74" s="22">
        <v>60000</v>
      </c>
      <c r="K74" s="22">
        <v>1920000</v>
      </c>
      <c r="L74" s="22">
        <v>6</v>
      </c>
      <c r="M74" s="22">
        <v>2023</v>
      </c>
    </row>
    <row r="75" spans="1:13" x14ac:dyDescent="0.3">
      <c r="A75" s="22" t="s">
        <v>24</v>
      </c>
      <c r="B75" s="22" t="s">
        <v>439</v>
      </c>
      <c r="C75" s="22" t="s">
        <v>25</v>
      </c>
      <c r="D75" s="22">
        <v>6000000</v>
      </c>
      <c r="E75" s="22">
        <v>1050000</v>
      </c>
      <c r="F75" s="22">
        <v>180000</v>
      </c>
      <c r="G75" s="22">
        <v>60000</v>
      </c>
      <c r="H75" s="22">
        <v>480000</v>
      </c>
      <c r="I75" s="22">
        <v>90000</v>
      </c>
      <c r="J75" s="22">
        <v>60000</v>
      </c>
      <c r="K75" s="22">
        <v>1920000</v>
      </c>
      <c r="L75" s="22">
        <v>6</v>
      </c>
      <c r="M75" s="22">
        <v>2023</v>
      </c>
    </row>
    <row r="76" spans="1:13" x14ac:dyDescent="0.3">
      <c r="A76" s="22" t="s">
        <v>29</v>
      </c>
      <c r="B76" s="22" t="s">
        <v>439</v>
      </c>
      <c r="C76" s="22" t="s">
        <v>30</v>
      </c>
      <c r="D76" s="22">
        <v>6000000</v>
      </c>
      <c r="E76" s="22">
        <v>1050000</v>
      </c>
      <c r="F76" s="22">
        <v>180000</v>
      </c>
      <c r="G76" s="22">
        <v>60000</v>
      </c>
      <c r="H76" s="22">
        <v>480000</v>
      </c>
      <c r="I76" s="22">
        <v>90000</v>
      </c>
      <c r="J76" s="22">
        <v>60000</v>
      </c>
      <c r="K76" s="22">
        <v>1920000</v>
      </c>
      <c r="L76" s="22">
        <v>6</v>
      </c>
      <c r="M76" s="22">
        <v>2023</v>
      </c>
    </row>
    <row r="77" spans="1:13" x14ac:dyDescent="0.3">
      <c r="A77" s="22" t="s">
        <v>32</v>
      </c>
      <c r="B77" s="22" t="s">
        <v>439</v>
      </c>
      <c r="C77" s="22" t="s">
        <v>33</v>
      </c>
      <c r="D77" s="22">
        <v>6000000</v>
      </c>
      <c r="E77" s="22">
        <v>1050000</v>
      </c>
      <c r="F77" s="22">
        <v>180000</v>
      </c>
      <c r="G77" s="22">
        <v>60000</v>
      </c>
      <c r="H77" s="22">
        <v>480000</v>
      </c>
      <c r="I77" s="22">
        <v>90000</v>
      </c>
      <c r="J77" s="22">
        <v>60000</v>
      </c>
      <c r="K77" s="22">
        <v>1920000</v>
      </c>
      <c r="L77" s="22">
        <v>6</v>
      </c>
      <c r="M77" s="22">
        <v>2023</v>
      </c>
    </row>
    <row r="78" spans="1:13" x14ac:dyDescent="0.3">
      <c r="A78" s="22" t="s">
        <v>35</v>
      </c>
      <c r="B78" s="22" t="s">
        <v>439</v>
      </c>
      <c r="C78" s="22" t="s">
        <v>36</v>
      </c>
      <c r="D78" s="22">
        <v>6000000</v>
      </c>
      <c r="E78" s="22">
        <v>1050000</v>
      </c>
      <c r="F78" s="22">
        <v>180000</v>
      </c>
      <c r="G78" s="22">
        <v>60000</v>
      </c>
      <c r="H78" s="22">
        <v>480000</v>
      </c>
      <c r="I78" s="22">
        <v>90000</v>
      </c>
      <c r="J78" s="22">
        <v>60000</v>
      </c>
      <c r="K78" s="22">
        <v>1920000</v>
      </c>
      <c r="L78" s="22">
        <v>6</v>
      </c>
      <c r="M78" s="22">
        <v>2023</v>
      </c>
    </row>
    <row r="79" spans="1:13" x14ac:dyDescent="0.3">
      <c r="A79" s="22" t="s">
        <v>38</v>
      </c>
      <c r="B79" s="22" t="s">
        <v>439</v>
      </c>
      <c r="C79" s="22" t="s">
        <v>39</v>
      </c>
      <c r="D79" s="22">
        <v>6000000</v>
      </c>
      <c r="E79" s="22">
        <v>1050000</v>
      </c>
      <c r="F79" s="22">
        <v>180000</v>
      </c>
      <c r="G79" s="22">
        <v>60000</v>
      </c>
      <c r="H79" s="22">
        <v>480000</v>
      </c>
      <c r="I79" s="22">
        <v>90000</v>
      </c>
      <c r="J79" s="22">
        <v>60000</v>
      </c>
      <c r="K79" s="22">
        <v>1920000</v>
      </c>
      <c r="L79" s="22">
        <v>6</v>
      </c>
      <c r="M79" s="22">
        <v>2023</v>
      </c>
    </row>
    <row r="80" spans="1:13" x14ac:dyDescent="0.3">
      <c r="A80" s="22" t="s">
        <v>41</v>
      </c>
      <c r="B80" s="22" t="s">
        <v>439</v>
      </c>
      <c r="C80" s="22" t="s">
        <v>42</v>
      </c>
      <c r="D80" s="22">
        <v>6000000</v>
      </c>
      <c r="E80" s="22">
        <v>1050000</v>
      </c>
      <c r="F80" s="22">
        <v>180000</v>
      </c>
      <c r="G80" s="22">
        <v>60000</v>
      </c>
      <c r="H80" s="22">
        <v>480000</v>
      </c>
      <c r="I80" s="22">
        <v>90000</v>
      </c>
      <c r="J80" s="22">
        <v>60000</v>
      </c>
      <c r="K80" s="22">
        <v>1920000</v>
      </c>
      <c r="L80" s="22">
        <v>6</v>
      </c>
      <c r="M80" s="22">
        <v>2023</v>
      </c>
    </row>
    <row r="81" spans="1:13" x14ac:dyDescent="0.3">
      <c r="A81" s="22" t="s">
        <v>44</v>
      </c>
      <c r="B81" s="22" t="s">
        <v>439</v>
      </c>
      <c r="C81" s="22" t="s">
        <v>45</v>
      </c>
      <c r="D81" s="22">
        <v>6000000</v>
      </c>
      <c r="E81" s="22">
        <v>1050000</v>
      </c>
      <c r="F81" s="22">
        <v>180000</v>
      </c>
      <c r="G81" s="22">
        <v>60000</v>
      </c>
      <c r="H81" s="22">
        <v>480000</v>
      </c>
      <c r="I81" s="22">
        <v>90000</v>
      </c>
      <c r="J81" s="22">
        <v>60000</v>
      </c>
      <c r="K81" s="22">
        <v>1920000</v>
      </c>
      <c r="L81" s="22">
        <v>6</v>
      </c>
      <c r="M81" s="22">
        <v>2023</v>
      </c>
    </row>
    <row r="82" spans="1:13" x14ac:dyDescent="0.3">
      <c r="A82" s="22" t="s">
        <v>47</v>
      </c>
      <c r="B82" s="22" t="s">
        <v>439</v>
      </c>
      <c r="C82" s="22" t="s">
        <v>48</v>
      </c>
      <c r="D82" s="22">
        <v>6000000</v>
      </c>
      <c r="E82" s="22">
        <v>1050000</v>
      </c>
      <c r="F82" s="22">
        <v>180000</v>
      </c>
      <c r="G82" s="22">
        <v>60000</v>
      </c>
      <c r="H82" s="22">
        <v>480000</v>
      </c>
      <c r="I82" s="22">
        <v>90000</v>
      </c>
      <c r="J82" s="22">
        <v>60000</v>
      </c>
      <c r="K82" s="22">
        <v>1920000</v>
      </c>
      <c r="L82" s="22">
        <v>6</v>
      </c>
      <c r="M82" s="22">
        <v>2023</v>
      </c>
    </row>
    <row r="83" spans="1:13" x14ac:dyDescent="0.3">
      <c r="A83" s="22" t="s">
        <v>49</v>
      </c>
      <c r="B83" s="22" t="s">
        <v>439</v>
      </c>
      <c r="C83" s="22" t="s">
        <v>50</v>
      </c>
      <c r="D83" s="22">
        <v>6000000</v>
      </c>
      <c r="E83" s="22">
        <v>1050000</v>
      </c>
      <c r="F83" s="22">
        <v>180000</v>
      </c>
      <c r="G83" s="22">
        <v>60000</v>
      </c>
      <c r="H83" s="22">
        <v>480000</v>
      </c>
      <c r="I83" s="22">
        <v>90000</v>
      </c>
      <c r="J83" s="22">
        <v>60000</v>
      </c>
      <c r="K83" s="22">
        <v>1920000</v>
      </c>
      <c r="L83" s="22">
        <v>6</v>
      </c>
      <c r="M83" s="22">
        <v>2023</v>
      </c>
    </row>
    <row r="84" spans="1:13" x14ac:dyDescent="0.3">
      <c r="A84" s="22" t="s">
        <v>51</v>
      </c>
      <c r="B84" s="22" t="s">
        <v>439</v>
      </c>
      <c r="C84" s="22" t="s">
        <v>52</v>
      </c>
      <c r="D84" s="22">
        <v>6000000</v>
      </c>
      <c r="E84" s="22">
        <v>1050000</v>
      </c>
      <c r="F84" s="22">
        <v>180000</v>
      </c>
      <c r="G84" s="22">
        <v>60000</v>
      </c>
      <c r="H84" s="22">
        <v>480000</v>
      </c>
      <c r="I84" s="22">
        <v>90000</v>
      </c>
      <c r="J84" s="22">
        <v>60000</v>
      </c>
      <c r="K84" s="22">
        <v>1920000</v>
      </c>
      <c r="L84" s="22">
        <v>6</v>
      </c>
      <c r="M84" s="22">
        <v>2023</v>
      </c>
    </row>
    <row r="85" spans="1:13" x14ac:dyDescent="0.3">
      <c r="A85" s="22" t="s">
        <v>53</v>
      </c>
      <c r="B85" s="22" t="s">
        <v>439</v>
      </c>
      <c r="C85" s="22" t="s">
        <v>54</v>
      </c>
      <c r="D85" s="22">
        <v>5800000</v>
      </c>
      <c r="E85" s="22">
        <v>1014999.9999999999</v>
      </c>
      <c r="F85" s="22">
        <v>174000</v>
      </c>
      <c r="G85" s="22">
        <v>58000</v>
      </c>
      <c r="H85" s="22">
        <v>464000</v>
      </c>
      <c r="I85" s="22">
        <v>87000</v>
      </c>
      <c r="J85" s="22">
        <v>58000</v>
      </c>
      <c r="K85" s="22">
        <v>1856000</v>
      </c>
      <c r="L85" s="22">
        <v>6</v>
      </c>
      <c r="M85" s="22">
        <v>2023</v>
      </c>
    </row>
    <row r="86" spans="1:13" x14ac:dyDescent="0.3">
      <c r="A86" s="22" t="s">
        <v>55</v>
      </c>
      <c r="B86" s="22" t="s">
        <v>439</v>
      </c>
      <c r="C86" s="22" t="s">
        <v>56</v>
      </c>
      <c r="D86" s="22">
        <v>5800000</v>
      </c>
      <c r="E86" s="22">
        <v>1014999.9999999999</v>
      </c>
      <c r="F86" s="22">
        <v>174000</v>
      </c>
      <c r="G86" s="22">
        <v>58000</v>
      </c>
      <c r="H86" s="22">
        <v>464000</v>
      </c>
      <c r="I86" s="22">
        <v>87000</v>
      </c>
      <c r="J86" s="22">
        <v>58000</v>
      </c>
      <c r="K86" s="22">
        <v>1856000</v>
      </c>
      <c r="L86" s="22">
        <v>6</v>
      </c>
      <c r="M86" s="22">
        <v>2023</v>
      </c>
    </row>
    <row r="87" spans="1:13" x14ac:dyDescent="0.3">
      <c r="A87" s="22" t="s">
        <v>9</v>
      </c>
      <c r="B87" s="22" t="s">
        <v>438</v>
      </c>
      <c r="C87" s="22" t="s">
        <v>10</v>
      </c>
      <c r="D87" s="22">
        <v>6000000</v>
      </c>
      <c r="E87" s="22">
        <v>1050000</v>
      </c>
      <c r="F87" s="22">
        <v>180000</v>
      </c>
      <c r="G87" s="22">
        <v>60000</v>
      </c>
      <c r="H87" s="22">
        <v>480000</v>
      </c>
      <c r="I87" s="22">
        <v>90000</v>
      </c>
      <c r="J87" s="22">
        <v>60000</v>
      </c>
      <c r="K87" s="22">
        <v>1920000</v>
      </c>
      <c r="L87" s="22">
        <v>7</v>
      </c>
      <c r="M87" s="22">
        <v>2023</v>
      </c>
    </row>
    <row r="88" spans="1:13" x14ac:dyDescent="0.3">
      <c r="A88" s="22" t="s">
        <v>14</v>
      </c>
      <c r="B88" s="22" t="s">
        <v>438</v>
      </c>
      <c r="C88" s="22" t="s">
        <v>15</v>
      </c>
      <c r="D88" s="22">
        <v>6000000</v>
      </c>
      <c r="E88" s="22">
        <v>1050000</v>
      </c>
      <c r="F88" s="22">
        <v>180000</v>
      </c>
      <c r="G88" s="22">
        <v>60000</v>
      </c>
      <c r="H88" s="22">
        <v>480000</v>
      </c>
      <c r="I88" s="22">
        <v>90000</v>
      </c>
      <c r="J88" s="22">
        <v>60000</v>
      </c>
      <c r="K88" s="22">
        <v>1920000</v>
      </c>
      <c r="L88" s="22">
        <v>7</v>
      </c>
      <c r="M88" s="22">
        <v>2023</v>
      </c>
    </row>
    <row r="89" spans="1:13" x14ac:dyDescent="0.3">
      <c r="A89" s="22" t="s">
        <v>19</v>
      </c>
      <c r="B89" s="22" t="s">
        <v>438</v>
      </c>
      <c r="C89" s="22" t="s">
        <v>20</v>
      </c>
      <c r="D89" s="22">
        <v>6000000</v>
      </c>
      <c r="E89" s="22">
        <v>1050000</v>
      </c>
      <c r="F89" s="22">
        <v>180000</v>
      </c>
      <c r="G89" s="22">
        <v>60000</v>
      </c>
      <c r="H89" s="22">
        <v>480000</v>
      </c>
      <c r="I89" s="22">
        <v>90000</v>
      </c>
      <c r="J89" s="22">
        <v>60000</v>
      </c>
      <c r="K89" s="22">
        <v>1920000</v>
      </c>
      <c r="L89" s="22">
        <v>7</v>
      </c>
      <c r="M89" s="22">
        <v>2023</v>
      </c>
    </row>
    <row r="90" spans="1:13" x14ac:dyDescent="0.3">
      <c r="A90" s="22" t="s">
        <v>24</v>
      </c>
      <c r="B90" s="22" t="s">
        <v>439</v>
      </c>
      <c r="C90" s="22" t="s">
        <v>25</v>
      </c>
      <c r="D90" s="22">
        <v>6000000</v>
      </c>
      <c r="E90" s="22">
        <v>1050000</v>
      </c>
      <c r="F90" s="22">
        <v>180000</v>
      </c>
      <c r="G90" s="22">
        <v>60000</v>
      </c>
      <c r="H90" s="22">
        <v>480000</v>
      </c>
      <c r="I90" s="22">
        <v>90000</v>
      </c>
      <c r="J90" s="22">
        <v>60000</v>
      </c>
      <c r="K90" s="22">
        <v>1920000</v>
      </c>
      <c r="L90" s="22">
        <v>7</v>
      </c>
      <c r="M90" s="22">
        <v>2023</v>
      </c>
    </row>
    <row r="91" spans="1:13" x14ac:dyDescent="0.3">
      <c r="A91" s="22" t="s">
        <v>29</v>
      </c>
      <c r="B91" s="22" t="s">
        <v>439</v>
      </c>
      <c r="C91" s="22" t="s">
        <v>30</v>
      </c>
      <c r="D91" s="22">
        <v>6000000</v>
      </c>
      <c r="E91" s="22">
        <v>1050000</v>
      </c>
      <c r="F91" s="22">
        <v>180000</v>
      </c>
      <c r="G91" s="22">
        <v>60000</v>
      </c>
      <c r="H91" s="22">
        <v>480000</v>
      </c>
      <c r="I91" s="22">
        <v>90000</v>
      </c>
      <c r="J91" s="22">
        <v>60000</v>
      </c>
      <c r="K91" s="22">
        <v>1920000</v>
      </c>
      <c r="L91" s="22">
        <v>7</v>
      </c>
      <c r="M91" s="22">
        <v>2023</v>
      </c>
    </row>
    <row r="92" spans="1:13" x14ac:dyDescent="0.3">
      <c r="A92" s="22" t="s">
        <v>32</v>
      </c>
      <c r="B92" s="22" t="s">
        <v>439</v>
      </c>
      <c r="C92" s="22" t="s">
        <v>33</v>
      </c>
      <c r="D92" s="22">
        <v>6000000</v>
      </c>
      <c r="E92" s="22">
        <v>1050000</v>
      </c>
      <c r="F92" s="22">
        <v>180000</v>
      </c>
      <c r="G92" s="22">
        <v>60000</v>
      </c>
      <c r="H92" s="22">
        <v>480000</v>
      </c>
      <c r="I92" s="22">
        <v>90000</v>
      </c>
      <c r="J92" s="22">
        <v>60000</v>
      </c>
      <c r="K92" s="22">
        <v>1920000</v>
      </c>
      <c r="L92" s="22">
        <v>7</v>
      </c>
      <c r="M92" s="22">
        <v>2023</v>
      </c>
    </row>
    <row r="93" spans="1:13" x14ac:dyDescent="0.3">
      <c r="A93" s="22" t="s">
        <v>35</v>
      </c>
      <c r="B93" s="22" t="s">
        <v>439</v>
      </c>
      <c r="C93" s="22" t="s">
        <v>36</v>
      </c>
      <c r="D93" s="22">
        <v>6000000</v>
      </c>
      <c r="E93" s="22">
        <v>1050000</v>
      </c>
      <c r="F93" s="22">
        <v>180000</v>
      </c>
      <c r="G93" s="22">
        <v>60000</v>
      </c>
      <c r="H93" s="22">
        <v>480000</v>
      </c>
      <c r="I93" s="22">
        <v>90000</v>
      </c>
      <c r="J93" s="22">
        <v>60000</v>
      </c>
      <c r="K93" s="22">
        <v>1920000</v>
      </c>
      <c r="L93" s="22">
        <v>7</v>
      </c>
      <c r="M93" s="22">
        <v>2023</v>
      </c>
    </row>
    <row r="94" spans="1:13" x14ac:dyDescent="0.3">
      <c r="A94" s="22" t="s">
        <v>38</v>
      </c>
      <c r="B94" s="22" t="s">
        <v>439</v>
      </c>
      <c r="C94" s="22" t="s">
        <v>39</v>
      </c>
      <c r="D94" s="22">
        <v>6000000</v>
      </c>
      <c r="E94" s="22">
        <v>1050000</v>
      </c>
      <c r="F94" s="22">
        <v>180000</v>
      </c>
      <c r="G94" s="22">
        <v>60000</v>
      </c>
      <c r="H94" s="22">
        <v>480000</v>
      </c>
      <c r="I94" s="22">
        <v>90000</v>
      </c>
      <c r="J94" s="22">
        <v>60000</v>
      </c>
      <c r="K94" s="22">
        <v>1920000</v>
      </c>
      <c r="L94" s="22">
        <v>7</v>
      </c>
      <c r="M94" s="22">
        <v>2023</v>
      </c>
    </row>
    <row r="95" spans="1:13" x14ac:dyDescent="0.3">
      <c r="A95" s="22" t="s">
        <v>41</v>
      </c>
      <c r="B95" s="22" t="s">
        <v>439</v>
      </c>
      <c r="C95" s="22" t="s">
        <v>42</v>
      </c>
      <c r="D95" s="22">
        <v>6000000</v>
      </c>
      <c r="E95" s="22">
        <v>1050000</v>
      </c>
      <c r="F95" s="22">
        <v>180000</v>
      </c>
      <c r="G95" s="22">
        <v>60000</v>
      </c>
      <c r="H95" s="22">
        <v>480000</v>
      </c>
      <c r="I95" s="22">
        <v>90000</v>
      </c>
      <c r="J95" s="22">
        <v>60000</v>
      </c>
      <c r="K95" s="22">
        <v>1920000</v>
      </c>
      <c r="L95" s="22">
        <v>7</v>
      </c>
      <c r="M95" s="22">
        <v>2023</v>
      </c>
    </row>
    <row r="96" spans="1:13" x14ac:dyDescent="0.3">
      <c r="A96" s="22" t="s">
        <v>44</v>
      </c>
      <c r="B96" s="22" t="s">
        <v>439</v>
      </c>
      <c r="C96" s="22" t="s">
        <v>45</v>
      </c>
      <c r="D96" s="22">
        <v>6000000</v>
      </c>
      <c r="E96" s="22">
        <v>1050000</v>
      </c>
      <c r="F96" s="22">
        <v>180000</v>
      </c>
      <c r="G96" s="22">
        <v>60000</v>
      </c>
      <c r="H96" s="22">
        <v>480000</v>
      </c>
      <c r="I96" s="22">
        <v>90000</v>
      </c>
      <c r="J96" s="22">
        <v>60000</v>
      </c>
      <c r="K96" s="22">
        <v>1920000</v>
      </c>
      <c r="L96" s="22">
        <v>7</v>
      </c>
      <c r="M96" s="22">
        <v>2023</v>
      </c>
    </row>
    <row r="97" spans="1:13" x14ac:dyDescent="0.3">
      <c r="A97" s="22" t="s">
        <v>47</v>
      </c>
      <c r="B97" s="22" t="s">
        <v>439</v>
      </c>
      <c r="C97" s="22" t="s">
        <v>48</v>
      </c>
      <c r="D97" s="22">
        <v>6000000</v>
      </c>
      <c r="E97" s="22">
        <v>1050000</v>
      </c>
      <c r="F97" s="22">
        <v>180000</v>
      </c>
      <c r="G97" s="22">
        <v>60000</v>
      </c>
      <c r="H97" s="22">
        <v>480000</v>
      </c>
      <c r="I97" s="22">
        <v>90000</v>
      </c>
      <c r="J97" s="22">
        <v>60000</v>
      </c>
      <c r="K97" s="22">
        <v>1920000</v>
      </c>
      <c r="L97" s="22">
        <v>7</v>
      </c>
      <c r="M97" s="22">
        <v>2023</v>
      </c>
    </row>
    <row r="98" spans="1:13" x14ac:dyDescent="0.3">
      <c r="A98" s="22" t="s">
        <v>49</v>
      </c>
      <c r="B98" s="22" t="s">
        <v>439</v>
      </c>
      <c r="C98" s="22" t="s">
        <v>50</v>
      </c>
      <c r="D98" s="22">
        <v>6000000</v>
      </c>
      <c r="E98" s="22">
        <v>1050000</v>
      </c>
      <c r="F98" s="22">
        <v>180000</v>
      </c>
      <c r="G98" s="22">
        <v>60000</v>
      </c>
      <c r="H98" s="22">
        <v>480000</v>
      </c>
      <c r="I98" s="22">
        <v>90000</v>
      </c>
      <c r="J98" s="22">
        <v>60000</v>
      </c>
      <c r="K98" s="22">
        <v>1920000</v>
      </c>
      <c r="L98" s="22">
        <v>7</v>
      </c>
      <c r="M98" s="22">
        <v>2023</v>
      </c>
    </row>
    <row r="99" spans="1:13" x14ac:dyDescent="0.3">
      <c r="A99" s="22" t="s">
        <v>51</v>
      </c>
      <c r="B99" s="22" t="s">
        <v>439</v>
      </c>
      <c r="C99" s="22" t="s">
        <v>52</v>
      </c>
      <c r="D99" s="22">
        <v>6000000</v>
      </c>
      <c r="E99" s="22">
        <v>1050000</v>
      </c>
      <c r="F99" s="22">
        <v>180000</v>
      </c>
      <c r="G99" s="22">
        <v>60000</v>
      </c>
      <c r="H99" s="22">
        <v>480000</v>
      </c>
      <c r="I99" s="22">
        <v>90000</v>
      </c>
      <c r="J99" s="22">
        <v>60000</v>
      </c>
      <c r="K99" s="22">
        <v>1920000</v>
      </c>
      <c r="L99" s="22">
        <v>7</v>
      </c>
      <c r="M99" s="22">
        <v>2023</v>
      </c>
    </row>
    <row r="100" spans="1:13" x14ac:dyDescent="0.3">
      <c r="A100" s="22" t="s">
        <v>53</v>
      </c>
      <c r="B100" s="22" t="s">
        <v>439</v>
      </c>
      <c r="C100" s="22" t="s">
        <v>54</v>
      </c>
      <c r="D100" s="22">
        <v>5800000</v>
      </c>
      <c r="E100" s="22">
        <v>1014999.9999999999</v>
      </c>
      <c r="F100" s="22">
        <v>174000</v>
      </c>
      <c r="G100" s="22">
        <v>58000</v>
      </c>
      <c r="H100" s="22">
        <v>464000</v>
      </c>
      <c r="I100" s="22">
        <v>87000</v>
      </c>
      <c r="J100" s="22">
        <v>58000</v>
      </c>
      <c r="K100" s="22">
        <v>1856000</v>
      </c>
      <c r="L100" s="22">
        <v>7</v>
      </c>
      <c r="M100" s="22">
        <v>2023</v>
      </c>
    </row>
    <row r="101" spans="1:13" x14ac:dyDescent="0.3">
      <c r="A101" s="22" t="s">
        <v>55</v>
      </c>
      <c r="B101" s="22" t="s">
        <v>439</v>
      </c>
      <c r="C101" s="22" t="s">
        <v>56</v>
      </c>
      <c r="D101" s="22">
        <v>5800000</v>
      </c>
      <c r="E101" s="22">
        <v>1014999.9999999999</v>
      </c>
      <c r="F101" s="22">
        <v>174000</v>
      </c>
      <c r="G101" s="22">
        <v>58000</v>
      </c>
      <c r="H101" s="22">
        <v>464000</v>
      </c>
      <c r="I101" s="22">
        <v>87000</v>
      </c>
      <c r="J101" s="22">
        <v>58000</v>
      </c>
      <c r="K101" s="22">
        <v>1856000</v>
      </c>
      <c r="L101" s="22">
        <v>7</v>
      </c>
      <c r="M101" s="22">
        <v>2023</v>
      </c>
    </row>
    <row r="102" spans="1:13" x14ac:dyDescent="0.3">
      <c r="A102" s="22" t="s">
        <v>9</v>
      </c>
      <c r="B102" s="22" t="s">
        <v>438</v>
      </c>
      <c r="C102" s="22" t="s">
        <v>10</v>
      </c>
      <c r="D102" s="22">
        <v>6000000</v>
      </c>
      <c r="E102" s="22">
        <v>1050000</v>
      </c>
      <c r="F102" s="22">
        <v>180000</v>
      </c>
      <c r="G102" s="22">
        <v>60000</v>
      </c>
      <c r="H102" s="22">
        <v>480000</v>
      </c>
      <c r="I102" s="22">
        <v>90000</v>
      </c>
      <c r="J102" s="22">
        <v>60000</v>
      </c>
      <c r="K102" s="22">
        <v>1920000</v>
      </c>
      <c r="L102" s="22">
        <v>8</v>
      </c>
      <c r="M102" s="22">
        <v>2023</v>
      </c>
    </row>
    <row r="103" spans="1:13" x14ac:dyDescent="0.3">
      <c r="A103" s="22" t="s">
        <v>14</v>
      </c>
      <c r="B103" s="22" t="s">
        <v>438</v>
      </c>
      <c r="C103" s="22" t="s">
        <v>15</v>
      </c>
      <c r="D103" s="22">
        <v>6000000</v>
      </c>
      <c r="E103" s="22">
        <v>1050000</v>
      </c>
      <c r="F103" s="22">
        <v>180000</v>
      </c>
      <c r="G103" s="22">
        <v>60000</v>
      </c>
      <c r="H103" s="22">
        <v>480000</v>
      </c>
      <c r="I103" s="22">
        <v>90000</v>
      </c>
      <c r="J103" s="22">
        <v>60000</v>
      </c>
      <c r="K103" s="22">
        <v>1920000</v>
      </c>
      <c r="L103" s="22">
        <v>8</v>
      </c>
      <c r="M103" s="22">
        <v>2023</v>
      </c>
    </row>
    <row r="104" spans="1:13" x14ac:dyDescent="0.3">
      <c r="A104" s="22" t="s">
        <v>19</v>
      </c>
      <c r="B104" s="22" t="s">
        <v>438</v>
      </c>
      <c r="C104" s="22" t="s">
        <v>20</v>
      </c>
      <c r="D104" s="22">
        <v>6000000</v>
      </c>
      <c r="E104" s="22">
        <v>1050000</v>
      </c>
      <c r="F104" s="22">
        <v>180000</v>
      </c>
      <c r="G104" s="22">
        <v>60000</v>
      </c>
      <c r="H104" s="22">
        <v>480000</v>
      </c>
      <c r="I104" s="22">
        <v>90000</v>
      </c>
      <c r="J104" s="22">
        <v>60000</v>
      </c>
      <c r="K104" s="22">
        <v>1920000</v>
      </c>
      <c r="L104" s="22">
        <v>8</v>
      </c>
      <c r="M104" s="22">
        <v>2023</v>
      </c>
    </row>
    <row r="105" spans="1:13" x14ac:dyDescent="0.3">
      <c r="A105" s="22" t="s">
        <v>24</v>
      </c>
      <c r="B105" s="22" t="s">
        <v>439</v>
      </c>
      <c r="C105" s="22" t="s">
        <v>25</v>
      </c>
      <c r="D105" s="22">
        <v>6000000</v>
      </c>
      <c r="E105" s="22">
        <v>1050000</v>
      </c>
      <c r="F105" s="22">
        <v>180000</v>
      </c>
      <c r="G105" s="22">
        <v>60000</v>
      </c>
      <c r="H105" s="22">
        <v>480000</v>
      </c>
      <c r="I105" s="22">
        <v>90000</v>
      </c>
      <c r="J105" s="22">
        <v>60000</v>
      </c>
      <c r="K105" s="22">
        <v>1920000</v>
      </c>
      <c r="L105" s="22">
        <v>8</v>
      </c>
      <c r="M105" s="22">
        <v>2023</v>
      </c>
    </row>
    <row r="106" spans="1:13" x14ac:dyDescent="0.3">
      <c r="A106" s="22" t="s">
        <v>29</v>
      </c>
      <c r="B106" s="22" t="s">
        <v>439</v>
      </c>
      <c r="C106" s="22" t="s">
        <v>30</v>
      </c>
      <c r="D106" s="22">
        <v>6000000</v>
      </c>
      <c r="E106" s="22">
        <v>1050000</v>
      </c>
      <c r="F106" s="22">
        <v>180000</v>
      </c>
      <c r="G106" s="22">
        <v>60000</v>
      </c>
      <c r="H106" s="22">
        <v>480000</v>
      </c>
      <c r="I106" s="22">
        <v>90000</v>
      </c>
      <c r="J106" s="22">
        <v>60000</v>
      </c>
      <c r="K106" s="22">
        <v>1920000</v>
      </c>
      <c r="L106" s="22">
        <v>8</v>
      </c>
      <c r="M106" s="22">
        <v>2023</v>
      </c>
    </row>
    <row r="107" spans="1:13" x14ac:dyDescent="0.3">
      <c r="A107" s="22" t="s">
        <v>32</v>
      </c>
      <c r="B107" s="22" t="s">
        <v>439</v>
      </c>
      <c r="C107" s="22" t="s">
        <v>33</v>
      </c>
      <c r="D107" s="22">
        <v>6000000</v>
      </c>
      <c r="E107" s="22">
        <v>1050000</v>
      </c>
      <c r="F107" s="22">
        <v>180000</v>
      </c>
      <c r="G107" s="22">
        <v>60000</v>
      </c>
      <c r="H107" s="22">
        <v>480000</v>
      </c>
      <c r="I107" s="22">
        <v>90000</v>
      </c>
      <c r="J107" s="22">
        <v>60000</v>
      </c>
      <c r="K107" s="22">
        <v>1920000</v>
      </c>
      <c r="L107" s="22">
        <v>8</v>
      </c>
      <c r="M107" s="22">
        <v>2023</v>
      </c>
    </row>
    <row r="108" spans="1:13" x14ac:dyDescent="0.3">
      <c r="A108" s="22" t="s">
        <v>35</v>
      </c>
      <c r="B108" s="22" t="s">
        <v>439</v>
      </c>
      <c r="C108" s="22" t="s">
        <v>36</v>
      </c>
      <c r="D108" s="22">
        <v>6000000</v>
      </c>
      <c r="E108" s="22">
        <v>1050000</v>
      </c>
      <c r="F108" s="22">
        <v>180000</v>
      </c>
      <c r="G108" s="22">
        <v>60000</v>
      </c>
      <c r="H108" s="22">
        <v>480000</v>
      </c>
      <c r="I108" s="22">
        <v>90000</v>
      </c>
      <c r="J108" s="22">
        <v>60000</v>
      </c>
      <c r="K108" s="22">
        <v>1920000</v>
      </c>
      <c r="L108" s="22">
        <v>8</v>
      </c>
      <c r="M108" s="22">
        <v>2023</v>
      </c>
    </row>
    <row r="109" spans="1:13" x14ac:dyDescent="0.3">
      <c r="A109" s="22" t="s">
        <v>38</v>
      </c>
      <c r="B109" s="22" t="s">
        <v>439</v>
      </c>
      <c r="C109" s="22" t="s">
        <v>39</v>
      </c>
      <c r="D109" s="22">
        <v>6000000</v>
      </c>
      <c r="E109" s="22">
        <v>1050000</v>
      </c>
      <c r="F109" s="22">
        <v>180000</v>
      </c>
      <c r="G109" s="22">
        <v>60000</v>
      </c>
      <c r="H109" s="22">
        <v>480000</v>
      </c>
      <c r="I109" s="22">
        <v>90000</v>
      </c>
      <c r="J109" s="22">
        <v>60000</v>
      </c>
      <c r="K109" s="22">
        <v>1920000</v>
      </c>
      <c r="L109" s="22">
        <v>8</v>
      </c>
      <c r="M109" s="22">
        <v>2023</v>
      </c>
    </row>
    <row r="110" spans="1:13" x14ac:dyDescent="0.3">
      <c r="A110" s="22" t="s">
        <v>41</v>
      </c>
      <c r="B110" s="22" t="s">
        <v>439</v>
      </c>
      <c r="C110" s="22" t="s">
        <v>42</v>
      </c>
      <c r="D110" s="22">
        <v>6000000</v>
      </c>
      <c r="E110" s="22">
        <v>1050000</v>
      </c>
      <c r="F110" s="22">
        <v>180000</v>
      </c>
      <c r="G110" s="22">
        <v>60000</v>
      </c>
      <c r="H110" s="22">
        <v>480000</v>
      </c>
      <c r="I110" s="22">
        <v>90000</v>
      </c>
      <c r="J110" s="22">
        <v>60000</v>
      </c>
      <c r="K110" s="22">
        <v>1920000</v>
      </c>
      <c r="L110" s="22">
        <v>8</v>
      </c>
      <c r="M110" s="22">
        <v>2023</v>
      </c>
    </row>
    <row r="111" spans="1:13" x14ac:dyDescent="0.3">
      <c r="A111" s="22" t="s">
        <v>44</v>
      </c>
      <c r="B111" s="22" t="s">
        <v>439</v>
      </c>
      <c r="C111" s="22" t="s">
        <v>45</v>
      </c>
      <c r="D111" s="22">
        <v>6000000</v>
      </c>
      <c r="E111" s="22">
        <v>1050000</v>
      </c>
      <c r="F111" s="22">
        <v>180000</v>
      </c>
      <c r="G111" s="22">
        <v>60000</v>
      </c>
      <c r="H111" s="22">
        <v>480000</v>
      </c>
      <c r="I111" s="22">
        <v>90000</v>
      </c>
      <c r="J111" s="22">
        <v>60000</v>
      </c>
      <c r="K111" s="22">
        <v>1920000</v>
      </c>
      <c r="L111" s="22">
        <v>8</v>
      </c>
      <c r="M111" s="22">
        <v>2023</v>
      </c>
    </row>
    <row r="112" spans="1:13" x14ac:dyDescent="0.3">
      <c r="A112" s="22" t="s">
        <v>47</v>
      </c>
      <c r="B112" s="22" t="s">
        <v>439</v>
      </c>
      <c r="C112" s="22" t="s">
        <v>48</v>
      </c>
      <c r="D112" s="22">
        <v>6000000</v>
      </c>
      <c r="E112" s="22">
        <v>1050000</v>
      </c>
      <c r="F112" s="22">
        <v>180000</v>
      </c>
      <c r="G112" s="22">
        <v>60000</v>
      </c>
      <c r="H112" s="22">
        <v>480000</v>
      </c>
      <c r="I112" s="22">
        <v>90000</v>
      </c>
      <c r="J112" s="22">
        <v>60000</v>
      </c>
      <c r="K112" s="22">
        <v>1920000</v>
      </c>
      <c r="L112" s="22">
        <v>8</v>
      </c>
      <c r="M112" s="22">
        <v>2023</v>
      </c>
    </row>
    <row r="113" spans="1:13" x14ac:dyDescent="0.3">
      <c r="A113" s="22" t="s">
        <v>49</v>
      </c>
      <c r="B113" s="22" t="s">
        <v>439</v>
      </c>
      <c r="C113" s="22" t="s">
        <v>50</v>
      </c>
      <c r="D113" s="22">
        <v>6000000</v>
      </c>
      <c r="E113" s="22">
        <v>1050000</v>
      </c>
      <c r="F113" s="22">
        <v>180000</v>
      </c>
      <c r="G113" s="22">
        <v>60000</v>
      </c>
      <c r="H113" s="22">
        <v>480000</v>
      </c>
      <c r="I113" s="22">
        <v>90000</v>
      </c>
      <c r="J113" s="22">
        <v>60000</v>
      </c>
      <c r="K113" s="22">
        <v>1920000</v>
      </c>
      <c r="L113" s="22">
        <v>8</v>
      </c>
      <c r="M113" s="22">
        <v>2023</v>
      </c>
    </row>
    <row r="114" spans="1:13" x14ac:dyDescent="0.3">
      <c r="A114" s="22" t="s">
        <v>51</v>
      </c>
      <c r="B114" s="22" t="s">
        <v>439</v>
      </c>
      <c r="C114" s="22" t="s">
        <v>52</v>
      </c>
      <c r="D114" s="22">
        <v>6000000</v>
      </c>
      <c r="E114" s="22">
        <v>1050000</v>
      </c>
      <c r="F114" s="22">
        <v>180000</v>
      </c>
      <c r="G114" s="22">
        <v>60000</v>
      </c>
      <c r="H114" s="22">
        <v>480000</v>
      </c>
      <c r="I114" s="22">
        <v>90000</v>
      </c>
      <c r="J114" s="22">
        <v>60000</v>
      </c>
      <c r="K114" s="22">
        <v>1920000</v>
      </c>
      <c r="L114" s="22">
        <v>8</v>
      </c>
      <c r="M114" s="22">
        <v>2023</v>
      </c>
    </row>
    <row r="115" spans="1:13" x14ac:dyDescent="0.3">
      <c r="A115" s="22" t="s">
        <v>53</v>
      </c>
      <c r="B115" s="22" t="s">
        <v>439</v>
      </c>
      <c r="C115" s="22" t="s">
        <v>54</v>
      </c>
      <c r="D115" s="22">
        <v>5800000</v>
      </c>
      <c r="E115" s="22">
        <v>1014999.9999999999</v>
      </c>
      <c r="F115" s="22">
        <v>174000</v>
      </c>
      <c r="G115" s="22">
        <v>58000</v>
      </c>
      <c r="H115" s="22">
        <v>464000</v>
      </c>
      <c r="I115" s="22">
        <v>87000</v>
      </c>
      <c r="J115" s="22">
        <v>58000</v>
      </c>
      <c r="K115" s="22">
        <v>1856000</v>
      </c>
      <c r="L115" s="22">
        <v>8</v>
      </c>
      <c r="M115" s="22">
        <v>2023</v>
      </c>
    </row>
    <row r="116" spans="1:13" x14ac:dyDescent="0.3">
      <c r="A116" s="22" t="s">
        <v>55</v>
      </c>
      <c r="B116" s="22" t="s">
        <v>439</v>
      </c>
      <c r="C116" s="22" t="s">
        <v>56</v>
      </c>
      <c r="D116" s="22">
        <v>5800000</v>
      </c>
      <c r="E116" s="22">
        <v>1014999.9999999999</v>
      </c>
      <c r="F116" s="22">
        <v>174000</v>
      </c>
      <c r="G116" s="22">
        <v>58000</v>
      </c>
      <c r="H116" s="22">
        <v>464000</v>
      </c>
      <c r="I116" s="22">
        <v>87000</v>
      </c>
      <c r="J116" s="22">
        <v>58000</v>
      </c>
      <c r="K116" s="22">
        <v>1856000</v>
      </c>
      <c r="L116" s="22">
        <v>8</v>
      </c>
      <c r="M116" s="22">
        <v>2023</v>
      </c>
    </row>
    <row r="117" spans="1:13" x14ac:dyDescent="0.3">
      <c r="A117" s="22" t="s">
        <v>9</v>
      </c>
      <c r="B117" s="22" t="s">
        <v>438</v>
      </c>
      <c r="C117" s="22" t="s">
        <v>10</v>
      </c>
      <c r="D117" s="22">
        <v>6000000</v>
      </c>
      <c r="E117" s="22">
        <v>1050000</v>
      </c>
      <c r="F117" s="22">
        <v>180000</v>
      </c>
      <c r="G117" s="22">
        <v>60000</v>
      </c>
      <c r="H117" s="22">
        <v>480000</v>
      </c>
      <c r="I117" s="22">
        <v>90000</v>
      </c>
      <c r="J117" s="22">
        <v>60000</v>
      </c>
      <c r="K117" s="22">
        <v>1920000</v>
      </c>
      <c r="L117" s="22">
        <v>9</v>
      </c>
      <c r="M117" s="22">
        <v>2023</v>
      </c>
    </row>
    <row r="118" spans="1:13" x14ac:dyDescent="0.3">
      <c r="A118" s="22" t="s">
        <v>14</v>
      </c>
      <c r="B118" s="22" t="s">
        <v>438</v>
      </c>
      <c r="C118" s="22" t="s">
        <v>15</v>
      </c>
      <c r="D118" s="22">
        <v>6000000</v>
      </c>
      <c r="E118" s="22">
        <v>1050000</v>
      </c>
      <c r="F118" s="22">
        <v>180000</v>
      </c>
      <c r="G118" s="22">
        <v>60000</v>
      </c>
      <c r="H118" s="22">
        <v>480000</v>
      </c>
      <c r="I118" s="22">
        <v>90000</v>
      </c>
      <c r="J118" s="22">
        <v>60000</v>
      </c>
      <c r="K118" s="22">
        <v>1920000</v>
      </c>
      <c r="L118" s="22">
        <v>9</v>
      </c>
      <c r="M118" s="22">
        <v>2023</v>
      </c>
    </row>
    <row r="119" spans="1:13" x14ac:dyDescent="0.3">
      <c r="A119" s="22" t="s">
        <v>19</v>
      </c>
      <c r="B119" s="22" t="s">
        <v>438</v>
      </c>
      <c r="C119" s="22" t="s">
        <v>20</v>
      </c>
      <c r="D119" s="22">
        <v>6000000</v>
      </c>
      <c r="E119" s="22">
        <v>1050000</v>
      </c>
      <c r="F119" s="22">
        <v>180000</v>
      </c>
      <c r="G119" s="22">
        <v>60000</v>
      </c>
      <c r="H119" s="22">
        <v>480000</v>
      </c>
      <c r="I119" s="22">
        <v>90000</v>
      </c>
      <c r="J119" s="22">
        <v>60000</v>
      </c>
      <c r="K119" s="22">
        <v>1920000</v>
      </c>
      <c r="L119" s="22">
        <v>9</v>
      </c>
      <c r="M119" s="22">
        <v>2023</v>
      </c>
    </row>
    <row r="120" spans="1:13" x14ac:dyDescent="0.3">
      <c r="A120" s="22" t="s">
        <v>24</v>
      </c>
      <c r="B120" s="22" t="s">
        <v>439</v>
      </c>
      <c r="C120" s="22" t="s">
        <v>25</v>
      </c>
      <c r="D120" s="22">
        <v>6000000</v>
      </c>
      <c r="E120" s="22">
        <v>1050000</v>
      </c>
      <c r="F120" s="22">
        <v>180000</v>
      </c>
      <c r="G120" s="22">
        <v>60000</v>
      </c>
      <c r="H120" s="22">
        <v>480000</v>
      </c>
      <c r="I120" s="22">
        <v>90000</v>
      </c>
      <c r="J120" s="22">
        <v>60000</v>
      </c>
      <c r="K120" s="22">
        <v>1920000</v>
      </c>
      <c r="L120" s="22">
        <v>9</v>
      </c>
      <c r="M120" s="22">
        <v>2023</v>
      </c>
    </row>
    <row r="121" spans="1:13" x14ac:dyDescent="0.3">
      <c r="A121" s="22" t="s">
        <v>29</v>
      </c>
      <c r="B121" s="22" t="s">
        <v>439</v>
      </c>
      <c r="C121" s="22" t="s">
        <v>30</v>
      </c>
      <c r="D121" s="22">
        <v>6000000</v>
      </c>
      <c r="E121" s="22">
        <v>1050000</v>
      </c>
      <c r="F121" s="22">
        <v>180000</v>
      </c>
      <c r="G121" s="22">
        <v>60000</v>
      </c>
      <c r="H121" s="22">
        <v>480000</v>
      </c>
      <c r="I121" s="22">
        <v>90000</v>
      </c>
      <c r="J121" s="22">
        <v>60000</v>
      </c>
      <c r="K121" s="22">
        <v>1920000</v>
      </c>
      <c r="L121" s="22">
        <v>9</v>
      </c>
      <c r="M121" s="22">
        <v>2023</v>
      </c>
    </row>
    <row r="122" spans="1:13" x14ac:dyDescent="0.3">
      <c r="A122" s="22" t="s">
        <v>32</v>
      </c>
      <c r="B122" s="22" t="s">
        <v>439</v>
      </c>
      <c r="C122" s="22" t="s">
        <v>33</v>
      </c>
      <c r="D122" s="22">
        <v>6000000</v>
      </c>
      <c r="E122" s="22">
        <v>1050000</v>
      </c>
      <c r="F122" s="22">
        <v>180000</v>
      </c>
      <c r="G122" s="22">
        <v>60000</v>
      </c>
      <c r="H122" s="22">
        <v>480000</v>
      </c>
      <c r="I122" s="22">
        <v>90000</v>
      </c>
      <c r="J122" s="22">
        <v>60000</v>
      </c>
      <c r="K122" s="22">
        <v>1920000</v>
      </c>
      <c r="L122" s="22">
        <v>9</v>
      </c>
      <c r="M122" s="22">
        <v>2023</v>
      </c>
    </row>
    <row r="123" spans="1:13" x14ac:dyDescent="0.3">
      <c r="A123" s="22" t="s">
        <v>35</v>
      </c>
      <c r="B123" s="22" t="s">
        <v>439</v>
      </c>
      <c r="C123" s="22" t="s">
        <v>36</v>
      </c>
      <c r="D123" s="22">
        <v>6000000</v>
      </c>
      <c r="E123" s="22">
        <v>1050000</v>
      </c>
      <c r="F123" s="22">
        <v>180000</v>
      </c>
      <c r="G123" s="22">
        <v>60000</v>
      </c>
      <c r="H123" s="22">
        <v>480000</v>
      </c>
      <c r="I123" s="22">
        <v>90000</v>
      </c>
      <c r="J123" s="22">
        <v>60000</v>
      </c>
      <c r="K123" s="22">
        <v>1920000</v>
      </c>
      <c r="L123" s="22">
        <v>9</v>
      </c>
      <c r="M123" s="22">
        <v>2023</v>
      </c>
    </row>
    <row r="124" spans="1:13" x14ac:dyDescent="0.3">
      <c r="A124" s="22" t="s">
        <v>38</v>
      </c>
      <c r="B124" s="22" t="s">
        <v>439</v>
      </c>
      <c r="C124" s="22" t="s">
        <v>39</v>
      </c>
      <c r="D124" s="22">
        <v>6000000</v>
      </c>
      <c r="E124" s="22">
        <v>1050000</v>
      </c>
      <c r="F124" s="22">
        <v>180000</v>
      </c>
      <c r="G124" s="22">
        <v>60000</v>
      </c>
      <c r="H124" s="22">
        <v>480000</v>
      </c>
      <c r="I124" s="22">
        <v>90000</v>
      </c>
      <c r="J124" s="22">
        <v>60000</v>
      </c>
      <c r="K124" s="22">
        <v>1920000</v>
      </c>
      <c r="L124" s="22">
        <v>9</v>
      </c>
      <c r="M124" s="22">
        <v>2023</v>
      </c>
    </row>
    <row r="125" spans="1:13" x14ac:dyDescent="0.3">
      <c r="A125" s="22" t="s">
        <v>41</v>
      </c>
      <c r="B125" s="22" t="s">
        <v>439</v>
      </c>
      <c r="C125" s="22" t="s">
        <v>42</v>
      </c>
      <c r="D125" s="22">
        <v>6000000</v>
      </c>
      <c r="E125" s="22">
        <v>1050000</v>
      </c>
      <c r="F125" s="22">
        <v>180000</v>
      </c>
      <c r="G125" s="22">
        <v>60000</v>
      </c>
      <c r="H125" s="22">
        <v>480000</v>
      </c>
      <c r="I125" s="22">
        <v>90000</v>
      </c>
      <c r="J125" s="22">
        <v>60000</v>
      </c>
      <c r="K125" s="22">
        <v>1920000</v>
      </c>
      <c r="L125" s="22">
        <v>9</v>
      </c>
      <c r="M125" s="22">
        <v>2023</v>
      </c>
    </row>
    <row r="126" spans="1:13" x14ac:dyDescent="0.3">
      <c r="A126" s="22" t="s">
        <v>44</v>
      </c>
      <c r="B126" s="22" t="s">
        <v>439</v>
      </c>
      <c r="C126" s="22" t="s">
        <v>45</v>
      </c>
      <c r="D126" s="22">
        <v>6000000</v>
      </c>
      <c r="E126" s="22">
        <v>1050000</v>
      </c>
      <c r="F126" s="22">
        <v>180000</v>
      </c>
      <c r="G126" s="22">
        <v>60000</v>
      </c>
      <c r="H126" s="22">
        <v>480000</v>
      </c>
      <c r="I126" s="22">
        <v>90000</v>
      </c>
      <c r="J126" s="22">
        <v>60000</v>
      </c>
      <c r="K126" s="22">
        <v>1920000</v>
      </c>
      <c r="L126" s="22">
        <v>9</v>
      </c>
      <c r="M126" s="22">
        <v>2023</v>
      </c>
    </row>
    <row r="127" spans="1:13" x14ac:dyDescent="0.3">
      <c r="A127" s="22" t="s">
        <v>47</v>
      </c>
      <c r="B127" s="22" t="s">
        <v>439</v>
      </c>
      <c r="C127" s="22" t="s">
        <v>48</v>
      </c>
      <c r="D127" s="22">
        <v>6000000</v>
      </c>
      <c r="E127" s="22">
        <v>1050000</v>
      </c>
      <c r="F127" s="22">
        <v>180000</v>
      </c>
      <c r="G127" s="22">
        <v>60000</v>
      </c>
      <c r="H127" s="22">
        <v>480000</v>
      </c>
      <c r="I127" s="22">
        <v>90000</v>
      </c>
      <c r="J127" s="22">
        <v>60000</v>
      </c>
      <c r="K127" s="22">
        <v>1920000</v>
      </c>
      <c r="L127" s="22">
        <v>9</v>
      </c>
      <c r="M127" s="22">
        <v>2023</v>
      </c>
    </row>
    <row r="128" spans="1:13" x14ac:dyDescent="0.3">
      <c r="A128" s="22" t="s">
        <v>49</v>
      </c>
      <c r="B128" s="22" t="s">
        <v>439</v>
      </c>
      <c r="C128" s="22" t="s">
        <v>50</v>
      </c>
      <c r="D128" s="22">
        <v>6000000</v>
      </c>
      <c r="E128" s="22">
        <v>1050000</v>
      </c>
      <c r="F128" s="22">
        <v>180000</v>
      </c>
      <c r="G128" s="22">
        <v>60000</v>
      </c>
      <c r="H128" s="22">
        <v>480000</v>
      </c>
      <c r="I128" s="22">
        <v>90000</v>
      </c>
      <c r="J128" s="22">
        <v>60000</v>
      </c>
      <c r="K128" s="22">
        <v>1920000</v>
      </c>
      <c r="L128" s="22">
        <v>9</v>
      </c>
      <c r="M128" s="22">
        <v>2023</v>
      </c>
    </row>
    <row r="129" spans="1:13" x14ac:dyDescent="0.3">
      <c r="A129" s="22" t="s">
        <v>51</v>
      </c>
      <c r="B129" s="22" t="s">
        <v>439</v>
      </c>
      <c r="C129" s="22" t="s">
        <v>52</v>
      </c>
      <c r="D129" s="22">
        <v>6000000</v>
      </c>
      <c r="E129" s="22">
        <v>1050000</v>
      </c>
      <c r="F129" s="22">
        <v>180000</v>
      </c>
      <c r="G129" s="22">
        <v>60000</v>
      </c>
      <c r="H129" s="22">
        <v>480000</v>
      </c>
      <c r="I129" s="22">
        <v>90000</v>
      </c>
      <c r="J129" s="22">
        <v>60000</v>
      </c>
      <c r="K129" s="22">
        <v>1920000</v>
      </c>
      <c r="L129" s="22">
        <v>9</v>
      </c>
      <c r="M129" s="22">
        <v>2023</v>
      </c>
    </row>
    <row r="130" spans="1:13" x14ac:dyDescent="0.3">
      <c r="A130" s="22" t="s">
        <v>53</v>
      </c>
      <c r="B130" s="22" t="s">
        <v>439</v>
      </c>
      <c r="C130" s="22" t="s">
        <v>54</v>
      </c>
      <c r="D130" s="22">
        <v>5800000</v>
      </c>
      <c r="E130" s="22">
        <v>1014999.9999999999</v>
      </c>
      <c r="F130" s="22">
        <v>174000</v>
      </c>
      <c r="G130" s="22">
        <v>58000</v>
      </c>
      <c r="H130" s="22">
        <v>464000</v>
      </c>
      <c r="I130" s="22">
        <v>87000</v>
      </c>
      <c r="J130" s="22">
        <v>58000</v>
      </c>
      <c r="K130" s="22">
        <v>1856000</v>
      </c>
      <c r="L130" s="22">
        <v>9</v>
      </c>
      <c r="M130" s="22">
        <v>2023</v>
      </c>
    </row>
    <row r="131" spans="1:13" x14ac:dyDescent="0.3">
      <c r="A131" s="22" t="s">
        <v>55</v>
      </c>
      <c r="B131" s="22" t="s">
        <v>439</v>
      </c>
      <c r="C131" s="22" t="s">
        <v>56</v>
      </c>
      <c r="D131" s="22">
        <v>5800000</v>
      </c>
      <c r="E131" s="22">
        <v>1014999.9999999999</v>
      </c>
      <c r="F131" s="22">
        <v>174000</v>
      </c>
      <c r="G131" s="22">
        <v>58000</v>
      </c>
      <c r="H131" s="22">
        <v>464000</v>
      </c>
      <c r="I131" s="22">
        <v>87000</v>
      </c>
      <c r="J131" s="22">
        <v>58000</v>
      </c>
      <c r="K131" s="22">
        <v>1856000</v>
      </c>
      <c r="L131" s="22">
        <v>9</v>
      </c>
      <c r="M131" s="22">
        <v>2023</v>
      </c>
    </row>
    <row r="132" spans="1:13" x14ac:dyDescent="0.3">
      <c r="A132" s="22" t="s">
        <v>9</v>
      </c>
      <c r="B132" s="22" t="s">
        <v>438</v>
      </c>
      <c r="C132" s="22" t="s">
        <v>10</v>
      </c>
      <c r="D132" s="22">
        <v>6000000</v>
      </c>
      <c r="E132" s="22">
        <v>1050000</v>
      </c>
      <c r="F132" s="22">
        <v>180000</v>
      </c>
      <c r="G132" s="22">
        <v>60000</v>
      </c>
      <c r="H132" s="22">
        <v>480000</v>
      </c>
      <c r="I132" s="22">
        <v>90000</v>
      </c>
      <c r="J132" s="22">
        <v>60000</v>
      </c>
      <c r="K132" s="22">
        <v>1920000</v>
      </c>
      <c r="L132" s="22">
        <v>10</v>
      </c>
      <c r="M132" s="22">
        <v>2023</v>
      </c>
    </row>
    <row r="133" spans="1:13" x14ac:dyDescent="0.3">
      <c r="A133" s="22" t="s">
        <v>14</v>
      </c>
      <c r="B133" s="22" t="s">
        <v>438</v>
      </c>
      <c r="C133" s="22" t="s">
        <v>15</v>
      </c>
      <c r="D133" s="22">
        <v>6000000</v>
      </c>
      <c r="E133" s="22">
        <v>1050000</v>
      </c>
      <c r="F133" s="22">
        <v>180000</v>
      </c>
      <c r="G133" s="22">
        <v>60000</v>
      </c>
      <c r="H133" s="22">
        <v>480000</v>
      </c>
      <c r="I133" s="22">
        <v>90000</v>
      </c>
      <c r="J133" s="22">
        <v>60000</v>
      </c>
      <c r="K133" s="22">
        <v>1920000</v>
      </c>
      <c r="L133" s="22">
        <v>10</v>
      </c>
      <c r="M133" s="22">
        <v>2023</v>
      </c>
    </row>
    <row r="134" spans="1:13" x14ac:dyDescent="0.3">
      <c r="A134" s="22" t="s">
        <v>19</v>
      </c>
      <c r="B134" s="22" t="s">
        <v>438</v>
      </c>
      <c r="C134" s="22" t="s">
        <v>20</v>
      </c>
      <c r="D134" s="22">
        <v>6000000</v>
      </c>
      <c r="E134" s="22">
        <v>1050000</v>
      </c>
      <c r="F134" s="22">
        <v>180000</v>
      </c>
      <c r="G134" s="22">
        <v>60000</v>
      </c>
      <c r="H134" s="22">
        <v>480000</v>
      </c>
      <c r="I134" s="22">
        <v>90000</v>
      </c>
      <c r="J134" s="22">
        <v>60000</v>
      </c>
      <c r="K134" s="22">
        <v>1920000</v>
      </c>
      <c r="L134" s="22">
        <v>10</v>
      </c>
      <c r="M134" s="22">
        <v>2023</v>
      </c>
    </row>
    <row r="135" spans="1:13" x14ac:dyDescent="0.3">
      <c r="A135" s="22" t="s">
        <v>24</v>
      </c>
      <c r="B135" s="22" t="s">
        <v>439</v>
      </c>
      <c r="C135" s="22" t="s">
        <v>25</v>
      </c>
      <c r="D135" s="22">
        <v>6000000</v>
      </c>
      <c r="E135" s="22">
        <v>1050000</v>
      </c>
      <c r="F135" s="22">
        <v>180000</v>
      </c>
      <c r="G135" s="22">
        <v>60000</v>
      </c>
      <c r="H135" s="22">
        <v>480000</v>
      </c>
      <c r="I135" s="22">
        <v>90000</v>
      </c>
      <c r="J135" s="22">
        <v>60000</v>
      </c>
      <c r="K135" s="22">
        <v>1920000</v>
      </c>
      <c r="L135" s="22">
        <v>10</v>
      </c>
      <c r="M135" s="22">
        <v>2023</v>
      </c>
    </row>
    <row r="136" spans="1:13" x14ac:dyDescent="0.3">
      <c r="A136" s="22" t="s">
        <v>29</v>
      </c>
      <c r="B136" s="22" t="s">
        <v>439</v>
      </c>
      <c r="C136" s="22" t="s">
        <v>30</v>
      </c>
      <c r="D136" s="22">
        <v>6000000</v>
      </c>
      <c r="E136" s="22">
        <v>1050000</v>
      </c>
      <c r="F136" s="22">
        <v>180000</v>
      </c>
      <c r="G136" s="22">
        <v>60000</v>
      </c>
      <c r="H136" s="22">
        <v>480000</v>
      </c>
      <c r="I136" s="22">
        <v>90000</v>
      </c>
      <c r="J136" s="22">
        <v>60000</v>
      </c>
      <c r="K136" s="22">
        <v>1920000</v>
      </c>
      <c r="L136" s="22">
        <v>10</v>
      </c>
      <c r="M136" s="22">
        <v>2023</v>
      </c>
    </row>
    <row r="137" spans="1:13" x14ac:dyDescent="0.3">
      <c r="A137" s="22" t="s">
        <v>32</v>
      </c>
      <c r="B137" s="22" t="s">
        <v>439</v>
      </c>
      <c r="C137" s="22" t="s">
        <v>33</v>
      </c>
      <c r="D137" s="22">
        <v>6000000</v>
      </c>
      <c r="E137" s="22">
        <v>1050000</v>
      </c>
      <c r="F137" s="22">
        <v>180000</v>
      </c>
      <c r="G137" s="22">
        <v>60000</v>
      </c>
      <c r="H137" s="22">
        <v>480000</v>
      </c>
      <c r="I137" s="22">
        <v>90000</v>
      </c>
      <c r="J137" s="22">
        <v>60000</v>
      </c>
      <c r="K137" s="22">
        <v>1920000</v>
      </c>
      <c r="L137" s="22">
        <v>10</v>
      </c>
      <c r="M137" s="22">
        <v>2023</v>
      </c>
    </row>
    <row r="138" spans="1:13" x14ac:dyDescent="0.3">
      <c r="A138" s="22" t="s">
        <v>35</v>
      </c>
      <c r="B138" s="22" t="s">
        <v>439</v>
      </c>
      <c r="C138" s="22" t="s">
        <v>36</v>
      </c>
      <c r="D138" s="22">
        <v>6000000</v>
      </c>
      <c r="E138" s="22">
        <v>1050000</v>
      </c>
      <c r="F138" s="22">
        <v>180000</v>
      </c>
      <c r="G138" s="22">
        <v>60000</v>
      </c>
      <c r="H138" s="22">
        <v>480000</v>
      </c>
      <c r="I138" s="22">
        <v>90000</v>
      </c>
      <c r="J138" s="22">
        <v>60000</v>
      </c>
      <c r="K138" s="22">
        <v>1920000</v>
      </c>
      <c r="L138" s="22">
        <v>10</v>
      </c>
      <c r="M138" s="22">
        <v>2023</v>
      </c>
    </row>
    <row r="139" spans="1:13" x14ac:dyDescent="0.3">
      <c r="A139" s="22" t="s">
        <v>38</v>
      </c>
      <c r="B139" s="22" t="s">
        <v>439</v>
      </c>
      <c r="C139" s="22" t="s">
        <v>39</v>
      </c>
      <c r="D139" s="22">
        <v>6000000</v>
      </c>
      <c r="E139" s="22">
        <v>1050000</v>
      </c>
      <c r="F139" s="22">
        <v>180000</v>
      </c>
      <c r="G139" s="22">
        <v>60000</v>
      </c>
      <c r="H139" s="22">
        <v>480000</v>
      </c>
      <c r="I139" s="22">
        <v>90000</v>
      </c>
      <c r="J139" s="22">
        <v>60000</v>
      </c>
      <c r="K139" s="22">
        <v>1920000</v>
      </c>
      <c r="L139" s="22">
        <v>10</v>
      </c>
      <c r="M139" s="22">
        <v>2023</v>
      </c>
    </row>
    <row r="140" spans="1:13" x14ac:dyDescent="0.3">
      <c r="A140" s="22" t="s">
        <v>41</v>
      </c>
      <c r="B140" s="22" t="s">
        <v>439</v>
      </c>
      <c r="C140" s="22" t="s">
        <v>42</v>
      </c>
      <c r="D140" s="22">
        <v>6000000</v>
      </c>
      <c r="E140" s="22">
        <v>1050000</v>
      </c>
      <c r="F140" s="22">
        <v>180000</v>
      </c>
      <c r="G140" s="22">
        <v>60000</v>
      </c>
      <c r="H140" s="22">
        <v>480000</v>
      </c>
      <c r="I140" s="22">
        <v>90000</v>
      </c>
      <c r="J140" s="22">
        <v>60000</v>
      </c>
      <c r="K140" s="22">
        <v>1920000</v>
      </c>
      <c r="L140" s="22">
        <v>10</v>
      </c>
      <c r="M140" s="22">
        <v>2023</v>
      </c>
    </row>
    <row r="141" spans="1:13" x14ac:dyDescent="0.3">
      <c r="A141" s="22" t="s">
        <v>44</v>
      </c>
      <c r="B141" s="22" t="s">
        <v>439</v>
      </c>
      <c r="C141" s="22" t="s">
        <v>45</v>
      </c>
      <c r="D141" s="22">
        <v>6000000</v>
      </c>
      <c r="E141" s="22">
        <v>1050000</v>
      </c>
      <c r="F141" s="22">
        <v>180000</v>
      </c>
      <c r="G141" s="22">
        <v>60000</v>
      </c>
      <c r="H141" s="22">
        <v>480000</v>
      </c>
      <c r="I141" s="22">
        <v>90000</v>
      </c>
      <c r="J141" s="22">
        <v>60000</v>
      </c>
      <c r="K141" s="22">
        <v>1920000</v>
      </c>
      <c r="L141" s="22">
        <v>10</v>
      </c>
      <c r="M141" s="22">
        <v>2023</v>
      </c>
    </row>
    <row r="142" spans="1:13" x14ac:dyDescent="0.3">
      <c r="A142" s="22" t="s">
        <v>47</v>
      </c>
      <c r="B142" s="22" t="s">
        <v>439</v>
      </c>
      <c r="C142" s="22" t="s">
        <v>48</v>
      </c>
      <c r="D142" s="22">
        <v>6000000</v>
      </c>
      <c r="E142" s="22">
        <v>1050000</v>
      </c>
      <c r="F142" s="22">
        <v>180000</v>
      </c>
      <c r="G142" s="22">
        <v>60000</v>
      </c>
      <c r="H142" s="22">
        <v>480000</v>
      </c>
      <c r="I142" s="22">
        <v>90000</v>
      </c>
      <c r="J142" s="22">
        <v>60000</v>
      </c>
      <c r="K142" s="22">
        <v>1920000</v>
      </c>
      <c r="L142" s="22">
        <v>10</v>
      </c>
      <c r="M142" s="22">
        <v>2023</v>
      </c>
    </row>
    <row r="143" spans="1:13" x14ac:dyDescent="0.3">
      <c r="A143" s="22" t="s">
        <v>49</v>
      </c>
      <c r="B143" s="22" t="s">
        <v>439</v>
      </c>
      <c r="C143" s="22" t="s">
        <v>50</v>
      </c>
      <c r="D143" s="22">
        <v>6000000</v>
      </c>
      <c r="E143" s="22">
        <v>1050000</v>
      </c>
      <c r="F143" s="22">
        <v>180000</v>
      </c>
      <c r="G143" s="22">
        <v>60000</v>
      </c>
      <c r="H143" s="22">
        <v>480000</v>
      </c>
      <c r="I143" s="22">
        <v>90000</v>
      </c>
      <c r="J143" s="22">
        <v>60000</v>
      </c>
      <c r="K143" s="22">
        <v>1920000</v>
      </c>
      <c r="L143" s="22">
        <v>10</v>
      </c>
      <c r="M143" s="22">
        <v>2023</v>
      </c>
    </row>
    <row r="144" spans="1:13" x14ac:dyDescent="0.3">
      <c r="A144" s="22" t="s">
        <v>51</v>
      </c>
      <c r="B144" s="22" t="s">
        <v>439</v>
      </c>
      <c r="C144" s="22" t="s">
        <v>52</v>
      </c>
      <c r="D144" s="22">
        <v>6000000</v>
      </c>
      <c r="E144" s="22">
        <v>1050000</v>
      </c>
      <c r="F144" s="22">
        <v>180000</v>
      </c>
      <c r="G144" s="22">
        <v>60000</v>
      </c>
      <c r="H144" s="22">
        <v>480000</v>
      </c>
      <c r="I144" s="22">
        <v>90000</v>
      </c>
      <c r="J144" s="22">
        <v>60000</v>
      </c>
      <c r="K144" s="22">
        <v>1920000</v>
      </c>
      <c r="L144" s="22">
        <v>10</v>
      </c>
      <c r="M144" s="22">
        <v>2023</v>
      </c>
    </row>
    <row r="145" spans="1:13" x14ac:dyDescent="0.3">
      <c r="A145" s="22" t="s">
        <v>53</v>
      </c>
      <c r="B145" s="22" t="s">
        <v>439</v>
      </c>
      <c r="C145" s="22" t="s">
        <v>54</v>
      </c>
      <c r="D145" s="22">
        <v>5800000</v>
      </c>
      <c r="E145" s="22">
        <v>1014999.9999999999</v>
      </c>
      <c r="F145" s="22">
        <v>174000</v>
      </c>
      <c r="G145" s="22">
        <v>58000</v>
      </c>
      <c r="H145" s="22">
        <v>464000</v>
      </c>
      <c r="I145" s="22">
        <v>87000</v>
      </c>
      <c r="J145" s="22">
        <v>58000</v>
      </c>
      <c r="K145" s="22">
        <v>1856000</v>
      </c>
      <c r="L145" s="22">
        <v>10</v>
      </c>
      <c r="M145" s="22">
        <v>2023</v>
      </c>
    </row>
    <row r="146" spans="1:13" x14ac:dyDescent="0.3">
      <c r="A146" s="22" t="s">
        <v>55</v>
      </c>
      <c r="B146" s="22" t="s">
        <v>439</v>
      </c>
      <c r="C146" s="22" t="s">
        <v>56</v>
      </c>
      <c r="D146" s="22">
        <v>5800000</v>
      </c>
      <c r="E146" s="22">
        <v>1014999.9999999999</v>
      </c>
      <c r="F146" s="22">
        <v>174000</v>
      </c>
      <c r="G146" s="22">
        <v>58000</v>
      </c>
      <c r="H146" s="22">
        <v>464000</v>
      </c>
      <c r="I146" s="22">
        <v>87000</v>
      </c>
      <c r="J146" s="22">
        <v>58000</v>
      </c>
      <c r="K146" s="22">
        <v>1856000</v>
      </c>
      <c r="L146" s="22">
        <v>10</v>
      </c>
      <c r="M146" s="22">
        <v>2023</v>
      </c>
    </row>
    <row r="147" spans="1:13" x14ac:dyDescent="0.3">
      <c r="A147" s="22" t="s">
        <v>9</v>
      </c>
      <c r="B147" s="22" t="s">
        <v>438</v>
      </c>
      <c r="C147" s="22" t="s">
        <v>10</v>
      </c>
      <c r="D147" s="22">
        <v>6000000</v>
      </c>
      <c r="E147" s="22">
        <v>1050000</v>
      </c>
      <c r="F147" s="22">
        <v>180000</v>
      </c>
      <c r="G147" s="22">
        <v>60000</v>
      </c>
      <c r="H147" s="22">
        <v>480000</v>
      </c>
      <c r="I147" s="22">
        <v>90000</v>
      </c>
      <c r="J147" s="22">
        <v>60000</v>
      </c>
      <c r="K147" s="22">
        <v>1920000</v>
      </c>
      <c r="L147" s="22">
        <v>11</v>
      </c>
      <c r="M147" s="22">
        <v>2023</v>
      </c>
    </row>
    <row r="148" spans="1:13" x14ac:dyDescent="0.3">
      <c r="A148" s="22" t="s">
        <v>14</v>
      </c>
      <c r="B148" s="22" t="s">
        <v>438</v>
      </c>
      <c r="C148" s="22" t="s">
        <v>15</v>
      </c>
      <c r="D148" s="22">
        <v>6000000</v>
      </c>
      <c r="E148" s="22">
        <v>1050000</v>
      </c>
      <c r="F148" s="22">
        <v>180000</v>
      </c>
      <c r="G148" s="22">
        <v>60000</v>
      </c>
      <c r="H148" s="22">
        <v>480000</v>
      </c>
      <c r="I148" s="22">
        <v>90000</v>
      </c>
      <c r="J148" s="22">
        <v>60000</v>
      </c>
      <c r="K148" s="22">
        <v>1920000</v>
      </c>
      <c r="L148" s="22">
        <v>11</v>
      </c>
      <c r="M148" s="22">
        <v>2023</v>
      </c>
    </row>
    <row r="149" spans="1:13" x14ac:dyDescent="0.3">
      <c r="A149" s="22" t="s">
        <v>19</v>
      </c>
      <c r="B149" s="22" t="s">
        <v>438</v>
      </c>
      <c r="C149" s="22" t="s">
        <v>20</v>
      </c>
      <c r="D149" s="22">
        <v>6000000</v>
      </c>
      <c r="E149" s="22">
        <v>1050000</v>
      </c>
      <c r="F149" s="22">
        <v>180000</v>
      </c>
      <c r="G149" s="22">
        <v>60000</v>
      </c>
      <c r="H149" s="22">
        <v>480000</v>
      </c>
      <c r="I149" s="22">
        <v>90000</v>
      </c>
      <c r="J149" s="22">
        <v>60000</v>
      </c>
      <c r="K149" s="22">
        <v>1920000</v>
      </c>
      <c r="L149" s="22">
        <v>11</v>
      </c>
      <c r="M149" s="22">
        <v>2023</v>
      </c>
    </row>
    <row r="150" spans="1:13" x14ac:dyDescent="0.3">
      <c r="A150" s="22" t="s">
        <v>24</v>
      </c>
      <c r="B150" s="22" t="s">
        <v>439</v>
      </c>
      <c r="C150" s="22" t="s">
        <v>25</v>
      </c>
      <c r="D150" s="22">
        <v>6000000</v>
      </c>
      <c r="E150" s="22">
        <v>1050000</v>
      </c>
      <c r="F150" s="22">
        <v>180000</v>
      </c>
      <c r="G150" s="22">
        <v>60000</v>
      </c>
      <c r="H150" s="22">
        <v>480000</v>
      </c>
      <c r="I150" s="22">
        <v>90000</v>
      </c>
      <c r="J150" s="22">
        <v>60000</v>
      </c>
      <c r="K150" s="22">
        <v>1920000</v>
      </c>
      <c r="L150" s="22">
        <v>11</v>
      </c>
      <c r="M150" s="22">
        <v>2023</v>
      </c>
    </row>
    <row r="151" spans="1:13" x14ac:dyDescent="0.3">
      <c r="A151" s="22" t="s">
        <v>29</v>
      </c>
      <c r="B151" s="22" t="s">
        <v>439</v>
      </c>
      <c r="C151" s="22" t="s">
        <v>30</v>
      </c>
      <c r="D151" s="22">
        <v>6000000</v>
      </c>
      <c r="E151" s="22">
        <v>1050000</v>
      </c>
      <c r="F151" s="22">
        <v>180000</v>
      </c>
      <c r="G151" s="22">
        <v>60000</v>
      </c>
      <c r="H151" s="22">
        <v>480000</v>
      </c>
      <c r="I151" s="22">
        <v>90000</v>
      </c>
      <c r="J151" s="22">
        <v>60000</v>
      </c>
      <c r="K151" s="22">
        <v>1920000</v>
      </c>
      <c r="L151" s="22">
        <v>11</v>
      </c>
      <c r="M151" s="22">
        <v>2023</v>
      </c>
    </row>
    <row r="152" spans="1:13" x14ac:dyDescent="0.3">
      <c r="A152" s="22" t="s">
        <v>32</v>
      </c>
      <c r="B152" s="22" t="s">
        <v>439</v>
      </c>
      <c r="C152" s="22" t="s">
        <v>33</v>
      </c>
      <c r="D152" s="22">
        <v>6000000</v>
      </c>
      <c r="E152" s="22">
        <v>1050000</v>
      </c>
      <c r="F152" s="22">
        <v>180000</v>
      </c>
      <c r="G152" s="22">
        <v>60000</v>
      </c>
      <c r="H152" s="22">
        <v>480000</v>
      </c>
      <c r="I152" s="22">
        <v>90000</v>
      </c>
      <c r="J152" s="22">
        <v>60000</v>
      </c>
      <c r="K152" s="22">
        <v>1920000</v>
      </c>
      <c r="L152" s="22">
        <v>11</v>
      </c>
      <c r="M152" s="22">
        <v>2023</v>
      </c>
    </row>
    <row r="153" spans="1:13" x14ac:dyDescent="0.3">
      <c r="A153" s="22" t="s">
        <v>35</v>
      </c>
      <c r="B153" s="22" t="s">
        <v>439</v>
      </c>
      <c r="C153" s="22" t="s">
        <v>36</v>
      </c>
      <c r="D153" s="22">
        <v>6000000</v>
      </c>
      <c r="E153" s="22">
        <v>1050000</v>
      </c>
      <c r="F153" s="22">
        <v>180000</v>
      </c>
      <c r="G153" s="22">
        <v>60000</v>
      </c>
      <c r="H153" s="22">
        <v>480000</v>
      </c>
      <c r="I153" s="22">
        <v>90000</v>
      </c>
      <c r="J153" s="22">
        <v>60000</v>
      </c>
      <c r="K153" s="22">
        <v>1920000</v>
      </c>
      <c r="L153" s="22">
        <v>11</v>
      </c>
      <c r="M153" s="22">
        <v>2023</v>
      </c>
    </row>
    <row r="154" spans="1:13" x14ac:dyDescent="0.3">
      <c r="A154" s="22" t="s">
        <v>38</v>
      </c>
      <c r="B154" s="22" t="s">
        <v>439</v>
      </c>
      <c r="C154" s="22" t="s">
        <v>39</v>
      </c>
      <c r="D154" s="22">
        <v>6000000</v>
      </c>
      <c r="E154" s="22">
        <v>1050000</v>
      </c>
      <c r="F154" s="22">
        <v>180000</v>
      </c>
      <c r="G154" s="22">
        <v>60000</v>
      </c>
      <c r="H154" s="22">
        <v>480000</v>
      </c>
      <c r="I154" s="22">
        <v>90000</v>
      </c>
      <c r="J154" s="22">
        <v>60000</v>
      </c>
      <c r="K154" s="22">
        <v>1920000</v>
      </c>
      <c r="L154" s="22">
        <v>11</v>
      </c>
      <c r="M154" s="22">
        <v>2023</v>
      </c>
    </row>
    <row r="155" spans="1:13" x14ac:dyDescent="0.3">
      <c r="A155" s="22" t="s">
        <v>41</v>
      </c>
      <c r="B155" s="22" t="s">
        <v>439</v>
      </c>
      <c r="C155" s="22" t="s">
        <v>42</v>
      </c>
      <c r="D155" s="22">
        <v>6000000</v>
      </c>
      <c r="E155" s="22">
        <v>1050000</v>
      </c>
      <c r="F155" s="22">
        <v>180000</v>
      </c>
      <c r="G155" s="22">
        <v>60000</v>
      </c>
      <c r="H155" s="22">
        <v>480000</v>
      </c>
      <c r="I155" s="22">
        <v>90000</v>
      </c>
      <c r="J155" s="22">
        <v>60000</v>
      </c>
      <c r="K155" s="22">
        <v>1920000</v>
      </c>
      <c r="L155" s="22">
        <v>11</v>
      </c>
      <c r="M155" s="22">
        <v>2023</v>
      </c>
    </row>
    <row r="156" spans="1:13" x14ac:dyDescent="0.3">
      <c r="A156" s="22" t="s">
        <v>44</v>
      </c>
      <c r="B156" s="22" t="s">
        <v>439</v>
      </c>
      <c r="C156" s="22" t="s">
        <v>45</v>
      </c>
      <c r="D156" s="22">
        <v>6000000</v>
      </c>
      <c r="E156" s="22">
        <v>1050000</v>
      </c>
      <c r="F156" s="22">
        <v>180000</v>
      </c>
      <c r="G156" s="22">
        <v>60000</v>
      </c>
      <c r="H156" s="22">
        <v>480000</v>
      </c>
      <c r="I156" s="22">
        <v>90000</v>
      </c>
      <c r="J156" s="22">
        <v>60000</v>
      </c>
      <c r="K156" s="22">
        <v>1920000</v>
      </c>
      <c r="L156" s="22">
        <v>11</v>
      </c>
      <c r="M156" s="22">
        <v>2023</v>
      </c>
    </row>
    <row r="157" spans="1:13" x14ac:dyDescent="0.3">
      <c r="A157" s="22" t="s">
        <v>47</v>
      </c>
      <c r="B157" s="22" t="s">
        <v>439</v>
      </c>
      <c r="C157" s="22" t="s">
        <v>48</v>
      </c>
      <c r="D157" s="22">
        <v>6000000</v>
      </c>
      <c r="E157" s="22">
        <v>1050000</v>
      </c>
      <c r="F157" s="22">
        <v>180000</v>
      </c>
      <c r="G157" s="22">
        <v>60000</v>
      </c>
      <c r="H157" s="22">
        <v>480000</v>
      </c>
      <c r="I157" s="22">
        <v>90000</v>
      </c>
      <c r="J157" s="22">
        <v>60000</v>
      </c>
      <c r="K157" s="22">
        <v>1920000</v>
      </c>
      <c r="L157" s="22">
        <v>11</v>
      </c>
      <c r="M157" s="22">
        <v>2023</v>
      </c>
    </row>
    <row r="158" spans="1:13" x14ac:dyDescent="0.3">
      <c r="A158" s="22" t="s">
        <v>49</v>
      </c>
      <c r="B158" s="22" t="s">
        <v>439</v>
      </c>
      <c r="C158" s="22" t="s">
        <v>50</v>
      </c>
      <c r="D158" s="22">
        <v>6000000</v>
      </c>
      <c r="E158" s="22">
        <v>1050000</v>
      </c>
      <c r="F158" s="22">
        <v>180000</v>
      </c>
      <c r="G158" s="22">
        <v>60000</v>
      </c>
      <c r="H158" s="22">
        <v>480000</v>
      </c>
      <c r="I158" s="22">
        <v>90000</v>
      </c>
      <c r="J158" s="22">
        <v>60000</v>
      </c>
      <c r="K158" s="22">
        <v>1920000</v>
      </c>
      <c r="L158" s="22">
        <v>11</v>
      </c>
      <c r="M158" s="22">
        <v>2023</v>
      </c>
    </row>
    <row r="159" spans="1:13" x14ac:dyDescent="0.3">
      <c r="A159" s="22" t="s">
        <v>51</v>
      </c>
      <c r="B159" s="22" t="s">
        <v>439</v>
      </c>
      <c r="C159" s="22" t="s">
        <v>52</v>
      </c>
      <c r="D159" s="22">
        <v>6000000</v>
      </c>
      <c r="E159" s="22">
        <v>1050000</v>
      </c>
      <c r="F159" s="22">
        <v>180000</v>
      </c>
      <c r="G159" s="22">
        <v>60000</v>
      </c>
      <c r="H159" s="22">
        <v>480000</v>
      </c>
      <c r="I159" s="22">
        <v>90000</v>
      </c>
      <c r="J159" s="22">
        <v>60000</v>
      </c>
      <c r="K159" s="22">
        <v>1920000</v>
      </c>
      <c r="L159" s="22">
        <v>11</v>
      </c>
      <c r="M159" s="22">
        <v>2023</v>
      </c>
    </row>
    <row r="160" spans="1:13" x14ac:dyDescent="0.3">
      <c r="A160" s="22" t="s">
        <v>9</v>
      </c>
      <c r="B160" s="22" t="s">
        <v>438</v>
      </c>
      <c r="C160" s="22" t="s">
        <v>10</v>
      </c>
      <c r="D160" s="22">
        <v>6000000</v>
      </c>
      <c r="E160" s="22">
        <v>1050000</v>
      </c>
      <c r="F160" s="22">
        <v>180000</v>
      </c>
      <c r="G160" s="22">
        <v>60000</v>
      </c>
      <c r="H160" s="22">
        <v>480000</v>
      </c>
      <c r="I160" s="22">
        <v>90000</v>
      </c>
      <c r="J160" s="22">
        <v>60000</v>
      </c>
      <c r="K160" s="22">
        <v>1920000</v>
      </c>
      <c r="L160" s="22">
        <v>12</v>
      </c>
      <c r="M160" s="22">
        <v>2023</v>
      </c>
    </row>
    <row r="161" spans="1:13" x14ac:dyDescent="0.3">
      <c r="A161" s="22" t="s">
        <v>14</v>
      </c>
      <c r="B161" s="22" t="s">
        <v>438</v>
      </c>
      <c r="C161" s="22" t="s">
        <v>15</v>
      </c>
      <c r="D161" s="22">
        <v>6000000</v>
      </c>
      <c r="E161" s="22">
        <v>1050000</v>
      </c>
      <c r="F161" s="22">
        <v>180000</v>
      </c>
      <c r="G161" s="22">
        <v>60000</v>
      </c>
      <c r="H161" s="22">
        <v>480000</v>
      </c>
      <c r="I161" s="22">
        <v>90000</v>
      </c>
      <c r="J161" s="22">
        <v>60000</v>
      </c>
      <c r="K161" s="22">
        <v>1920000</v>
      </c>
      <c r="L161" s="22">
        <v>12</v>
      </c>
      <c r="M161" s="22">
        <v>2023</v>
      </c>
    </row>
    <row r="162" spans="1:13" x14ac:dyDescent="0.3">
      <c r="A162" s="22" t="s">
        <v>19</v>
      </c>
      <c r="B162" s="22" t="s">
        <v>438</v>
      </c>
      <c r="C162" s="22" t="s">
        <v>20</v>
      </c>
      <c r="D162" s="22">
        <v>6000000</v>
      </c>
      <c r="E162" s="22">
        <v>1050000</v>
      </c>
      <c r="F162" s="22">
        <v>180000</v>
      </c>
      <c r="G162" s="22">
        <v>60000</v>
      </c>
      <c r="H162" s="22">
        <v>480000</v>
      </c>
      <c r="I162" s="22">
        <v>90000</v>
      </c>
      <c r="J162" s="22">
        <v>60000</v>
      </c>
      <c r="K162" s="22">
        <v>1920000</v>
      </c>
      <c r="L162" s="22">
        <v>12</v>
      </c>
      <c r="M162" s="22">
        <v>2023</v>
      </c>
    </row>
    <row r="163" spans="1:13" x14ac:dyDescent="0.3">
      <c r="A163" s="22" t="s">
        <v>24</v>
      </c>
      <c r="B163" s="22" t="s">
        <v>439</v>
      </c>
      <c r="C163" s="22" t="s">
        <v>25</v>
      </c>
      <c r="D163" s="22">
        <v>6000000</v>
      </c>
      <c r="E163" s="22">
        <v>1050000</v>
      </c>
      <c r="F163" s="22">
        <v>180000</v>
      </c>
      <c r="G163" s="22">
        <v>60000</v>
      </c>
      <c r="H163" s="22">
        <v>480000</v>
      </c>
      <c r="I163" s="22">
        <v>90000</v>
      </c>
      <c r="J163" s="22">
        <v>60000</v>
      </c>
      <c r="K163" s="22">
        <v>1920000</v>
      </c>
      <c r="L163" s="22">
        <v>12</v>
      </c>
      <c r="M163" s="22">
        <v>2023</v>
      </c>
    </row>
    <row r="164" spans="1:13" x14ac:dyDescent="0.3">
      <c r="A164" s="22" t="s">
        <v>29</v>
      </c>
      <c r="B164" s="22" t="s">
        <v>439</v>
      </c>
      <c r="C164" s="22" t="s">
        <v>30</v>
      </c>
      <c r="D164" s="22">
        <v>6000000</v>
      </c>
      <c r="E164" s="22">
        <v>1050000</v>
      </c>
      <c r="F164" s="22">
        <v>180000</v>
      </c>
      <c r="G164" s="22">
        <v>60000</v>
      </c>
      <c r="H164" s="22">
        <v>480000</v>
      </c>
      <c r="I164" s="22">
        <v>90000</v>
      </c>
      <c r="J164" s="22">
        <v>60000</v>
      </c>
      <c r="K164" s="22">
        <v>1920000</v>
      </c>
      <c r="L164" s="22">
        <v>12</v>
      </c>
      <c r="M164" s="22">
        <v>2023</v>
      </c>
    </row>
    <row r="165" spans="1:13" x14ac:dyDescent="0.3">
      <c r="A165" s="22" t="s">
        <v>32</v>
      </c>
      <c r="B165" s="22" t="s">
        <v>439</v>
      </c>
      <c r="C165" s="22" t="s">
        <v>33</v>
      </c>
      <c r="D165" s="22">
        <v>6000000</v>
      </c>
      <c r="E165" s="22">
        <v>1050000</v>
      </c>
      <c r="F165" s="22">
        <v>180000</v>
      </c>
      <c r="G165" s="22">
        <v>60000</v>
      </c>
      <c r="H165" s="22">
        <v>480000</v>
      </c>
      <c r="I165" s="22">
        <v>90000</v>
      </c>
      <c r="J165" s="22">
        <v>60000</v>
      </c>
      <c r="K165" s="22">
        <v>1920000</v>
      </c>
      <c r="L165" s="22">
        <v>12</v>
      </c>
      <c r="M165" s="22">
        <v>2023</v>
      </c>
    </row>
    <row r="166" spans="1:13" x14ac:dyDescent="0.3">
      <c r="A166" s="22" t="s">
        <v>35</v>
      </c>
      <c r="B166" s="22" t="s">
        <v>439</v>
      </c>
      <c r="C166" s="22" t="s">
        <v>36</v>
      </c>
      <c r="D166" s="22">
        <v>6000000</v>
      </c>
      <c r="E166" s="22">
        <v>1050000</v>
      </c>
      <c r="F166" s="22">
        <v>180000</v>
      </c>
      <c r="G166" s="22">
        <v>60000</v>
      </c>
      <c r="H166" s="22">
        <v>480000</v>
      </c>
      <c r="I166" s="22">
        <v>90000</v>
      </c>
      <c r="J166" s="22">
        <v>60000</v>
      </c>
      <c r="K166" s="22">
        <v>1920000</v>
      </c>
      <c r="L166" s="22">
        <v>12</v>
      </c>
      <c r="M166" s="22">
        <v>2023</v>
      </c>
    </row>
    <row r="167" spans="1:13" x14ac:dyDescent="0.3">
      <c r="A167" s="22" t="s">
        <v>38</v>
      </c>
      <c r="B167" s="22" t="s">
        <v>439</v>
      </c>
      <c r="C167" s="22" t="s">
        <v>39</v>
      </c>
      <c r="D167" s="22">
        <v>6000000</v>
      </c>
      <c r="E167" s="22">
        <v>1050000</v>
      </c>
      <c r="F167" s="22">
        <v>180000</v>
      </c>
      <c r="G167" s="22">
        <v>60000</v>
      </c>
      <c r="H167" s="22">
        <v>480000</v>
      </c>
      <c r="I167" s="22">
        <v>90000</v>
      </c>
      <c r="J167" s="22">
        <v>60000</v>
      </c>
      <c r="K167" s="22">
        <v>1920000</v>
      </c>
      <c r="L167" s="22">
        <v>12</v>
      </c>
      <c r="M167" s="22">
        <v>2023</v>
      </c>
    </row>
    <row r="168" spans="1:13" x14ac:dyDescent="0.3">
      <c r="A168" s="22" t="s">
        <v>41</v>
      </c>
      <c r="B168" s="22" t="s">
        <v>439</v>
      </c>
      <c r="C168" s="22" t="s">
        <v>42</v>
      </c>
      <c r="D168" s="22">
        <v>6000000</v>
      </c>
      <c r="E168" s="22">
        <v>1050000</v>
      </c>
      <c r="F168" s="22">
        <v>180000</v>
      </c>
      <c r="G168" s="22">
        <v>60000</v>
      </c>
      <c r="H168" s="22">
        <v>480000</v>
      </c>
      <c r="I168" s="22">
        <v>90000</v>
      </c>
      <c r="J168" s="22">
        <v>60000</v>
      </c>
      <c r="K168" s="22">
        <v>1920000</v>
      </c>
      <c r="L168" s="22">
        <v>12</v>
      </c>
      <c r="M168" s="22">
        <v>2023</v>
      </c>
    </row>
    <row r="169" spans="1:13" x14ac:dyDescent="0.3">
      <c r="A169" s="22" t="s">
        <v>44</v>
      </c>
      <c r="B169" s="22" t="s">
        <v>439</v>
      </c>
      <c r="C169" s="22" t="s">
        <v>45</v>
      </c>
      <c r="D169" s="22">
        <v>6000000</v>
      </c>
      <c r="E169" s="22">
        <v>1050000</v>
      </c>
      <c r="F169" s="22">
        <v>180000</v>
      </c>
      <c r="G169" s="22">
        <v>60000</v>
      </c>
      <c r="H169" s="22">
        <v>480000</v>
      </c>
      <c r="I169" s="22">
        <v>90000</v>
      </c>
      <c r="J169" s="22">
        <v>60000</v>
      </c>
      <c r="K169" s="22">
        <v>1920000</v>
      </c>
      <c r="L169" s="22">
        <v>12</v>
      </c>
      <c r="M169" s="22">
        <v>2023</v>
      </c>
    </row>
    <row r="170" spans="1:13" x14ac:dyDescent="0.3">
      <c r="A170" s="22" t="s">
        <v>47</v>
      </c>
      <c r="B170" s="22" t="s">
        <v>439</v>
      </c>
      <c r="C170" s="22" t="s">
        <v>48</v>
      </c>
      <c r="D170" s="22">
        <v>6000000</v>
      </c>
      <c r="E170" s="22">
        <v>1050000</v>
      </c>
      <c r="F170" s="22">
        <v>180000</v>
      </c>
      <c r="G170" s="22">
        <v>60000</v>
      </c>
      <c r="H170" s="22">
        <v>480000</v>
      </c>
      <c r="I170" s="22">
        <v>90000</v>
      </c>
      <c r="J170" s="22">
        <v>60000</v>
      </c>
      <c r="K170" s="22">
        <v>1920000</v>
      </c>
      <c r="L170" s="22">
        <v>12</v>
      </c>
      <c r="M170" s="22">
        <v>2023</v>
      </c>
    </row>
    <row r="171" spans="1:13" x14ac:dyDescent="0.3">
      <c r="A171" s="22" t="s">
        <v>49</v>
      </c>
      <c r="B171" s="22" t="s">
        <v>439</v>
      </c>
      <c r="C171" s="22" t="s">
        <v>50</v>
      </c>
      <c r="D171" s="22">
        <v>6000000</v>
      </c>
      <c r="E171" s="22">
        <v>1050000</v>
      </c>
      <c r="F171" s="22">
        <v>180000</v>
      </c>
      <c r="G171" s="22">
        <v>60000</v>
      </c>
      <c r="H171" s="22">
        <v>480000</v>
      </c>
      <c r="I171" s="22">
        <v>90000</v>
      </c>
      <c r="J171" s="22">
        <v>60000</v>
      </c>
      <c r="K171" s="22">
        <v>1920000</v>
      </c>
      <c r="L171" s="22">
        <v>12</v>
      </c>
      <c r="M171" s="22">
        <v>2023</v>
      </c>
    </row>
    <row r="172" spans="1:13" x14ac:dyDescent="0.3">
      <c r="A172" s="22" t="s">
        <v>51</v>
      </c>
      <c r="B172" s="22" t="s">
        <v>439</v>
      </c>
      <c r="C172" s="22" t="s">
        <v>52</v>
      </c>
      <c r="D172" s="22">
        <v>6000000</v>
      </c>
      <c r="E172" s="22">
        <v>1050000</v>
      </c>
      <c r="F172" s="22">
        <v>180000</v>
      </c>
      <c r="G172" s="22">
        <v>60000</v>
      </c>
      <c r="H172" s="22">
        <v>480000</v>
      </c>
      <c r="I172" s="22">
        <v>90000</v>
      </c>
      <c r="J172" s="22">
        <v>60000</v>
      </c>
      <c r="K172" s="22">
        <v>1920000</v>
      </c>
      <c r="L172" s="22">
        <v>12</v>
      </c>
      <c r="M172" s="22">
        <v>2023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34BF9-FAEA-48CE-9484-C003DD52536E}">
  <sheetPr codeName="Sheet395">
    <tabColor rgb="FFFF0000"/>
  </sheetPr>
  <dimension ref="A1:U177"/>
  <sheetViews>
    <sheetView workbookViewId="0">
      <selection activeCell="A165" sqref="A165:S177"/>
    </sheetView>
  </sheetViews>
  <sheetFormatPr defaultColWidth="17.5546875" defaultRowHeight="14.4" x14ac:dyDescent="0.3"/>
  <cols>
    <col min="1" max="4" width="17.5546875" style="3"/>
    <col min="5" max="5" width="21.33203125" style="3" bestFit="1" customWidth="1"/>
    <col min="6" max="6" width="18.77734375" style="3" bestFit="1" customWidth="1"/>
    <col min="7" max="15" width="17.5546875" style="3"/>
    <col min="16" max="16" width="20.44140625" style="3" customWidth="1"/>
    <col min="17" max="16384" width="17.5546875" style="3"/>
  </cols>
  <sheetData>
    <row r="1" spans="1:21" x14ac:dyDescent="0.3">
      <c r="A1" s="19" t="s">
        <v>69</v>
      </c>
      <c r="B1" s="19" t="s">
        <v>70</v>
      </c>
      <c r="C1" s="19" t="s">
        <v>72</v>
      </c>
      <c r="D1" s="19" t="s">
        <v>71</v>
      </c>
      <c r="E1" s="19" t="s">
        <v>329</v>
      </c>
      <c r="F1" s="19" t="s">
        <v>330</v>
      </c>
      <c r="G1" s="19" t="s">
        <v>331</v>
      </c>
      <c r="H1" s="19" t="s">
        <v>332</v>
      </c>
      <c r="I1" s="19" t="s">
        <v>333</v>
      </c>
      <c r="J1" s="19" t="s">
        <v>334</v>
      </c>
      <c r="K1" s="19" t="s">
        <v>335</v>
      </c>
      <c r="L1" s="19" t="s">
        <v>336</v>
      </c>
      <c r="M1" s="19" t="s">
        <v>337</v>
      </c>
      <c r="N1" s="19" t="s">
        <v>338</v>
      </c>
      <c r="O1" s="19" t="s">
        <v>339</v>
      </c>
      <c r="P1" s="19" t="s">
        <v>340</v>
      </c>
      <c r="Q1" s="19" t="s">
        <v>341</v>
      </c>
      <c r="R1" s="19" t="s">
        <v>342</v>
      </c>
      <c r="S1" s="19" t="s">
        <v>343</v>
      </c>
      <c r="T1" s="19" t="s">
        <v>121</v>
      </c>
      <c r="U1" s="19" t="s">
        <v>122</v>
      </c>
    </row>
    <row r="2" spans="1:21" x14ac:dyDescent="0.3">
      <c r="A2" s="22" t="s">
        <v>9</v>
      </c>
      <c r="B2" s="22" t="s">
        <v>10</v>
      </c>
      <c r="C2" s="22" t="s">
        <v>438</v>
      </c>
      <c r="D2" s="22" t="s">
        <v>11</v>
      </c>
      <c r="E2" s="22">
        <v>5007600</v>
      </c>
      <c r="F2" s="22">
        <v>22</v>
      </c>
      <c r="G2" s="22">
        <v>5007600</v>
      </c>
      <c r="H2" s="22">
        <v>730000</v>
      </c>
      <c r="I2" s="22">
        <v>500000</v>
      </c>
      <c r="J2" s="22">
        <v>1200000</v>
      </c>
      <c r="K2" s="22">
        <v>30000000</v>
      </c>
      <c r="L2" s="22">
        <v>32430000</v>
      </c>
      <c r="M2" s="22">
        <v>37437600</v>
      </c>
      <c r="N2" s="22">
        <v>11000000</v>
      </c>
      <c r="O2" s="22">
        <v>3600000</v>
      </c>
      <c r="P2" s="22">
        <v>2917520</v>
      </c>
      <c r="Q2" s="22">
        <v>525798</v>
      </c>
      <c r="R2" s="22"/>
      <c r="S2" s="22">
        <v>33994282</v>
      </c>
      <c r="T2" s="22">
        <v>1</v>
      </c>
      <c r="U2" s="22">
        <v>2023</v>
      </c>
    </row>
    <row r="3" spans="1:21" x14ac:dyDescent="0.3">
      <c r="A3" s="22" t="s">
        <v>14</v>
      </c>
      <c r="B3" s="22" t="s">
        <v>15</v>
      </c>
      <c r="C3" s="22" t="s">
        <v>438</v>
      </c>
      <c r="D3" s="22" t="s">
        <v>16</v>
      </c>
      <c r="E3" s="22">
        <v>5007600</v>
      </c>
      <c r="F3" s="22">
        <v>22</v>
      </c>
      <c r="G3" s="22">
        <v>5007600</v>
      </c>
      <c r="H3" s="22">
        <v>730000</v>
      </c>
      <c r="I3" s="22">
        <v>500000</v>
      </c>
      <c r="J3" s="22">
        <v>1200000</v>
      </c>
      <c r="K3" s="22">
        <v>3500000</v>
      </c>
      <c r="L3" s="22">
        <v>5930000</v>
      </c>
      <c r="M3" s="22">
        <v>10937600</v>
      </c>
      <c r="N3" s="22">
        <v>11000000</v>
      </c>
      <c r="O3" s="22">
        <v>3600000</v>
      </c>
      <c r="P3" s="22">
        <v>0</v>
      </c>
      <c r="Q3" s="22">
        <v>525798</v>
      </c>
      <c r="R3" s="22"/>
      <c r="S3" s="22">
        <v>10411802</v>
      </c>
      <c r="T3" s="22">
        <v>1</v>
      </c>
      <c r="U3" s="22">
        <v>2023</v>
      </c>
    </row>
    <row r="4" spans="1:21" x14ac:dyDescent="0.3">
      <c r="A4" s="22" t="s">
        <v>19</v>
      </c>
      <c r="B4" s="22" t="s">
        <v>20</v>
      </c>
      <c r="C4" s="22" t="s">
        <v>438</v>
      </c>
      <c r="D4" s="22" t="s">
        <v>21</v>
      </c>
      <c r="E4" s="22">
        <v>5007600</v>
      </c>
      <c r="F4" s="22">
        <v>22</v>
      </c>
      <c r="G4" s="22">
        <v>5007600</v>
      </c>
      <c r="H4" s="22">
        <v>730000</v>
      </c>
      <c r="I4" s="22">
        <v>500000</v>
      </c>
      <c r="J4" s="22">
        <v>1200000</v>
      </c>
      <c r="K4" s="22">
        <v>3500000</v>
      </c>
      <c r="L4" s="22">
        <v>5930000</v>
      </c>
      <c r="M4" s="22">
        <v>10937600</v>
      </c>
      <c r="N4" s="22">
        <v>11000000</v>
      </c>
      <c r="O4" s="22">
        <v>3600000</v>
      </c>
      <c r="P4" s="22">
        <v>0</v>
      </c>
      <c r="Q4" s="22">
        <v>525798</v>
      </c>
      <c r="R4" s="22"/>
      <c r="S4" s="22">
        <v>10411802</v>
      </c>
      <c r="T4" s="22">
        <v>1</v>
      </c>
      <c r="U4" s="22">
        <v>2023</v>
      </c>
    </row>
    <row r="5" spans="1:21" x14ac:dyDescent="0.3">
      <c r="A5" s="22" t="s">
        <v>24</v>
      </c>
      <c r="B5" s="22" t="s">
        <v>25</v>
      </c>
      <c r="C5" s="22" t="s">
        <v>439</v>
      </c>
      <c r="D5" s="22" t="s">
        <v>26</v>
      </c>
      <c r="E5" s="22">
        <v>5007600</v>
      </c>
      <c r="F5" s="22">
        <v>22</v>
      </c>
      <c r="G5" s="22">
        <v>5007600</v>
      </c>
      <c r="H5" s="22">
        <v>730000</v>
      </c>
      <c r="I5" s="22">
        <v>500000</v>
      </c>
      <c r="J5" s="22">
        <v>1200000</v>
      </c>
      <c r="K5" s="22">
        <v>3500000</v>
      </c>
      <c r="L5" s="22">
        <v>5930000</v>
      </c>
      <c r="M5" s="22">
        <v>10937600</v>
      </c>
      <c r="N5" s="22">
        <v>11000000</v>
      </c>
      <c r="O5" s="22">
        <v>3600000</v>
      </c>
      <c r="P5" s="22">
        <v>0</v>
      </c>
      <c r="Q5" s="22">
        <v>525798</v>
      </c>
      <c r="R5" s="22"/>
      <c r="S5" s="22">
        <v>10411802</v>
      </c>
      <c r="T5" s="22">
        <v>1</v>
      </c>
      <c r="U5" s="22">
        <v>2023</v>
      </c>
    </row>
    <row r="6" spans="1:21" x14ac:dyDescent="0.3">
      <c r="A6" s="22" t="s">
        <v>29</v>
      </c>
      <c r="B6" s="22" t="s">
        <v>30</v>
      </c>
      <c r="C6" s="22" t="s">
        <v>439</v>
      </c>
      <c r="D6" s="22" t="s">
        <v>26</v>
      </c>
      <c r="E6" s="22">
        <v>5007600</v>
      </c>
      <c r="F6" s="22">
        <v>22</v>
      </c>
      <c r="G6" s="22">
        <v>5007600</v>
      </c>
      <c r="H6" s="22">
        <v>730000</v>
      </c>
      <c r="I6" s="22">
        <v>500000</v>
      </c>
      <c r="J6" s="22">
        <v>1200000</v>
      </c>
      <c r="K6" s="22">
        <v>3500000</v>
      </c>
      <c r="L6" s="22">
        <v>5930000</v>
      </c>
      <c r="M6" s="22">
        <v>10937600</v>
      </c>
      <c r="N6" s="22">
        <v>11000000</v>
      </c>
      <c r="O6" s="22">
        <v>3600000</v>
      </c>
      <c r="P6" s="22">
        <v>0</v>
      </c>
      <c r="Q6" s="22">
        <v>525798</v>
      </c>
      <c r="R6" s="22"/>
      <c r="S6" s="22">
        <v>10411802</v>
      </c>
      <c r="T6" s="22">
        <v>1</v>
      </c>
      <c r="U6" s="22">
        <v>2023</v>
      </c>
    </row>
    <row r="7" spans="1:21" x14ac:dyDescent="0.3">
      <c r="A7" s="22" t="s">
        <v>32</v>
      </c>
      <c r="B7" s="22" t="s">
        <v>33</v>
      </c>
      <c r="C7" s="22" t="s">
        <v>439</v>
      </c>
      <c r="D7" s="22" t="s">
        <v>26</v>
      </c>
      <c r="E7" s="22">
        <v>5007600</v>
      </c>
      <c r="F7" s="22">
        <v>22</v>
      </c>
      <c r="G7" s="22">
        <v>5007600</v>
      </c>
      <c r="H7" s="22">
        <v>730000</v>
      </c>
      <c r="I7" s="22">
        <v>500000</v>
      </c>
      <c r="J7" s="22">
        <v>1200000</v>
      </c>
      <c r="K7" s="22">
        <v>3500000</v>
      </c>
      <c r="L7" s="22">
        <v>5930000</v>
      </c>
      <c r="M7" s="22">
        <v>10937600</v>
      </c>
      <c r="N7" s="22">
        <v>11000000</v>
      </c>
      <c r="O7" s="22">
        <v>3600000</v>
      </c>
      <c r="P7" s="22">
        <v>0</v>
      </c>
      <c r="Q7" s="22">
        <v>525798</v>
      </c>
      <c r="R7" s="22"/>
      <c r="S7" s="22">
        <v>10411802</v>
      </c>
      <c r="T7" s="22">
        <v>1</v>
      </c>
      <c r="U7" s="22">
        <v>2023</v>
      </c>
    </row>
    <row r="8" spans="1:21" x14ac:dyDescent="0.3">
      <c r="A8" s="22" t="s">
        <v>35</v>
      </c>
      <c r="B8" s="22" t="s">
        <v>36</v>
      </c>
      <c r="C8" s="22" t="s">
        <v>439</v>
      </c>
      <c r="D8" s="22" t="s">
        <v>26</v>
      </c>
      <c r="E8" s="22">
        <v>5007600</v>
      </c>
      <c r="F8" s="22">
        <v>22</v>
      </c>
      <c r="G8" s="22">
        <v>5007600</v>
      </c>
      <c r="H8" s="22">
        <v>730000</v>
      </c>
      <c r="I8" s="22">
        <v>500000</v>
      </c>
      <c r="J8" s="22">
        <v>1200000</v>
      </c>
      <c r="K8" s="22">
        <v>3500000</v>
      </c>
      <c r="L8" s="22">
        <v>5930000</v>
      </c>
      <c r="M8" s="22">
        <v>10937600</v>
      </c>
      <c r="N8" s="22">
        <v>11000000</v>
      </c>
      <c r="O8" s="22">
        <v>3600000</v>
      </c>
      <c r="P8" s="22">
        <v>0</v>
      </c>
      <c r="Q8" s="22">
        <v>525798</v>
      </c>
      <c r="R8" s="22"/>
      <c r="S8" s="22">
        <v>10411802</v>
      </c>
      <c r="T8" s="22">
        <v>1</v>
      </c>
      <c r="U8" s="22">
        <v>2023</v>
      </c>
    </row>
    <row r="9" spans="1:21" x14ac:dyDescent="0.3">
      <c r="A9" s="22" t="s">
        <v>38</v>
      </c>
      <c r="B9" s="22" t="s">
        <v>39</v>
      </c>
      <c r="C9" s="22" t="s">
        <v>439</v>
      </c>
      <c r="D9" s="22" t="s">
        <v>26</v>
      </c>
      <c r="E9" s="22">
        <v>5007600</v>
      </c>
      <c r="F9" s="22">
        <v>22</v>
      </c>
      <c r="G9" s="22">
        <v>5007600</v>
      </c>
      <c r="H9" s="22">
        <v>730000</v>
      </c>
      <c r="I9" s="22">
        <v>500000</v>
      </c>
      <c r="J9" s="22">
        <v>1200000</v>
      </c>
      <c r="K9" s="22">
        <v>3500000</v>
      </c>
      <c r="L9" s="22">
        <v>5930000</v>
      </c>
      <c r="M9" s="22">
        <v>10937600</v>
      </c>
      <c r="N9" s="22">
        <v>11000000</v>
      </c>
      <c r="O9" s="22">
        <v>3600000</v>
      </c>
      <c r="P9" s="22">
        <v>0</v>
      </c>
      <c r="Q9" s="22">
        <v>525798</v>
      </c>
      <c r="R9" s="22"/>
      <c r="S9" s="22">
        <v>10411802</v>
      </c>
      <c r="T9" s="22">
        <v>1</v>
      </c>
      <c r="U9" s="22">
        <v>2023</v>
      </c>
    </row>
    <row r="10" spans="1:21" x14ac:dyDescent="0.3">
      <c r="A10" s="22" t="s">
        <v>41</v>
      </c>
      <c r="B10" s="22" t="s">
        <v>42</v>
      </c>
      <c r="C10" s="22" t="s">
        <v>439</v>
      </c>
      <c r="D10" s="22" t="s">
        <v>26</v>
      </c>
      <c r="E10" s="22">
        <v>5007600</v>
      </c>
      <c r="F10" s="22">
        <v>22</v>
      </c>
      <c r="G10" s="22">
        <v>5007600</v>
      </c>
      <c r="H10" s="22">
        <v>730000</v>
      </c>
      <c r="I10" s="22">
        <v>500000</v>
      </c>
      <c r="J10" s="22">
        <v>1200000</v>
      </c>
      <c r="K10" s="22">
        <v>3500000</v>
      </c>
      <c r="L10" s="22">
        <v>5930000</v>
      </c>
      <c r="M10" s="22">
        <v>10937600</v>
      </c>
      <c r="N10" s="22">
        <v>11000000</v>
      </c>
      <c r="O10" s="22">
        <v>3600000</v>
      </c>
      <c r="P10" s="22">
        <v>0</v>
      </c>
      <c r="Q10" s="22">
        <v>525798</v>
      </c>
      <c r="R10" s="22"/>
      <c r="S10" s="22">
        <v>10411802</v>
      </c>
      <c r="T10" s="22">
        <v>1</v>
      </c>
      <c r="U10" s="22">
        <v>2023</v>
      </c>
    </row>
    <row r="11" spans="1:21" x14ac:dyDescent="0.3">
      <c r="A11" s="22" t="s">
        <v>44</v>
      </c>
      <c r="B11" s="22" t="s">
        <v>45</v>
      </c>
      <c r="C11" s="22" t="s">
        <v>439</v>
      </c>
      <c r="D11" s="22" t="s">
        <v>26</v>
      </c>
      <c r="E11" s="22">
        <v>5007600</v>
      </c>
      <c r="F11" s="22">
        <v>22</v>
      </c>
      <c r="G11" s="22">
        <v>5007600</v>
      </c>
      <c r="H11" s="22">
        <v>730000</v>
      </c>
      <c r="I11" s="22">
        <v>500000</v>
      </c>
      <c r="J11" s="22">
        <v>1200000</v>
      </c>
      <c r="K11" s="22">
        <v>3500000</v>
      </c>
      <c r="L11" s="22">
        <v>5930000</v>
      </c>
      <c r="M11" s="22">
        <v>10937600</v>
      </c>
      <c r="N11" s="22">
        <v>11000000</v>
      </c>
      <c r="O11" s="22">
        <v>3600000</v>
      </c>
      <c r="P11" s="22">
        <v>0</v>
      </c>
      <c r="Q11" s="22">
        <v>525798</v>
      </c>
      <c r="R11" s="22"/>
      <c r="S11" s="22">
        <v>10411802</v>
      </c>
      <c r="T11" s="22">
        <v>1</v>
      </c>
      <c r="U11" s="22">
        <v>2023</v>
      </c>
    </row>
    <row r="12" spans="1:21" x14ac:dyDescent="0.3">
      <c r="A12" s="22" t="s">
        <v>47</v>
      </c>
      <c r="B12" s="22" t="s">
        <v>48</v>
      </c>
      <c r="C12" s="22" t="s">
        <v>439</v>
      </c>
      <c r="D12" s="22" t="s">
        <v>26</v>
      </c>
      <c r="E12" s="22">
        <v>5050000</v>
      </c>
      <c r="F12" s="22">
        <v>22</v>
      </c>
      <c r="G12" s="22">
        <v>5050000</v>
      </c>
      <c r="H12" s="22">
        <v>730000</v>
      </c>
      <c r="I12" s="22">
        <v>500000</v>
      </c>
      <c r="J12" s="22">
        <v>1200000</v>
      </c>
      <c r="K12" s="22">
        <v>3500000</v>
      </c>
      <c r="L12" s="22">
        <v>5930000</v>
      </c>
      <c r="M12" s="22">
        <v>10980000</v>
      </c>
      <c r="N12" s="22">
        <v>11000000</v>
      </c>
      <c r="O12" s="22">
        <v>0</v>
      </c>
      <c r="P12" s="22">
        <v>1098000</v>
      </c>
      <c r="Q12" s="22"/>
      <c r="R12" s="22"/>
      <c r="S12" s="22">
        <v>9882000</v>
      </c>
      <c r="T12" s="22">
        <v>1</v>
      </c>
      <c r="U12" s="22">
        <v>2023</v>
      </c>
    </row>
    <row r="13" spans="1:21" x14ac:dyDescent="0.3">
      <c r="A13" s="22" t="s">
        <v>49</v>
      </c>
      <c r="B13" s="22" t="s">
        <v>50</v>
      </c>
      <c r="C13" s="22" t="s">
        <v>439</v>
      </c>
      <c r="D13" s="22" t="s">
        <v>26</v>
      </c>
      <c r="E13" s="22">
        <v>5050000</v>
      </c>
      <c r="F13" s="22">
        <v>22</v>
      </c>
      <c r="G13" s="22">
        <v>5050000</v>
      </c>
      <c r="H13" s="22">
        <v>730000</v>
      </c>
      <c r="I13" s="22">
        <v>500000</v>
      </c>
      <c r="J13" s="22">
        <v>1200000</v>
      </c>
      <c r="K13" s="22">
        <v>3500000</v>
      </c>
      <c r="L13" s="22">
        <v>5930000</v>
      </c>
      <c r="M13" s="22">
        <v>10980000</v>
      </c>
      <c r="N13" s="22">
        <v>11000000</v>
      </c>
      <c r="O13" s="22">
        <v>0</v>
      </c>
      <c r="P13" s="22">
        <v>1098000</v>
      </c>
      <c r="Q13" s="22"/>
      <c r="R13" s="22"/>
      <c r="S13" s="22">
        <v>9882000</v>
      </c>
      <c r="T13" s="22">
        <v>1</v>
      </c>
      <c r="U13" s="22">
        <v>2023</v>
      </c>
    </row>
    <row r="14" spans="1:21" x14ac:dyDescent="0.3">
      <c r="A14" s="22" t="s">
        <v>51</v>
      </c>
      <c r="B14" s="22" t="s">
        <v>52</v>
      </c>
      <c r="C14" s="22" t="s">
        <v>439</v>
      </c>
      <c r="D14" s="22" t="s">
        <v>26</v>
      </c>
      <c r="E14" s="22">
        <v>5050000</v>
      </c>
      <c r="F14" s="22">
        <v>22</v>
      </c>
      <c r="G14" s="22">
        <v>5050000</v>
      </c>
      <c r="H14" s="22">
        <v>730000</v>
      </c>
      <c r="I14" s="22">
        <v>500000</v>
      </c>
      <c r="J14" s="22">
        <v>1200000</v>
      </c>
      <c r="K14" s="22">
        <v>3500000</v>
      </c>
      <c r="L14" s="22">
        <v>5930000</v>
      </c>
      <c r="M14" s="22">
        <v>10980000</v>
      </c>
      <c r="N14" s="22">
        <v>11000000</v>
      </c>
      <c r="O14" s="22">
        <v>0</v>
      </c>
      <c r="P14" s="22">
        <v>1098000</v>
      </c>
      <c r="Q14" s="22"/>
      <c r="R14" s="22"/>
      <c r="S14" s="22">
        <v>9882000</v>
      </c>
      <c r="T14" s="22">
        <v>1</v>
      </c>
      <c r="U14" s="22">
        <v>2023</v>
      </c>
    </row>
    <row r="15" spans="1:21" x14ac:dyDescent="0.3">
      <c r="A15" s="22" t="s">
        <v>53</v>
      </c>
      <c r="B15" s="22" t="s">
        <v>54</v>
      </c>
      <c r="C15" s="22" t="s">
        <v>439</v>
      </c>
      <c r="D15" s="22" t="s">
        <v>26</v>
      </c>
      <c r="E15" s="22">
        <v>5050000</v>
      </c>
      <c r="F15" s="22">
        <v>22</v>
      </c>
      <c r="G15" s="22">
        <v>5050000</v>
      </c>
      <c r="H15" s="22">
        <v>730000</v>
      </c>
      <c r="I15" s="22">
        <v>500000</v>
      </c>
      <c r="J15" s="22">
        <v>1200000</v>
      </c>
      <c r="K15" s="22">
        <v>3500000</v>
      </c>
      <c r="L15" s="22">
        <v>5930000</v>
      </c>
      <c r="M15" s="22">
        <v>10980000</v>
      </c>
      <c r="N15" s="22">
        <v>11000000</v>
      </c>
      <c r="O15" s="22">
        <v>0</v>
      </c>
      <c r="P15" s="22">
        <v>1098000</v>
      </c>
      <c r="Q15" s="22"/>
      <c r="R15" s="22"/>
      <c r="S15" s="22">
        <v>9882000</v>
      </c>
      <c r="T15" s="22">
        <v>1</v>
      </c>
      <c r="U15" s="22">
        <v>2023</v>
      </c>
    </row>
    <row r="16" spans="1:21" x14ac:dyDescent="0.3">
      <c r="A16" s="22" t="s">
        <v>55</v>
      </c>
      <c r="B16" s="22" t="s">
        <v>56</v>
      </c>
      <c r="C16" s="22" t="s">
        <v>439</v>
      </c>
      <c r="D16" s="22" t="s">
        <v>26</v>
      </c>
      <c r="E16" s="22">
        <v>5050000</v>
      </c>
      <c r="F16" s="22">
        <v>22</v>
      </c>
      <c r="G16" s="22">
        <v>5050000</v>
      </c>
      <c r="H16" s="22">
        <v>730000</v>
      </c>
      <c r="I16" s="22">
        <v>500000</v>
      </c>
      <c r="J16" s="22">
        <v>1200000</v>
      </c>
      <c r="K16" s="22">
        <v>3500000</v>
      </c>
      <c r="L16" s="22">
        <v>5930000</v>
      </c>
      <c r="M16" s="22">
        <v>10980000</v>
      </c>
      <c r="N16" s="22">
        <v>11000000</v>
      </c>
      <c r="O16" s="22">
        <v>0</v>
      </c>
      <c r="P16" s="22">
        <v>1098000</v>
      </c>
      <c r="Q16" s="22"/>
      <c r="R16" s="22"/>
      <c r="S16" s="22">
        <v>9882000</v>
      </c>
      <c r="T16" s="22">
        <v>1</v>
      </c>
      <c r="U16" s="22">
        <v>2023</v>
      </c>
    </row>
    <row r="17" spans="1:21" x14ac:dyDescent="0.3">
      <c r="A17" s="22" t="s">
        <v>9</v>
      </c>
      <c r="B17" s="22" t="s">
        <v>10</v>
      </c>
      <c r="C17" s="22" t="s">
        <v>438</v>
      </c>
      <c r="D17" s="22" t="s">
        <v>11</v>
      </c>
      <c r="E17" s="22">
        <v>5007600</v>
      </c>
      <c r="F17" s="22">
        <v>20</v>
      </c>
      <c r="G17" s="22">
        <v>5007600</v>
      </c>
      <c r="H17" s="22">
        <v>730000</v>
      </c>
      <c r="I17" s="22">
        <v>500000</v>
      </c>
      <c r="J17" s="22">
        <v>1200000</v>
      </c>
      <c r="K17" s="22">
        <v>30000000</v>
      </c>
      <c r="L17" s="22">
        <v>32430000</v>
      </c>
      <c r="M17" s="22">
        <v>37437600</v>
      </c>
      <c r="N17" s="22">
        <v>11000000</v>
      </c>
      <c r="O17" s="22">
        <v>3600000</v>
      </c>
      <c r="P17" s="22">
        <v>2917520</v>
      </c>
      <c r="Q17" s="22">
        <v>525798</v>
      </c>
      <c r="R17" s="22"/>
      <c r="S17" s="22">
        <v>33994282</v>
      </c>
      <c r="T17" s="22">
        <v>2</v>
      </c>
      <c r="U17" s="22">
        <v>2023</v>
      </c>
    </row>
    <row r="18" spans="1:21" x14ac:dyDescent="0.3">
      <c r="A18" s="22" t="s">
        <v>14</v>
      </c>
      <c r="B18" s="22" t="s">
        <v>15</v>
      </c>
      <c r="C18" s="22" t="s">
        <v>438</v>
      </c>
      <c r="D18" s="22" t="s">
        <v>16</v>
      </c>
      <c r="E18" s="22">
        <v>5007600</v>
      </c>
      <c r="F18" s="22">
        <v>20</v>
      </c>
      <c r="G18" s="22">
        <v>5007600</v>
      </c>
      <c r="H18" s="22">
        <v>730000</v>
      </c>
      <c r="I18" s="22">
        <v>500000</v>
      </c>
      <c r="J18" s="22">
        <v>1200000</v>
      </c>
      <c r="K18" s="22">
        <v>3500000</v>
      </c>
      <c r="L18" s="22">
        <v>5930000</v>
      </c>
      <c r="M18" s="22">
        <v>10937600</v>
      </c>
      <c r="N18" s="22">
        <v>11000000</v>
      </c>
      <c r="O18" s="22">
        <v>3600000</v>
      </c>
      <c r="P18" s="22">
        <v>0</v>
      </c>
      <c r="Q18" s="22">
        <v>525798</v>
      </c>
      <c r="R18" s="22"/>
      <c r="S18" s="22">
        <v>10411802</v>
      </c>
      <c r="T18" s="22">
        <v>2</v>
      </c>
      <c r="U18" s="22">
        <v>2023</v>
      </c>
    </row>
    <row r="19" spans="1:21" x14ac:dyDescent="0.3">
      <c r="A19" s="22" t="s">
        <v>19</v>
      </c>
      <c r="B19" s="22" t="s">
        <v>20</v>
      </c>
      <c r="C19" s="22" t="s">
        <v>438</v>
      </c>
      <c r="D19" s="22" t="s">
        <v>21</v>
      </c>
      <c r="E19" s="22">
        <v>5007600</v>
      </c>
      <c r="F19" s="22">
        <v>20</v>
      </c>
      <c r="G19" s="22">
        <v>5007600</v>
      </c>
      <c r="H19" s="22">
        <v>730000</v>
      </c>
      <c r="I19" s="22">
        <v>500000</v>
      </c>
      <c r="J19" s="22">
        <v>1200000</v>
      </c>
      <c r="K19" s="22">
        <v>3500000</v>
      </c>
      <c r="L19" s="22">
        <v>5930000</v>
      </c>
      <c r="M19" s="22">
        <v>10937600</v>
      </c>
      <c r="N19" s="22">
        <v>11000000</v>
      </c>
      <c r="O19" s="22">
        <v>3600000</v>
      </c>
      <c r="P19" s="22">
        <v>0</v>
      </c>
      <c r="Q19" s="22">
        <v>525798</v>
      </c>
      <c r="R19" s="22"/>
      <c r="S19" s="22">
        <v>10411802</v>
      </c>
      <c r="T19" s="22">
        <v>2</v>
      </c>
      <c r="U19" s="22">
        <v>2023</v>
      </c>
    </row>
    <row r="20" spans="1:21" x14ac:dyDescent="0.3">
      <c r="A20" s="22" t="s">
        <v>24</v>
      </c>
      <c r="B20" s="22" t="s">
        <v>25</v>
      </c>
      <c r="C20" s="22" t="s">
        <v>439</v>
      </c>
      <c r="D20" s="22" t="s">
        <v>26</v>
      </c>
      <c r="E20" s="22">
        <v>5007600</v>
      </c>
      <c r="F20" s="22">
        <v>20</v>
      </c>
      <c r="G20" s="22">
        <v>5007600</v>
      </c>
      <c r="H20" s="22">
        <v>730000</v>
      </c>
      <c r="I20" s="22">
        <v>500000</v>
      </c>
      <c r="J20" s="22">
        <v>1200000</v>
      </c>
      <c r="K20" s="22">
        <v>3500000</v>
      </c>
      <c r="L20" s="22">
        <v>5930000</v>
      </c>
      <c r="M20" s="22">
        <v>10937600</v>
      </c>
      <c r="N20" s="22">
        <v>11000000</v>
      </c>
      <c r="O20" s="22">
        <v>3600000</v>
      </c>
      <c r="P20" s="22">
        <v>0</v>
      </c>
      <c r="Q20" s="22">
        <v>525798</v>
      </c>
      <c r="R20" s="22"/>
      <c r="S20" s="22">
        <v>10411802</v>
      </c>
      <c r="T20" s="22">
        <v>2</v>
      </c>
      <c r="U20" s="22">
        <v>2023</v>
      </c>
    </row>
    <row r="21" spans="1:21" x14ac:dyDescent="0.3">
      <c r="A21" s="22" t="s">
        <v>29</v>
      </c>
      <c r="B21" s="22" t="s">
        <v>30</v>
      </c>
      <c r="C21" s="22" t="s">
        <v>439</v>
      </c>
      <c r="D21" s="22" t="s">
        <v>26</v>
      </c>
      <c r="E21" s="22">
        <v>5007600</v>
      </c>
      <c r="F21" s="22">
        <v>20</v>
      </c>
      <c r="G21" s="22">
        <v>5007600</v>
      </c>
      <c r="H21" s="22">
        <v>730000</v>
      </c>
      <c r="I21" s="22">
        <v>500000</v>
      </c>
      <c r="J21" s="22">
        <v>1200000</v>
      </c>
      <c r="K21" s="22">
        <v>3500000</v>
      </c>
      <c r="L21" s="22">
        <v>5930000</v>
      </c>
      <c r="M21" s="22">
        <v>10937600</v>
      </c>
      <c r="N21" s="22">
        <v>11000000</v>
      </c>
      <c r="O21" s="22">
        <v>3600000</v>
      </c>
      <c r="P21" s="22">
        <v>0</v>
      </c>
      <c r="Q21" s="22">
        <v>525798</v>
      </c>
      <c r="R21" s="22"/>
      <c r="S21" s="22">
        <v>10411802</v>
      </c>
      <c r="T21" s="22">
        <v>2</v>
      </c>
      <c r="U21" s="22">
        <v>2023</v>
      </c>
    </row>
    <row r="22" spans="1:21" x14ac:dyDescent="0.3">
      <c r="A22" s="22" t="s">
        <v>32</v>
      </c>
      <c r="B22" s="22" t="s">
        <v>33</v>
      </c>
      <c r="C22" s="22" t="s">
        <v>439</v>
      </c>
      <c r="D22" s="22" t="s">
        <v>26</v>
      </c>
      <c r="E22" s="22">
        <v>5007600</v>
      </c>
      <c r="F22" s="22">
        <v>20</v>
      </c>
      <c r="G22" s="22">
        <v>5007600</v>
      </c>
      <c r="H22" s="22">
        <v>730000</v>
      </c>
      <c r="I22" s="22">
        <v>500000</v>
      </c>
      <c r="J22" s="22">
        <v>1200000</v>
      </c>
      <c r="K22" s="22">
        <v>3500000</v>
      </c>
      <c r="L22" s="22">
        <v>5930000</v>
      </c>
      <c r="M22" s="22">
        <v>10937600</v>
      </c>
      <c r="N22" s="22">
        <v>11000000</v>
      </c>
      <c r="O22" s="22">
        <v>3600000</v>
      </c>
      <c r="P22" s="22">
        <v>0</v>
      </c>
      <c r="Q22" s="22">
        <v>525798</v>
      </c>
      <c r="R22" s="22"/>
      <c r="S22" s="22">
        <v>10411802</v>
      </c>
      <c r="T22" s="22">
        <v>2</v>
      </c>
      <c r="U22" s="22">
        <v>2023</v>
      </c>
    </row>
    <row r="23" spans="1:21" x14ac:dyDescent="0.3">
      <c r="A23" s="22" t="s">
        <v>35</v>
      </c>
      <c r="B23" s="22" t="s">
        <v>36</v>
      </c>
      <c r="C23" s="22" t="s">
        <v>439</v>
      </c>
      <c r="D23" s="22" t="s">
        <v>26</v>
      </c>
      <c r="E23" s="22">
        <v>5007600</v>
      </c>
      <c r="F23" s="22">
        <v>20</v>
      </c>
      <c r="G23" s="22">
        <v>5007600</v>
      </c>
      <c r="H23" s="22">
        <v>730000</v>
      </c>
      <c r="I23" s="22">
        <v>500000</v>
      </c>
      <c r="J23" s="22">
        <v>1200000</v>
      </c>
      <c r="K23" s="22">
        <v>3500000</v>
      </c>
      <c r="L23" s="22">
        <v>5930000</v>
      </c>
      <c r="M23" s="22">
        <v>10937600</v>
      </c>
      <c r="N23" s="22">
        <v>11000000</v>
      </c>
      <c r="O23" s="22">
        <v>3600000</v>
      </c>
      <c r="P23" s="22">
        <v>0</v>
      </c>
      <c r="Q23" s="22">
        <v>525798</v>
      </c>
      <c r="R23" s="22"/>
      <c r="S23" s="22">
        <v>10411802</v>
      </c>
      <c r="T23" s="22">
        <v>2</v>
      </c>
      <c r="U23" s="22">
        <v>2023</v>
      </c>
    </row>
    <row r="24" spans="1:21" x14ac:dyDescent="0.3">
      <c r="A24" s="22" t="s">
        <v>38</v>
      </c>
      <c r="B24" s="22" t="s">
        <v>39</v>
      </c>
      <c r="C24" s="22" t="s">
        <v>439</v>
      </c>
      <c r="D24" s="22" t="s">
        <v>26</v>
      </c>
      <c r="E24" s="22">
        <v>5007600</v>
      </c>
      <c r="F24" s="22">
        <v>20</v>
      </c>
      <c r="G24" s="22">
        <v>5007600</v>
      </c>
      <c r="H24" s="22">
        <v>730000</v>
      </c>
      <c r="I24" s="22">
        <v>500000</v>
      </c>
      <c r="J24" s="22">
        <v>1200000</v>
      </c>
      <c r="K24" s="22">
        <v>3500000</v>
      </c>
      <c r="L24" s="22">
        <v>5930000</v>
      </c>
      <c r="M24" s="22">
        <v>10937600</v>
      </c>
      <c r="N24" s="22">
        <v>11000000</v>
      </c>
      <c r="O24" s="22">
        <v>3600000</v>
      </c>
      <c r="P24" s="22">
        <v>0</v>
      </c>
      <c r="Q24" s="22">
        <v>525798</v>
      </c>
      <c r="R24" s="22"/>
      <c r="S24" s="22">
        <v>10411802</v>
      </c>
      <c r="T24" s="22">
        <v>2</v>
      </c>
      <c r="U24" s="22">
        <v>2023</v>
      </c>
    </row>
    <row r="25" spans="1:21" x14ac:dyDescent="0.3">
      <c r="A25" s="22" t="s">
        <v>41</v>
      </c>
      <c r="B25" s="22" t="s">
        <v>42</v>
      </c>
      <c r="C25" s="22" t="s">
        <v>439</v>
      </c>
      <c r="D25" s="22" t="s">
        <v>26</v>
      </c>
      <c r="E25" s="22">
        <v>5007600</v>
      </c>
      <c r="F25" s="22">
        <v>20</v>
      </c>
      <c r="G25" s="22">
        <v>5007600</v>
      </c>
      <c r="H25" s="22">
        <v>730000</v>
      </c>
      <c r="I25" s="22">
        <v>500000</v>
      </c>
      <c r="J25" s="22">
        <v>1200000</v>
      </c>
      <c r="K25" s="22">
        <v>3500000</v>
      </c>
      <c r="L25" s="22">
        <v>5930000</v>
      </c>
      <c r="M25" s="22">
        <v>10937600</v>
      </c>
      <c r="N25" s="22">
        <v>11000000</v>
      </c>
      <c r="O25" s="22">
        <v>3600000</v>
      </c>
      <c r="P25" s="22">
        <v>0</v>
      </c>
      <c r="Q25" s="22">
        <v>525798</v>
      </c>
      <c r="R25" s="22"/>
      <c r="S25" s="22">
        <v>10411802</v>
      </c>
      <c r="T25" s="22">
        <v>2</v>
      </c>
      <c r="U25" s="22">
        <v>2023</v>
      </c>
    </row>
    <row r="26" spans="1:21" x14ac:dyDescent="0.3">
      <c r="A26" s="22" t="s">
        <v>44</v>
      </c>
      <c r="B26" s="22" t="s">
        <v>45</v>
      </c>
      <c r="C26" s="22" t="s">
        <v>439</v>
      </c>
      <c r="D26" s="22" t="s">
        <v>26</v>
      </c>
      <c r="E26" s="22">
        <v>5007600</v>
      </c>
      <c r="F26" s="22">
        <v>20</v>
      </c>
      <c r="G26" s="22">
        <v>5007600</v>
      </c>
      <c r="H26" s="22">
        <v>730000</v>
      </c>
      <c r="I26" s="22">
        <v>500000</v>
      </c>
      <c r="J26" s="22">
        <v>1200000</v>
      </c>
      <c r="K26" s="22">
        <v>3500000</v>
      </c>
      <c r="L26" s="22">
        <v>5930000</v>
      </c>
      <c r="M26" s="22">
        <v>10937600</v>
      </c>
      <c r="N26" s="22">
        <v>11000000</v>
      </c>
      <c r="O26" s="22">
        <v>3600000</v>
      </c>
      <c r="P26" s="22">
        <v>0</v>
      </c>
      <c r="Q26" s="22">
        <v>525798</v>
      </c>
      <c r="R26" s="22"/>
      <c r="S26" s="22">
        <v>10411802</v>
      </c>
      <c r="T26" s="22">
        <v>2</v>
      </c>
      <c r="U26" s="22">
        <v>2023</v>
      </c>
    </row>
    <row r="27" spans="1:21" x14ac:dyDescent="0.3">
      <c r="A27" s="22" t="s">
        <v>47</v>
      </c>
      <c r="B27" s="22" t="s">
        <v>48</v>
      </c>
      <c r="C27" s="22" t="s">
        <v>439</v>
      </c>
      <c r="D27" s="22" t="s">
        <v>26</v>
      </c>
      <c r="E27" s="22">
        <v>5050000</v>
      </c>
      <c r="F27" s="22">
        <v>20</v>
      </c>
      <c r="G27" s="22">
        <v>5050000</v>
      </c>
      <c r="H27" s="22">
        <v>730000</v>
      </c>
      <c r="I27" s="22">
        <v>500000</v>
      </c>
      <c r="J27" s="22">
        <v>1200000</v>
      </c>
      <c r="K27" s="22">
        <v>3500000</v>
      </c>
      <c r="L27" s="22">
        <v>5930000</v>
      </c>
      <c r="M27" s="22">
        <v>10980000</v>
      </c>
      <c r="N27" s="22">
        <v>11000000</v>
      </c>
      <c r="O27" s="22">
        <v>0</v>
      </c>
      <c r="P27" s="22">
        <v>0</v>
      </c>
      <c r="Q27" s="22">
        <v>530250</v>
      </c>
      <c r="R27" s="22"/>
      <c r="S27" s="22">
        <v>10449750</v>
      </c>
      <c r="T27" s="22">
        <v>2</v>
      </c>
      <c r="U27" s="22">
        <v>2023</v>
      </c>
    </row>
    <row r="28" spans="1:21" x14ac:dyDescent="0.3">
      <c r="A28" s="22" t="s">
        <v>49</v>
      </c>
      <c r="B28" s="22" t="s">
        <v>50</v>
      </c>
      <c r="C28" s="22" t="s">
        <v>439</v>
      </c>
      <c r="D28" s="22" t="s">
        <v>26</v>
      </c>
      <c r="E28" s="22">
        <v>5050000</v>
      </c>
      <c r="F28" s="22">
        <v>20</v>
      </c>
      <c r="G28" s="22">
        <v>5050000</v>
      </c>
      <c r="H28" s="22">
        <v>730000</v>
      </c>
      <c r="I28" s="22">
        <v>500000</v>
      </c>
      <c r="J28" s="22">
        <v>1200000</v>
      </c>
      <c r="K28" s="22">
        <v>3500000</v>
      </c>
      <c r="L28" s="22">
        <v>5930000</v>
      </c>
      <c r="M28" s="22">
        <v>10980000</v>
      </c>
      <c r="N28" s="22">
        <v>11000000</v>
      </c>
      <c r="O28" s="22">
        <v>0</v>
      </c>
      <c r="P28" s="22">
        <v>0</v>
      </c>
      <c r="Q28" s="22">
        <v>530250</v>
      </c>
      <c r="R28" s="22"/>
      <c r="S28" s="22">
        <v>10449750</v>
      </c>
      <c r="T28" s="22">
        <v>2</v>
      </c>
      <c r="U28" s="22">
        <v>2023</v>
      </c>
    </row>
    <row r="29" spans="1:21" x14ac:dyDescent="0.3">
      <c r="A29" s="22" t="s">
        <v>51</v>
      </c>
      <c r="B29" s="22" t="s">
        <v>52</v>
      </c>
      <c r="C29" s="22" t="s">
        <v>439</v>
      </c>
      <c r="D29" s="22" t="s">
        <v>26</v>
      </c>
      <c r="E29" s="22">
        <v>5050000</v>
      </c>
      <c r="F29" s="22">
        <v>20</v>
      </c>
      <c r="G29" s="22">
        <v>5050000</v>
      </c>
      <c r="H29" s="22">
        <v>730000</v>
      </c>
      <c r="I29" s="22">
        <v>500000</v>
      </c>
      <c r="J29" s="22">
        <v>1200000</v>
      </c>
      <c r="K29" s="22">
        <v>3500000</v>
      </c>
      <c r="L29" s="22">
        <v>5930000</v>
      </c>
      <c r="M29" s="22">
        <v>10980000</v>
      </c>
      <c r="N29" s="22">
        <v>11000000</v>
      </c>
      <c r="O29" s="22">
        <v>0</v>
      </c>
      <c r="P29" s="22">
        <v>0</v>
      </c>
      <c r="Q29" s="22">
        <v>530250</v>
      </c>
      <c r="R29" s="22"/>
      <c r="S29" s="22">
        <v>10449750</v>
      </c>
      <c r="T29" s="22">
        <v>2</v>
      </c>
      <c r="U29" s="22">
        <v>2023</v>
      </c>
    </row>
    <row r="30" spans="1:21" x14ac:dyDescent="0.3">
      <c r="A30" s="22" t="s">
        <v>53</v>
      </c>
      <c r="B30" s="22" t="s">
        <v>54</v>
      </c>
      <c r="C30" s="22" t="s">
        <v>439</v>
      </c>
      <c r="D30" s="22" t="s">
        <v>26</v>
      </c>
      <c r="E30" s="22">
        <v>5050000</v>
      </c>
      <c r="F30" s="22">
        <v>20</v>
      </c>
      <c r="G30" s="22">
        <v>5050000</v>
      </c>
      <c r="H30" s="22">
        <v>730000</v>
      </c>
      <c r="I30" s="22">
        <v>500000</v>
      </c>
      <c r="J30" s="22">
        <v>1200000</v>
      </c>
      <c r="K30" s="22">
        <v>3500000</v>
      </c>
      <c r="L30" s="22">
        <v>5930000</v>
      </c>
      <c r="M30" s="22">
        <v>10980000</v>
      </c>
      <c r="N30" s="22">
        <v>11000000</v>
      </c>
      <c r="O30" s="22">
        <v>0</v>
      </c>
      <c r="P30" s="22">
        <v>0</v>
      </c>
      <c r="Q30" s="22">
        <v>530250</v>
      </c>
      <c r="R30" s="22"/>
      <c r="S30" s="22">
        <v>10449750</v>
      </c>
      <c r="T30" s="22">
        <v>2</v>
      </c>
      <c r="U30" s="22">
        <v>2023</v>
      </c>
    </row>
    <row r="31" spans="1:21" x14ac:dyDescent="0.3">
      <c r="A31" s="22" t="s">
        <v>55</v>
      </c>
      <c r="B31" s="22" t="s">
        <v>56</v>
      </c>
      <c r="C31" s="22" t="s">
        <v>439</v>
      </c>
      <c r="D31" s="22" t="s">
        <v>26</v>
      </c>
      <c r="E31" s="22">
        <v>5050000</v>
      </c>
      <c r="F31" s="22">
        <v>20</v>
      </c>
      <c r="G31" s="22">
        <v>5050000</v>
      </c>
      <c r="H31" s="22">
        <v>730000</v>
      </c>
      <c r="I31" s="22">
        <v>500000</v>
      </c>
      <c r="J31" s="22">
        <v>1200000</v>
      </c>
      <c r="K31" s="22">
        <v>3500000</v>
      </c>
      <c r="L31" s="22">
        <v>5930000</v>
      </c>
      <c r="M31" s="22">
        <v>10980000</v>
      </c>
      <c r="N31" s="22">
        <v>11000000</v>
      </c>
      <c r="O31" s="22">
        <v>0</v>
      </c>
      <c r="P31" s="22">
        <v>0</v>
      </c>
      <c r="Q31" s="22">
        <v>530250</v>
      </c>
      <c r="R31" s="22"/>
      <c r="S31" s="22">
        <v>10449750</v>
      </c>
      <c r="T31" s="22">
        <v>2</v>
      </c>
      <c r="U31" s="22">
        <v>2023</v>
      </c>
    </row>
    <row r="32" spans="1:21" x14ac:dyDescent="0.3">
      <c r="A32" s="22" t="s">
        <v>9</v>
      </c>
      <c r="B32" s="22" t="s">
        <v>10</v>
      </c>
      <c r="C32" s="22" t="s">
        <v>438</v>
      </c>
      <c r="D32" s="22" t="s">
        <v>11</v>
      </c>
      <c r="E32" s="22">
        <v>5007600</v>
      </c>
      <c r="F32" s="22">
        <v>23</v>
      </c>
      <c r="G32" s="22">
        <v>5007600</v>
      </c>
      <c r="H32" s="22">
        <v>730000</v>
      </c>
      <c r="I32" s="22">
        <v>500000</v>
      </c>
      <c r="J32" s="22">
        <v>1200000</v>
      </c>
      <c r="K32" s="22">
        <v>30000000</v>
      </c>
      <c r="L32" s="22">
        <v>32430000</v>
      </c>
      <c r="M32" s="22">
        <v>37437600</v>
      </c>
      <c r="N32" s="22">
        <v>11000000</v>
      </c>
      <c r="O32" s="22">
        <v>3600000</v>
      </c>
      <c r="P32" s="22">
        <v>2917520</v>
      </c>
      <c r="Q32" s="22">
        <v>525798</v>
      </c>
      <c r="R32" s="22"/>
      <c r="S32" s="22">
        <v>33994282</v>
      </c>
      <c r="T32" s="22">
        <v>3</v>
      </c>
      <c r="U32" s="22">
        <v>2023</v>
      </c>
    </row>
    <row r="33" spans="1:21" x14ac:dyDescent="0.3">
      <c r="A33" s="22" t="s">
        <v>14</v>
      </c>
      <c r="B33" s="22" t="s">
        <v>15</v>
      </c>
      <c r="C33" s="22" t="s">
        <v>438</v>
      </c>
      <c r="D33" s="22" t="s">
        <v>16</v>
      </c>
      <c r="E33" s="22">
        <v>5007600</v>
      </c>
      <c r="F33" s="22">
        <v>23</v>
      </c>
      <c r="G33" s="22">
        <v>5007600</v>
      </c>
      <c r="H33" s="22">
        <v>730000</v>
      </c>
      <c r="I33" s="22">
        <v>500000</v>
      </c>
      <c r="J33" s="22">
        <v>1200000</v>
      </c>
      <c r="K33" s="22">
        <v>3500000</v>
      </c>
      <c r="L33" s="22">
        <v>5930000</v>
      </c>
      <c r="M33" s="22">
        <v>10937600</v>
      </c>
      <c r="N33" s="22">
        <v>11000000</v>
      </c>
      <c r="O33" s="22">
        <v>3600000</v>
      </c>
      <c r="P33" s="22">
        <v>0</v>
      </c>
      <c r="Q33" s="22">
        <v>525798</v>
      </c>
      <c r="R33" s="22"/>
      <c r="S33" s="22">
        <v>10411802</v>
      </c>
      <c r="T33" s="22">
        <v>3</v>
      </c>
      <c r="U33" s="22">
        <v>2023</v>
      </c>
    </row>
    <row r="34" spans="1:21" x14ac:dyDescent="0.3">
      <c r="A34" s="22" t="s">
        <v>19</v>
      </c>
      <c r="B34" s="22" t="s">
        <v>20</v>
      </c>
      <c r="C34" s="22" t="s">
        <v>438</v>
      </c>
      <c r="D34" s="22" t="s">
        <v>21</v>
      </c>
      <c r="E34" s="22">
        <v>5007600</v>
      </c>
      <c r="F34" s="22">
        <v>23</v>
      </c>
      <c r="G34" s="22">
        <v>5007600</v>
      </c>
      <c r="H34" s="22">
        <v>730000</v>
      </c>
      <c r="I34" s="22">
        <v>500000</v>
      </c>
      <c r="J34" s="22">
        <v>1200000</v>
      </c>
      <c r="K34" s="22">
        <v>3500000</v>
      </c>
      <c r="L34" s="22">
        <v>5930000</v>
      </c>
      <c r="M34" s="22">
        <v>10937600</v>
      </c>
      <c r="N34" s="22">
        <v>11000000</v>
      </c>
      <c r="O34" s="22">
        <v>3600000</v>
      </c>
      <c r="P34" s="22">
        <v>0</v>
      </c>
      <c r="Q34" s="22">
        <v>525798</v>
      </c>
      <c r="R34" s="22"/>
      <c r="S34" s="22">
        <v>10411802</v>
      </c>
      <c r="T34" s="22">
        <v>3</v>
      </c>
      <c r="U34" s="22">
        <v>2023</v>
      </c>
    </row>
    <row r="35" spans="1:21" x14ac:dyDescent="0.3">
      <c r="A35" s="22" t="s">
        <v>24</v>
      </c>
      <c r="B35" s="22" t="s">
        <v>25</v>
      </c>
      <c r="C35" s="22" t="s">
        <v>439</v>
      </c>
      <c r="D35" s="22" t="s">
        <v>26</v>
      </c>
      <c r="E35" s="22">
        <v>5007600</v>
      </c>
      <c r="F35" s="22">
        <v>23</v>
      </c>
      <c r="G35" s="22">
        <v>5007600</v>
      </c>
      <c r="H35" s="22">
        <v>730000</v>
      </c>
      <c r="I35" s="22">
        <v>500000</v>
      </c>
      <c r="J35" s="22">
        <v>1200000</v>
      </c>
      <c r="K35" s="22">
        <v>3500000</v>
      </c>
      <c r="L35" s="22">
        <v>5930000</v>
      </c>
      <c r="M35" s="22">
        <v>10937600</v>
      </c>
      <c r="N35" s="22">
        <v>11000000</v>
      </c>
      <c r="O35" s="22">
        <v>3600000</v>
      </c>
      <c r="P35" s="22">
        <v>0</v>
      </c>
      <c r="Q35" s="22">
        <v>525798</v>
      </c>
      <c r="R35" s="22"/>
      <c r="S35" s="22">
        <v>10411802</v>
      </c>
      <c r="T35" s="22">
        <v>3</v>
      </c>
      <c r="U35" s="22">
        <v>2023</v>
      </c>
    </row>
    <row r="36" spans="1:21" x14ac:dyDescent="0.3">
      <c r="A36" s="22" t="s">
        <v>29</v>
      </c>
      <c r="B36" s="22" t="s">
        <v>30</v>
      </c>
      <c r="C36" s="22" t="s">
        <v>439</v>
      </c>
      <c r="D36" s="22" t="s">
        <v>26</v>
      </c>
      <c r="E36" s="22">
        <v>5007600</v>
      </c>
      <c r="F36" s="22">
        <v>23</v>
      </c>
      <c r="G36" s="22">
        <v>5007600</v>
      </c>
      <c r="H36" s="22">
        <v>730000</v>
      </c>
      <c r="I36" s="22">
        <v>500000</v>
      </c>
      <c r="J36" s="22">
        <v>1200000</v>
      </c>
      <c r="K36" s="22">
        <v>3500000</v>
      </c>
      <c r="L36" s="22">
        <v>5930000</v>
      </c>
      <c r="M36" s="22">
        <v>10937600</v>
      </c>
      <c r="N36" s="22">
        <v>11000000</v>
      </c>
      <c r="O36" s="22">
        <v>3600000</v>
      </c>
      <c r="P36" s="22">
        <v>0</v>
      </c>
      <c r="Q36" s="22">
        <v>525798</v>
      </c>
      <c r="R36" s="22"/>
      <c r="S36" s="22">
        <v>10411802</v>
      </c>
      <c r="T36" s="22">
        <v>3</v>
      </c>
      <c r="U36" s="22">
        <v>2023</v>
      </c>
    </row>
    <row r="37" spans="1:21" x14ac:dyDescent="0.3">
      <c r="A37" s="22" t="s">
        <v>32</v>
      </c>
      <c r="B37" s="22" t="s">
        <v>33</v>
      </c>
      <c r="C37" s="22" t="s">
        <v>439</v>
      </c>
      <c r="D37" s="22" t="s">
        <v>26</v>
      </c>
      <c r="E37" s="22">
        <v>5007600</v>
      </c>
      <c r="F37" s="22">
        <v>23</v>
      </c>
      <c r="G37" s="22">
        <v>5007600</v>
      </c>
      <c r="H37" s="22">
        <v>730000</v>
      </c>
      <c r="I37" s="22">
        <v>500000</v>
      </c>
      <c r="J37" s="22">
        <v>1200000</v>
      </c>
      <c r="K37" s="22">
        <v>3500000</v>
      </c>
      <c r="L37" s="22">
        <v>5930000</v>
      </c>
      <c r="M37" s="22">
        <v>10937600</v>
      </c>
      <c r="N37" s="22">
        <v>11000000</v>
      </c>
      <c r="O37" s="22">
        <v>3600000</v>
      </c>
      <c r="P37" s="22">
        <v>0</v>
      </c>
      <c r="Q37" s="22">
        <v>525798</v>
      </c>
      <c r="R37" s="22"/>
      <c r="S37" s="22">
        <v>10411802</v>
      </c>
      <c r="T37" s="22">
        <v>3</v>
      </c>
      <c r="U37" s="22">
        <v>2023</v>
      </c>
    </row>
    <row r="38" spans="1:21" x14ac:dyDescent="0.3">
      <c r="A38" s="22" t="s">
        <v>35</v>
      </c>
      <c r="B38" s="22" t="s">
        <v>36</v>
      </c>
      <c r="C38" s="22" t="s">
        <v>439</v>
      </c>
      <c r="D38" s="22" t="s">
        <v>26</v>
      </c>
      <c r="E38" s="22">
        <v>5007600</v>
      </c>
      <c r="F38" s="22">
        <v>23</v>
      </c>
      <c r="G38" s="22">
        <v>5007600</v>
      </c>
      <c r="H38" s="22">
        <v>730000</v>
      </c>
      <c r="I38" s="22">
        <v>500000</v>
      </c>
      <c r="J38" s="22">
        <v>1200000</v>
      </c>
      <c r="K38" s="22">
        <v>3500000</v>
      </c>
      <c r="L38" s="22">
        <v>5930000</v>
      </c>
      <c r="M38" s="22">
        <v>10937600</v>
      </c>
      <c r="N38" s="22">
        <v>11000000</v>
      </c>
      <c r="O38" s="22">
        <v>3600000</v>
      </c>
      <c r="P38" s="22">
        <v>0</v>
      </c>
      <c r="Q38" s="22">
        <v>525798</v>
      </c>
      <c r="R38" s="22"/>
      <c r="S38" s="22">
        <v>10411802</v>
      </c>
      <c r="T38" s="22">
        <v>3</v>
      </c>
      <c r="U38" s="22">
        <v>2023</v>
      </c>
    </row>
    <row r="39" spans="1:21" x14ac:dyDescent="0.3">
      <c r="A39" s="22" t="s">
        <v>38</v>
      </c>
      <c r="B39" s="22" t="s">
        <v>39</v>
      </c>
      <c r="C39" s="22" t="s">
        <v>439</v>
      </c>
      <c r="D39" s="22" t="s">
        <v>26</v>
      </c>
      <c r="E39" s="22">
        <v>5007600</v>
      </c>
      <c r="F39" s="22">
        <v>23</v>
      </c>
      <c r="G39" s="22">
        <v>5007600</v>
      </c>
      <c r="H39" s="22">
        <v>730000</v>
      </c>
      <c r="I39" s="22">
        <v>500000</v>
      </c>
      <c r="J39" s="22">
        <v>1200000</v>
      </c>
      <c r="K39" s="22">
        <v>3500000</v>
      </c>
      <c r="L39" s="22">
        <v>5930000</v>
      </c>
      <c r="M39" s="22">
        <v>10937600</v>
      </c>
      <c r="N39" s="22">
        <v>11000000</v>
      </c>
      <c r="O39" s="22">
        <v>3600000</v>
      </c>
      <c r="P39" s="22">
        <v>0</v>
      </c>
      <c r="Q39" s="22">
        <v>525798</v>
      </c>
      <c r="R39" s="22"/>
      <c r="S39" s="22">
        <v>10411802</v>
      </c>
      <c r="T39" s="22">
        <v>3</v>
      </c>
      <c r="U39" s="22">
        <v>2023</v>
      </c>
    </row>
    <row r="40" spans="1:21" x14ac:dyDescent="0.3">
      <c r="A40" s="22" t="s">
        <v>41</v>
      </c>
      <c r="B40" s="22" t="s">
        <v>42</v>
      </c>
      <c r="C40" s="22" t="s">
        <v>439</v>
      </c>
      <c r="D40" s="22" t="s">
        <v>26</v>
      </c>
      <c r="E40" s="22">
        <v>5007600</v>
      </c>
      <c r="F40" s="22">
        <v>23</v>
      </c>
      <c r="G40" s="22">
        <v>5007600</v>
      </c>
      <c r="H40" s="22">
        <v>730000</v>
      </c>
      <c r="I40" s="22">
        <v>500000</v>
      </c>
      <c r="J40" s="22">
        <v>1200000</v>
      </c>
      <c r="K40" s="22">
        <v>3500000</v>
      </c>
      <c r="L40" s="22">
        <v>5930000</v>
      </c>
      <c r="M40" s="22">
        <v>10937600</v>
      </c>
      <c r="N40" s="22">
        <v>11000000</v>
      </c>
      <c r="O40" s="22">
        <v>3600000</v>
      </c>
      <c r="P40" s="22">
        <v>0</v>
      </c>
      <c r="Q40" s="22">
        <v>525798</v>
      </c>
      <c r="R40" s="22"/>
      <c r="S40" s="22">
        <v>10411802</v>
      </c>
      <c r="T40" s="22">
        <v>3</v>
      </c>
      <c r="U40" s="22">
        <v>2023</v>
      </c>
    </row>
    <row r="41" spans="1:21" x14ac:dyDescent="0.3">
      <c r="A41" s="22" t="s">
        <v>44</v>
      </c>
      <c r="B41" s="22" t="s">
        <v>45</v>
      </c>
      <c r="C41" s="22" t="s">
        <v>439</v>
      </c>
      <c r="D41" s="22" t="s">
        <v>26</v>
      </c>
      <c r="E41" s="22">
        <v>5007600</v>
      </c>
      <c r="F41" s="22">
        <v>23</v>
      </c>
      <c r="G41" s="22">
        <v>5007600</v>
      </c>
      <c r="H41" s="22">
        <v>730000</v>
      </c>
      <c r="I41" s="22">
        <v>500000</v>
      </c>
      <c r="J41" s="22">
        <v>1200000</v>
      </c>
      <c r="K41" s="22">
        <v>3500000</v>
      </c>
      <c r="L41" s="22">
        <v>5930000</v>
      </c>
      <c r="M41" s="22">
        <v>10937600</v>
      </c>
      <c r="N41" s="22">
        <v>11000000</v>
      </c>
      <c r="O41" s="22">
        <v>3600000</v>
      </c>
      <c r="P41" s="22">
        <v>0</v>
      </c>
      <c r="Q41" s="22">
        <v>525798</v>
      </c>
      <c r="R41" s="22"/>
      <c r="S41" s="22">
        <v>10411802</v>
      </c>
      <c r="T41" s="22">
        <v>3</v>
      </c>
      <c r="U41" s="22">
        <v>2023</v>
      </c>
    </row>
    <row r="42" spans="1:21" x14ac:dyDescent="0.3">
      <c r="A42" s="22" t="s">
        <v>47</v>
      </c>
      <c r="B42" s="22" t="s">
        <v>48</v>
      </c>
      <c r="C42" s="22" t="s">
        <v>439</v>
      </c>
      <c r="D42" s="22" t="s">
        <v>26</v>
      </c>
      <c r="E42" s="22">
        <v>5050000</v>
      </c>
      <c r="F42" s="22">
        <v>23</v>
      </c>
      <c r="G42" s="22">
        <v>5050000</v>
      </c>
      <c r="H42" s="22">
        <v>730000</v>
      </c>
      <c r="I42" s="22">
        <v>500000</v>
      </c>
      <c r="J42" s="22">
        <v>1200000</v>
      </c>
      <c r="K42" s="22">
        <v>3500000</v>
      </c>
      <c r="L42" s="22">
        <v>5930000</v>
      </c>
      <c r="M42" s="22">
        <v>10980000</v>
      </c>
      <c r="N42" s="22">
        <v>11000000</v>
      </c>
      <c r="O42" s="22">
        <v>0</v>
      </c>
      <c r="P42" s="22">
        <v>0</v>
      </c>
      <c r="Q42" s="22">
        <v>530250</v>
      </c>
      <c r="R42" s="22"/>
      <c r="S42" s="22">
        <v>10449750</v>
      </c>
      <c r="T42" s="22">
        <v>3</v>
      </c>
      <c r="U42" s="22">
        <v>2023</v>
      </c>
    </row>
    <row r="43" spans="1:21" x14ac:dyDescent="0.3">
      <c r="A43" s="22" t="s">
        <v>49</v>
      </c>
      <c r="B43" s="22" t="s">
        <v>50</v>
      </c>
      <c r="C43" s="22" t="s">
        <v>439</v>
      </c>
      <c r="D43" s="22" t="s">
        <v>26</v>
      </c>
      <c r="E43" s="22">
        <v>5050000</v>
      </c>
      <c r="F43" s="22">
        <v>23</v>
      </c>
      <c r="G43" s="22">
        <v>5050000</v>
      </c>
      <c r="H43" s="22">
        <v>730000</v>
      </c>
      <c r="I43" s="22">
        <v>500000</v>
      </c>
      <c r="J43" s="22">
        <v>1200000</v>
      </c>
      <c r="K43" s="22">
        <v>3500000</v>
      </c>
      <c r="L43" s="22">
        <v>5930000</v>
      </c>
      <c r="M43" s="22">
        <v>10980000</v>
      </c>
      <c r="N43" s="22">
        <v>11000000</v>
      </c>
      <c r="O43" s="22">
        <v>0</v>
      </c>
      <c r="P43" s="22">
        <v>0</v>
      </c>
      <c r="Q43" s="22">
        <v>530250</v>
      </c>
      <c r="R43" s="22"/>
      <c r="S43" s="22">
        <v>10449750</v>
      </c>
      <c r="T43" s="22">
        <v>3</v>
      </c>
      <c r="U43" s="22">
        <v>2023</v>
      </c>
    </row>
    <row r="44" spans="1:21" x14ac:dyDescent="0.3">
      <c r="A44" s="22" t="s">
        <v>51</v>
      </c>
      <c r="B44" s="22" t="s">
        <v>52</v>
      </c>
      <c r="C44" s="22" t="s">
        <v>439</v>
      </c>
      <c r="D44" s="22" t="s">
        <v>26</v>
      </c>
      <c r="E44" s="22">
        <v>5050000</v>
      </c>
      <c r="F44" s="22">
        <v>23</v>
      </c>
      <c r="G44" s="22">
        <v>5050000</v>
      </c>
      <c r="H44" s="22">
        <v>730000</v>
      </c>
      <c r="I44" s="22">
        <v>500000</v>
      </c>
      <c r="J44" s="22">
        <v>1200000</v>
      </c>
      <c r="K44" s="22">
        <v>3500000</v>
      </c>
      <c r="L44" s="22">
        <v>5930000</v>
      </c>
      <c r="M44" s="22">
        <v>10980000</v>
      </c>
      <c r="N44" s="22">
        <v>11000000</v>
      </c>
      <c r="O44" s="22">
        <v>0</v>
      </c>
      <c r="P44" s="22">
        <v>0</v>
      </c>
      <c r="Q44" s="22">
        <v>530250</v>
      </c>
      <c r="R44" s="22"/>
      <c r="S44" s="22">
        <v>10449750</v>
      </c>
      <c r="T44" s="22">
        <v>3</v>
      </c>
      <c r="U44" s="22">
        <v>2023</v>
      </c>
    </row>
    <row r="45" spans="1:21" x14ac:dyDescent="0.3">
      <c r="A45" s="22" t="s">
        <v>53</v>
      </c>
      <c r="B45" s="22" t="s">
        <v>54</v>
      </c>
      <c r="C45" s="22" t="s">
        <v>439</v>
      </c>
      <c r="D45" s="22" t="s">
        <v>26</v>
      </c>
      <c r="E45" s="22">
        <v>5050000</v>
      </c>
      <c r="F45" s="22">
        <v>23</v>
      </c>
      <c r="G45" s="22">
        <v>5050000</v>
      </c>
      <c r="H45" s="22">
        <v>730000</v>
      </c>
      <c r="I45" s="22">
        <v>500000</v>
      </c>
      <c r="J45" s="22">
        <v>1200000</v>
      </c>
      <c r="K45" s="22">
        <v>3500000</v>
      </c>
      <c r="L45" s="22">
        <v>5930000</v>
      </c>
      <c r="M45" s="22">
        <v>10980000</v>
      </c>
      <c r="N45" s="22">
        <v>11000000</v>
      </c>
      <c r="O45" s="22">
        <v>0</v>
      </c>
      <c r="P45" s="22">
        <v>0</v>
      </c>
      <c r="Q45" s="22">
        <v>530250</v>
      </c>
      <c r="R45" s="22"/>
      <c r="S45" s="22">
        <v>10449750</v>
      </c>
      <c r="T45" s="22">
        <v>3</v>
      </c>
      <c r="U45" s="22">
        <v>2023</v>
      </c>
    </row>
    <row r="46" spans="1:21" x14ac:dyDescent="0.3">
      <c r="A46" s="22" t="s">
        <v>55</v>
      </c>
      <c r="B46" s="22" t="s">
        <v>56</v>
      </c>
      <c r="C46" s="22" t="s">
        <v>439</v>
      </c>
      <c r="D46" s="22" t="s">
        <v>26</v>
      </c>
      <c r="E46" s="22">
        <v>5050000</v>
      </c>
      <c r="F46" s="22">
        <v>23</v>
      </c>
      <c r="G46" s="22">
        <v>5050000</v>
      </c>
      <c r="H46" s="22">
        <v>730000</v>
      </c>
      <c r="I46" s="22">
        <v>500000</v>
      </c>
      <c r="J46" s="22">
        <v>1200000</v>
      </c>
      <c r="K46" s="22">
        <v>3500000</v>
      </c>
      <c r="L46" s="22">
        <v>5930000</v>
      </c>
      <c r="M46" s="22">
        <v>10980000</v>
      </c>
      <c r="N46" s="22">
        <v>11000000</v>
      </c>
      <c r="O46" s="22">
        <v>0</v>
      </c>
      <c r="P46" s="22">
        <v>0</v>
      </c>
      <c r="Q46" s="22">
        <v>530250</v>
      </c>
      <c r="R46" s="22"/>
      <c r="S46" s="22">
        <v>10449750</v>
      </c>
      <c r="T46" s="22">
        <v>3</v>
      </c>
      <c r="U46" s="22">
        <v>2023</v>
      </c>
    </row>
    <row r="47" spans="1:21" x14ac:dyDescent="0.3">
      <c r="A47" s="22" t="s">
        <v>9</v>
      </c>
      <c r="B47" s="22" t="s">
        <v>10</v>
      </c>
      <c r="C47" s="22" t="s">
        <v>438</v>
      </c>
      <c r="D47" s="22" t="s">
        <v>11</v>
      </c>
      <c r="E47" s="22">
        <v>8000000</v>
      </c>
      <c r="F47" s="22">
        <v>20</v>
      </c>
      <c r="G47" s="22">
        <v>8000000</v>
      </c>
      <c r="H47" s="22">
        <v>730000</v>
      </c>
      <c r="I47" s="22">
        <v>500000</v>
      </c>
      <c r="J47" s="22">
        <v>1200000</v>
      </c>
      <c r="K47" s="22">
        <v>30000000</v>
      </c>
      <c r="L47" s="22">
        <v>32430000</v>
      </c>
      <c r="M47" s="22">
        <v>40430000</v>
      </c>
      <c r="N47" s="22">
        <v>11000000</v>
      </c>
      <c r="O47" s="22">
        <v>3600000</v>
      </c>
      <c r="P47" s="22">
        <v>3516000</v>
      </c>
      <c r="Q47" s="22">
        <v>525798</v>
      </c>
      <c r="R47" s="22"/>
      <c r="S47" s="22">
        <v>36388202</v>
      </c>
      <c r="T47" s="22">
        <v>4</v>
      </c>
      <c r="U47" s="22">
        <v>2023</v>
      </c>
    </row>
    <row r="48" spans="1:21" x14ac:dyDescent="0.3">
      <c r="A48" s="22" t="s">
        <v>14</v>
      </c>
      <c r="B48" s="22" t="s">
        <v>15</v>
      </c>
      <c r="C48" s="22" t="s">
        <v>438</v>
      </c>
      <c r="D48" s="22" t="s">
        <v>16</v>
      </c>
      <c r="E48" s="22">
        <v>8500000</v>
      </c>
      <c r="F48" s="22">
        <v>20</v>
      </c>
      <c r="G48" s="22">
        <v>8500000</v>
      </c>
      <c r="H48" s="22">
        <v>730000</v>
      </c>
      <c r="I48" s="22">
        <v>500000</v>
      </c>
      <c r="J48" s="22">
        <v>1200000</v>
      </c>
      <c r="K48" s="22">
        <v>3500000</v>
      </c>
      <c r="L48" s="22">
        <v>5930000</v>
      </c>
      <c r="M48" s="22">
        <v>14430000</v>
      </c>
      <c r="N48" s="22">
        <v>11000000</v>
      </c>
      <c r="O48" s="22">
        <v>3600000</v>
      </c>
      <c r="P48" s="22">
        <v>0</v>
      </c>
      <c r="Q48" s="22">
        <v>525798</v>
      </c>
      <c r="R48" s="22"/>
      <c r="S48" s="22">
        <v>13904202</v>
      </c>
      <c r="T48" s="22">
        <v>4</v>
      </c>
      <c r="U48" s="22">
        <v>2023</v>
      </c>
    </row>
    <row r="49" spans="1:21" x14ac:dyDescent="0.3">
      <c r="A49" s="22" t="s">
        <v>19</v>
      </c>
      <c r="B49" s="22" t="s">
        <v>20</v>
      </c>
      <c r="C49" s="22" t="s">
        <v>438</v>
      </c>
      <c r="D49" s="22" t="s">
        <v>21</v>
      </c>
      <c r="E49" s="22">
        <v>8500000</v>
      </c>
      <c r="F49" s="22">
        <v>20</v>
      </c>
      <c r="G49" s="22">
        <v>8500000</v>
      </c>
      <c r="H49" s="22">
        <v>730000</v>
      </c>
      <c r="I49" s="22">
        <v>500000</v>
      </c>
      <c r="J49" s="22">
        <v>1200000</v>
      </c>
      <c r="K49" s="22">
        <v>3500000</v>
      </c>
      <c r="L49" s="22">
        <v>5930000</v>
      </c>
      <c r="M49" s="22">
        <v>14430000</v>
      </c>
      <c r="N49" s="22">
        <v>11000000</v>
      </c>
      <c r="O49" s="22">
        <v>3600000</v>
      </c>
      <c r="P49" s="22">
        <v>0</v>
      </c>
      <c r="Q49" s="22">
        <v>525798</v>
      </c>
      <c r="R49" s="22"/>
      <c r="S49" s="22">
        <v>13904202</v>
      </c>
      <c r="T49" s="22">
        <v>4</v>
      </c>
      <c r="U49" s="22">
        <v>2023</v>
      </c>
    </row>
    <row r="50" spans="1:21" x14ac:dyDescent="0.3">
      <c r="A50" s="22" t="s">
        <v>24</v>
      </c>
      <c r="B50" s="22" t="s">
        <v>25</v>
      </c>
      <c r="C50" s="22" t="s">
        <v>439</v>
      </c>
      <c r="D50" s="22" t="s">
        <v>26</v>
      </c>
      <c r="E50" s="22">
        <v>5007600</v>
      </c>
      <c r="F50" s="22">
        <v>20</v>
      </c>
      <c r="G50" s="22">
        <v>5007600</v>
      </c>
      <c r="H50" s="22">
        <v>730000</v>
      </c>
      <c r="I50" s="22">
        <v>500000</v>
      </c>
      <c r="J50" s="22">
        <v>1200000</v>
      </c>
      <c r="K50" s="22">
        <v>3500000</v>
      </c>
      <c r="L50" s="22">
        <v>5930000</v>
      </c>
      <c r="M50" s="22">
        <v>10937600</v>
      </c>
      <c r="N50" s="22">
        <v>11000000</v>
      </c>
      <c r="O50" s="22">
        <v>3600000</v>
      </c>
      <c r="P50" s="22">
        <v>0</v>
      </c>
      <c r="Q50" s="22">
        <v>525798</v>
      </c>
      <c r="R50" s="22"/>
      <c r="S50" s="22">
        <v>10411802</v>
      </c>
      <c r="T50" s="22">
        <v>4</v>
      </c>
      <c r="U50" s="22">
        <v>2023</v>
      </c>
    </row>
    <row r="51" spans="1:21" x14ac:dyDescent="0.3">
      <c r="A51" s="22" t="s">
        <v>29</v>
      </c>
      <c r="B51" s="22" t="s">
        <v>30</v>
      </c>
      <c r="C51" s="22" t="s">
        <v>439</v>
      </c>
      <c r="D51" s="22" t="s">
        <v>26</v>
      </c>
      <c r="E51" s="22">
        <v>5007600</v>
      </c>
      <c r="F51" s="22">
        <v>20</v>
      </c>
      <c r="G51" s="22">
        <v>5007600</v>
      </c>
      <c r="H51" s="22">
        <v>730000</v>
      </c>
      <c r="I51" s="22">
        <v>500000</v>
      </c>
      <c r="J51" s="22">
        <v>1200000</v>
      </c>
      <c r="K51" s="22">
        <v>3500000</v>
      </c>
      <c r="L51" s="22">
        <v>5930000</v>
      </c>
      <c r="M51" s="22">
        <v>10937600</v>
      </c>
      <c r="N51" s="22">
        <v>11000000</v>
      </c>
      <c r="O51" s="22">
        <v>3600000</v>
      </c>
      <c r="P51" s="22">
        <v>0</v>
      </c>
      <c r="Q51" s="22">
        <v>525798</v>
      </c>
      <c r="R51" s="22"/>
      <c r="S51" s="22">
        <v>10411802</v>
      </c>
      <c r="T51" s="22">
        <v>4</v>
      </c>
      <c r="U51" s="22">
        <v>2023</v>
      </c>
    </row>
    <row r="52" spans="1:21" x14ac:dyDescent="0.3">
      <c r="A52" s="22" t="s">
        <v>32</v>
      </c>
      <c r="B52" s="22" t="s">
        <v>33</v>
      </c>
      <c r="C52" s="22" t="s">
        <v>439</v>
      </c>
      <c r="D52" s="22" t="s">
        <v>26</v>
      </c>
      <c r="E52" s="22">
        <v>5007600</v>
      </c>
      <c r="F52" s="22">
        <v>20</v>
      </c>
      <c r="G52" s="22">
        <v>5007600</v>
      </c>
      <c r="H52" s="22">
        <v>730000</v>
      </c>
      <c r="I52" s="22">
        <v>500000</v>
      </c>
      <c r="J52" s="22">
        <v>1200000</v>
      </c>
      <c r="K52" s="22">
        <v>3500000</v>
      </c>
      <c r="L52" s="22">
        <v>5930000</v>
      </c>
      <c r="M52" s="22">
        <v>10937600</v>
      </c>
      <c r="N52" s="22">
        <v>11000000</v>
      </c>
      <c r="O52" s="22">
        <v>3600000</v>
      </c>
      <c r="P52" s="22">
        <v>0</v>
      </c>
      <c r="Q52" s="22">
        <v>525798</v>
      </c>
      <c r="R52" s="22"/>
      <c r="S52" s="22">
        <v>10411802</v>
      </c>
      <c r="T52" s="22">
        <v>4</v>
      </c>
      <c r="U52" s="22">
        <v>2023</v>
      </c>
    </row>
    <row r="53" spans="1:21" x14ac:dyDescent="0.3">
      <c r="A53" s="22" t="s">
        <v>35</v>
      </c>
      <c r="B53" s="22" t="s">
        <v>36</v>
      </c>
      <c r="C53" s="22" t="s">
        <v>439</v>
      </c>
      <c r="D53" s="22" t="s">
        <v>26</v>
      </c>
      <c r="E53" s="22">
        <v>5007600</v>
      </c>
      <c r="F53" s="22">
        <v>20</v>
      </c>
      <c r="G53" s="22">
        <v>5007600</v>
      </c>
      <c r="H53" s="22">
        <v>730000</v>
      </c>
      <c r="I53" s="22">
        <v>500000</v>
      </c>
      <c r="J53" s="22">
        <v>1200000</v>
      </c>
      <c r="K53" s="22">
        <v>3500000</v>
      </c>
      <c r="L53" s="22">
        <v>5930000</v>
      </c>
      <c r="M53" s="22">
        <v>10937600</v>
      </c>
      <c r="N53" s="22">
        <v>11000000</v>
      </c>
      <c r="O53" s="22">
        <v>3600000</v>
      </c>
      <c r="P53" s="22">
        <v>0</v>
      </c>
      <c r="Q53" s="22">
        <v>525798</v>
      </c>
      <c r="R53" s="22"/>
      <c r="S53" s="22">
        <v>10411802</v>
      </c>
      <c r="T53" s="22">
        <v>4</v>
      </c>
      <c r="U53" s="22">
        <v>2023</v>
      </c>
    </row>
    <row r="54" spans="1:21" x14ac:dyDescent="0.3">
      <c r="A54" s="22" t="s">
        <v>38</v>
      </c>
      <c r="B54" s="22" t="s">
        <v>39</v>
      </c>
      <c r="C54" s="22" t="s">
        <v>439</v>
      </c>
      <c r="D54" s="22" t="s">
        <v>26</v>
      </c>
      <c r="E54" s="22">
        <v>5007600</v>
      </c>
      <c r="F54" s="22">
        <v>20</v>
      </c>
      <c r="G54" s="22">
        <v>5007600</v>
      </c>
      <c r="H54" s="22">
        <v>730000</v>
      </c>
      <c r="I54" s="22">
        <v>500000</v>
      </c>
      <c r="J54" s="22">
        <v>1200000</v>
      </c>
      <c r="K54" s="22">
        <v>3500000</v>
      </c>
      <c r="L54" s="22">
        <v>5930000</v>
      </c>
      <c r="M54" s="22">
        <v>10937600</v>
      </c>
      <c r="N54" s="22">
        <v>11000000</v>
      </c>
      <c r="O54" s="22">
        <v>3600000</v>
      </c>
      <c r="P54" s="22">
        <v>0</v>
      </c>
      <c r="Q54" s="22">
        <v>525798</v>
      </c>
      <c r="R54" s="22"/>
      <c r="S54" s="22">
        <v>10411802</v>
      </c>
      <c r="T54" s="22">
        <v>4</v>
      </c>
      <c r="U54" s="22">
        <v>2023</v>
      </c>
    </row>
    <row r="55" spans="1:21" x14ac:dyDescent="0.3">
      <c r="A55" s="22" t="s">
        <v>41</v>
      </c>
      <c r="B55" s="22" t="s">
        <v>42</v>
      </c>
      <c r="C55" s="22" t="s">
        <v>439</v>
      </c>
      <c r="D55" s="22" t="s">
        <v>26</v>
      </c>
      <c r="E55" s="22">
        <v>5007600</v>
      </c>
      <c r="F55" s="22">
        <v>20</v>
      </c>
      <c r="G55" s="22">
        <v>5007600</v>
      </c>
      <c r="H55" s="22">
        <v>730000</v>
      </c>
      <c r="I55" s="22">
        <v>500000</v>
      </c>
      <c r="J55" s="22">
        <v>1200000</v>
      </c>
      <c r="K55" s="22">
        <v>3500000</v>
      </c>
      <c r="L55" s="22">
        <v>5930000</v>
      </c>
      <c r="M55" s="22">
        <v>10937600</v>
      </c>
      <c r="N55" s="22">
        <v>11000000</v>
      </c>
      <c r="O55" s="22">
        <v>3600000</v>
      </c>
      <c r="P55" s="22">
        <v>0</v>
      </c>
      <c r="Q55" s="22">
        <v>525798</v>
      </c>
      <c r="R55" s="22"/>
      <c r="S55" s="22">
        <v>10411802</v>
      </c>
      <c r="T55" s="22">
        <v>4</v>
      </c>
      <c r="U55" s="22">
        <v>2023</v>
      </c>
    </row>
    <row r="56" spans="1:21" x14ac:dyDescent="0.3">
      <c r="A56" s="22" t="s">
        <v>44</v>
      </c>
      <c r="B56" s="22" t="s">
        <v>45</v>
      </c>
      <c r="C56" s="22" t="s">
        <v>439</v>
      </c>
      <c r="D56" s="22" t="s">
        <v>26</v>
      </c>
      <c r="E56" s="22">
        <v>5007600</v>
      </c>
      <c r="F56" s="22">
        <v>20</v>
      </c>
      <c r="G56" s="22">
        <v>5007600</v>
      </c>
      <c r="H56" s="22">
        <v>730000</v>
      </c>
      <c r="I56" s="22">
        <v>500000</v>
      </c>
      <c r="J56" s="22">
        <v>1200000</v>
      </c>
      <c r="K56" s="22">
        <v>3500000</v>
      </c>
      <c r="L56" s="22">
        <v>5930000</v>
      </c>
      <c r="M56" s="22">
        <v>10937600</v>
      </c>
      <c r="N56" s="22">
        <v>11000000</v>
      </c>
      <c r="O56" s="22">
        <v>3600000</v>
      </c>
      <c r="P56" s="22">
        <v>0</v>
      </c>
      <c r="Q56" s="22">
        <v>525798</v>
      </c>
      <c r="R56" s="22"/>
      <c r="S56" s="22">
        <v>10411802</v>
      </c>
      <c r="T56" s="22">
        <v>4</v>
      </c>
      <c r="U56" s="22">
        <v>2023</v>
      </c>
    </row>
    <row r="57" spans="1:21" x14ac:dyDescent="0.3">
      <c r="A57" s="22" t="s">
        <v>47</v>
      </c>
      <c r="B57" s="22" t="s">
        <v>48</v>
      </c>
      <c r="C57" s="22" t="s">
        <v>439</v>
      </c>
      <c r="D57" s="22" t="s">
        <v>26</v>
      </c>
      <c r="E57" s="22">
        <v>5050000</v>
      </c>
      <c r="F57" s="22">
        <v>20</v>
      </c>
      <c r="G57" s="22">
        <v>5050000</v>
      </c>
      <c r="H57" s="22">
        <v>730000</v>
      </c>
      <c r="I57" s="22">
        <v>500000</v>
      </c>
      <c r="J57" s="22">
        <v>1200000</v>
      </c>
      <c r="K57" s="22">
        <v>3500000</v>
      </c>
      <c r="L57" s="22">
        <v>5930000</v>
      </c>
      <c r="M57" s="22">
        <v>10980000</v>
      </c>
      <c r="N57" s="22">
        <v>11000000</v>
      </c>
      <c r="O57" s="22">
        <v>0</v>
      </c>
      <c r="P57" s="22">
        <v>0</v>
      </c>
      <c r="Q57" s="22">
        <v>530250</v>
      </c>
      <c r="R57" s="22"/>
      <c r="S57" s="22">
        <v>10449750</v>
      </c>
      <c r="T57" s="22">
        <v>4</v>
      </c>
      <c r="U57" s="22">
        <v>2023</v>
      </c>
    </row>
    <row r="58" spans="1:21" x14ac:dyDescent="0.3">
      <c r="A58" s="22" t="s">
        <v>49</v>
      </c>
      <c r="B58" s="22" t="s">
        <v>50</v>
      </c>
      <c r="C58" s="22" t="s">
        <v>439</v>
      </c>
      <c r="D58" s="22" t="s">
        <v>26</v>
      </c>
      <c r="E58" s="22">
        <v>5050000</v>
      </c>
      <c r="F58" s="22">
        <v>20</v>
      </c>
      <c r="G58" s="22">
        <v>5050000</v>
      </c>
      <c r="H58" s="22">
        <v>730000</v>
      </c>
      <c r="I58" s="22">
        <v>500000</v>
      </c>
      <c r="J58" s="22">
        <v>1200000</v>
      </c>
      <c r="K58" s="22">
        <v>3500000</v>
      </c>
      <c r="L58" s="22">
        <v>5930000</v>
      </c>
      <c r="M58" s="22">
        <v>10980000</v>
      </c>
      <c r="N58" s="22">
        <v>11000000</v>
      </c>
      <c r="O58" s="22">
        <v>0</v>
      </c>
      <c r="P58" s="22">
        <v>0</v>
      </c>
      <c r="Q58" s="22">
        <v>530250</v>
      </c>
      <c r="R58" s="22"/>
      <c r="S58" s="22">
        <v>10449750</v>
      </c>
      <c r="T58" s="22">
        <v>4</v>
      </c>
      <c r="U58" s="22">
        <v>2023</v>
      </c>
    </row>
    <row r="59" spans="1:21" x14ac:dyDescent="0.3">
      <c r="A59" s="22" t="s">
        <v>51</v>
      </c>
      <c r="B59" s="22" t="s">
        <v>52</v>
      </c>
      <c r="C59" s="22" t="s">
        <v>439</v>
      </c>
      <c r="D59" s="22" t="s">
        <v>26</v>
      </c>
      <c r="E59" s="22">
        <v>5050000</v>
      </c>
      <c r="F59" s="22">
        <v>20</v>
      </c>
      <c r="G59" s="22">
        <v>5050000</v>
      </c>
      <c r="H59" s="22">
        <v>730000</v>
      </c>
      <c r="I59" s="22">
        <v>500000</v>
      </c>
      <c r="J59" s="22">
        <v>1200000</v>
      </c>
      <c r="K59" s="22">
        <v>3500000</v>
      </c>
      <c r="L59" s="22">
        <v>5930000</v>
      </c>
      <c r="M59" s="22">
        <v>10980000</v>
      </c>
      <c r="N59" s="22">
        <v>11000000</v>
      </c>
      <c r="O59" s="22">
        <v>0</v>
      </c>
      <c r="P59" s="22">
        <v>0</v>
      </c>
      <c r="Q59" s="22">
        <v>530250</v>
      </c>
      <c r="R59" s="22"/>
      <c r="S59" s="22">
        <v>10449750</v>
      </c>
      <c r="T59" s="22">
        <v>4</v>
      </c>
      <c r="U59" s="22">
        <v>2023</v>
      </c>
    </row>
    <row r="60" spans="1:21" x14ac:dyDescent="0.3">
      <c r="A60" s="22" t="s">
        <v>53</v>
      </c>
      <c r="B60" s="22" t="s">
        <v>54</v>
      </c>
      <c r="C60" s="22" t="s">
        <v>439</v>
      </c>
      <c r="D60" s="22" t="s">
        <v>26</v>
      </c>
      <c r="E60" s="22">
        <v>5050000</v>
      </c>
      <c r="F60" s="22">
        <v>20</v>
      </c>
      <c r="G60" s="22">
        <v>5050000</v>
      </c>
      <c r="H60" s="22">
        <v>730000</v>
      </c>
      <c r="I60" s="22">
        <v>500000</v>
      </c>
      <c r="J60" s="22">
        <v>1200000</v>
      </c>
      <c r="K60" s="22">
        <v>3500000</v>
      </c>
      <c r="L60" s="22">
        <v>5930000</v>
      </c>
      <c r="M60" s="22">
        <v>10980000</v>
      </c>
      <c r="N60" s="22">
        <v>11000000</v>
      </c>
      <c r="O60" s="22">
        <v>0</v>
      </c>
      <c r="P60" s="22">
        <v>0</v>
      </c>
      <c r="Q60" s="22">
        <v>530250</v>
      </c>
      <c r="R60" s="22"/>
      <c r="S60" s="22">
        <v>10449750</v>
      </c>
      <c r="T60" s="22">
        <v>4</v>
      </c>
      <c r="U60" s="22">
        <v>2023</v>
      </c>
    </row>
    <row r="61" spans="1:21" x14ac:dyDescent="0.3">
      <c r="A61" s="22" t="s">
        <v>55</v>
      </c>
      <c r="B61" s="22" t="s">
        <v>56</v>
      </c>
      <c r="C61" s="22" t="s">
        <v>439</v>
      </c>
      <c r="D61" s="22" t="s">
        <v>26</v>
      </c>
      <c r="E61" s="22">
        <v>5050000</v>
      </c>
      <c r="F61" s="22">
        <v>20</v>
      </c>
      <c r="G61" s="22">
        <v>5050000</v>
      </c>
      <c r="H61" s="22">
        <v>730000</v>
      </c>
      <c r="I61" s="22">
        <v>500000</v>
      </c>
      <c r="J61" s="22">
        <v>1200000</v>
      </c>
      <c r="K61" s="22">
        <v>3500000</v>
      </c>
      <c r="L61" s="22">
        <v>5930000</v>
      </c>
      <c r="M61" s="22">
        <v>10980000</v>
      </c>
      <c r="N61" s="22">
        <v>11000000</v>
      </c>
      <c r="O61" s="22">
        <v>0</v>
      </c>
      <c r="P61" s="22">
        <v>0</v>
      </c>
      <c r="Q61" s="22">
        <v>530250</v>
      </c>
      <c r="R61" s="22"/>
      <c r="S61" s="22">
        <v>10449750</v>
      </c>
      <c r="T61" s="22">
        <v>4</v>
      </c>
      <c r="U61" s="22">
        <v>2023</v>
      </c>
    </row>
    <row r="62" spans="1:21" x14ac:dyDescent="0.3">
      <c r="A62" s="22" t="s">
        <v>9</v>
      </c>
      <c r="B62" s="22" t="s">
        <v>10</v>
      </c>
      <c r="C62" s="22" t="s">
        <v>438</v>
      </c>
      <c r="D62" s="22" t="s">
        <v>11</v>
      </c>
      <c r="E62" s="22">
        <v>8000000</v>
      </c>
      <c r="F62" s="22">
        <v>23</v>
      </c>
      <c r="G62" s="22">
        <v>8000000</v>
      </c>
      <c r="H62" s="22">
        <v>730000</v>
      </c>
      <c r="I62" s="22">
        <v>500000</v>
      </c>
      <c r="J62" s="22">
        <v>1200000</v>
      </c>
      <c r="K62" s="22">
        <v>30000000</v>
      </c>
      <c r="L62" s="22">
        <v>32430000</v>
      </c>
      <c r="M62" s="22">
        <v>40430000</v>
      </c>
      <c r="N62" s="22">
        <v>11000000</v>
      </c>
      <c r="O62" s="22">
        <v>3600000</v>
      </c>
      <c r="P62" s="22">
        <v>3516000</v>
      </c>
      <c r="Q62" s="22">
        <v>525798</v>
      </c>
      <c r="R62" s="22"/>
      <c r="S62" s="22">
        <v>36388202</v>
      </c>
      <c r="T62" s="22">
        <v>5</v>
      </c>
      <c r="U62" s="22">
        <v>2023</v>
      </c>
    </row>
    <row r="63" spans="1:21" x14ac:dyDescent="0.3">
      <c r="A63" s="22" t="s">
        <v>14</v>
      </c>
      <c r="B63" s="22" t="s">
        <v>15</v>
      </c>
      <c r="C63" s="22" t="s">
        <v>438</v>
      </c>
      <c r="D63" s="22" t="s">
        <v>16</v>
      </c>
      <c r="E63" s="22">
        <v>8500000</v>
      </c>
      <c r="F63" s="22">
        <v>23</v>
      </c>
      <c r="G63" s="22">
        <v>8500000</v>
      </c>
      <c r="H63" s="22">
        <v>730000</v>
      </c>
      <c r="I63" s="22">
        <v>500000</v>
      </c>
      <c r="J63" s="22">
        <v>1200000</v>
      </c>
      <c r="K63" s="22">
        <v>3500000</v>
      </c>
      <c r="L63" s="22">
        <v>5930000</v>
      </c>
      <c r="M63" s="22">
        <v>14430000</v>
      </c>
      <c r="N63" s="22">
        <v>11000000</v>
      </c>
      <c r="O63" s="22">
        <v>3600000</v>
      </c>
      <c r="P63" s="22">
        <v>0</v>
      </c>
      <c r="Q63" s="22">
        <v>525798</v>
      </c>
      <c r="R63" s="22"/>
      <c r="S63" s="22">
        <v>13904202</v>
      </c>
      <c r="T63" s="22">
        <v>5</v>
      </c>
      <c r="U63" s="22">
        <v>2023</v>
      </c>
    </row>
    <row r="64" spans="1:21" x14ac:dyDescent="0.3">
      <c r="A64" s="22" t="s">
        <v>19</v>
      </c>
      <c r="B64" s="22" t="s">
        <v>20</v>
      </c>
      <c r="C64" s="22" t="s">
        <v>438</v>
      </c>
      <c r="D64" s="22" t="s">
        <v>21</v>
      </c>
      <c r="E64" s="22">
        <v>8500000</v>
      </c>
      <c r="F64" s="22">
        <v>23</v>
      </c>
      <c r="G64" s="22">
        <v>8500000</v>
      </c>
      <c r="H64" s="22">
        <v>730000</v>
      </c>
      <c r="I64" s="22">
        <v>500000</v>
      </c>
      <c r="J64" s="22">
        <v>1200000</v>
      </c>
      <c r="K64" s="22">
        <v>3500000</v>
      </c>
      <c r="L64" s="22">
        <v>5930000</v>
      </c>
      <c r="M64" s="22">
        <v>14430000</v>
      </c>
      <c r="N64" s="22">
        <v>11000000</v>
      </c>
      <c r="O64" s="22">
        <v>3600000</v>
      </c>
      <c r="P64" s="22">
        <v>0</v>
      </c>
      <c r="Q64" s="22">
        <v>525798</v>
      </c>
      <c r="R64" s="22"/>
      <c r="S64" s="22">
        <v>13904202</v>
      </c>
      <c r="T64" s="22">
        <v>5</v>
      </c>
      <c r="U64" s="22">
        <v>2023</v>
      </c>
    </row>
    <row r="65" spans="1:21" x14ac:dyDescent="0.3">
      <c r="A65" s="22" t="s">
        <v>24</v>
      </c>
      <c r="B65" s="22" t="s">
        <v>25</v>
      </c>
      <c r="C65" s="22" t="s">
        <v>439</v>
      </c>
      <c r="D65" s="22" t="s">
        <v>26</v>
      </c>
      <c r="E65" s="22">
        <v>5007600</v>
      </c>
      <c r="F65" s="22">
        <v>23</v>
      </c>
      <c r="G65" s="22">
        <v>5007600</v>
      </c>
      <c r="H65" s="22">
        <v>730000</v>
      </c>
      <c r="I65" s="22">
        <v>500000</v>
      </c>
      <c r="J65" s="22">
        <v>1200000</v>
      </c>
      <c r="K65" s="22">
        <v>3500000</v>
      </c>
      <c r="L65" s="22">
        <v>5930000</v>
      </c>
      <c r="M65" s="22">
        <v>10937600</v>
      </c>
      <c r="N65" s="22">
        <v>11000000</v>
      </c>
      <c r="O65" s="22">
        <v>3600000</v>
      </c>
      <c r="P65" s="22">
        <v>0</v>
      </c>
      <c r="Q65" s="22">
        <v>525798</v>
      </c>
      <c r="R65" s="22"/>
      <c r="S65" s="22">
        <v>10411802</v>
      </c>
      <c r="T65" s="22">
        <v>5</v>
      </c>
      <c r="U65" s="22">
        <v>2023</v>
      </c>
    </row>
    <row r="66" spans="1:21" x14ac:dyDescent="0.3">
      <c r="A66" s="22" t="s">
        <v>29</v>
      </c>
      <c r="B66" s="22" t="s">
        <v>30</v>
      </c>
      <c r="C66" s="22" t="s">
        <v>439</v>
      </c>
      <c r="D66" s="22" t="s">
        <v>26</v>
      </c>
      <c r="E66" s="22">
        <v>5007600</v>
      </c>
      <c r="F66" s="22">
        <v>23</v>
      </c>
      <c r="G66" s="22">
        <v>5007600</v>
      </c>
      <c r="H66" s="22">
        <v>730000</v>
      </c>
      <c r="I66" s="22">
        <v>500000</v>
      </c>
      <c r="J66" s="22">
        <v>1200000</v>
      </c>
      <c r="K66" s="22">
        <v>3500000</v>
      </c>
      <c r="L66" s="22">
        <v>5930000</v>
      </c>
      <c r="M66" s="22">
        <v>10937600</v>
      </c>
      <c r="N66" s="22">
        <v>11000000</v>
      </c>
      <c r="O66" s="22">
        <v>3600000</v>
      </c>
      <c r="P66" s="22">
        <v>0</v>
      </c>
      <c r="Q66" s="22">
        <v>525798</v>
      </c>
      <c r="R66" s="22"/>
      <c r="S66" s="22">
        <v>10411802</v>
      </c>
      <c r="T66" s="22">
        <v>5</v>
      </c>
      <c r="U66" s="22">
        <v>2023</v>
      </c>
    </row>
    <row r="67" spans="1:21" x14ac:dyDescent="0.3">
      <c r="A67" s="22" t="s">
        <v>32</v>
      </c>
      <c r="B67" s="22" t="s">
        <v>33</v>
      </c>
      <c r="C67" s="22" t="s">
        <v>439</v>
      </c>
      <c r="D67" s="22" t="s">
        <v>26</v>
      </c>
      <c r="E67" s="22">
        <v>5007600</v>
      </c>
      <c r="F67" s="22">
        <v>23</v>
      </c>
      <c r="G67" s="22">
        <v>5007600</v>
      </c>
      <c r="H67" s="22">
        <v>730000</v>
      </c>
      <c r="I67" s="22">
        <v>500000</v>
      </c>
      <c r="J67" s="22">
        <v>1200000</v>
      </c>
      <c r="K67" s="22">
        <v>3500000</v>
      </c>
      <c r="L67" s="22">
        <v>5930000</v>
      </c>
      <c r="M67" s="22">
        <v>10937600</v>
      </c>
      <c r="N67" s="22">
        <v>11000000</v>
      </c>
      <c r="O67" s="22">
        <v>3600000</v>
      </c>
      <c r="P67" s="22">
        <v>0</v>
      </c>
      <c r="Q67" s="22">
        <v>525798</v>
      </c>
      <c r="R67" s="22"/>
      <c r="S67" s="22">
        <v>10411802</v>
      </c>
      <c r="T67" s="22">
        <v>5</v>
      </c>
      <c r="U67" s="22">
        <v>2023</v>
      </c>
    </row>
    <row r="68" spans="1:21" x14ac:dyDescent="0.3">
      <c r="A68" s="22" t="s">
        <v>35</v>
      </c>
      <c r="B68" s="22" t="s">
        <v>36</v>
      </c>
      <c r="C68" s="22" t="s">
        <v>439</v>
      </c>
      <c r="D68" s="22" t="s">
        <v>26</v>
      </c>
      <c r="E68" s="22">
        <v>5007600</v>
      </c>
      <c r="F68" s="22">
        <v>23</v>
      </c>
      <c r="G68" s="22">
        <v>5007600</v>
      </c>
      <c r="H68" s="22">
        <v>730000</v>
      </c>
      <c r="I68" s="22">
        <v>500000</v>
      </c>
      <c r="J68" s="22">
        <v>1200000</v>
      </c>
      <c r="K68" s="22">
        <v>3500000</v>
      </c>
      <c r="L68" s="22">
        <v>5930000</v>
      </c>
      <c r="M68" s="22">
        <v>10937600</v>
      </c>
      <c r="N68" s="22">
        <v>11000000</v>
      </c>
      <c r="O68" s="22">
        <v>3600000</v>
      </c>
      <c r="P68" s="22">
        <v>0</v>
      </c>
      <c r="Q68" s="22">
        <v>525798</v>
      </c>
      <c r="R68" s="22"/>
      <c r="S68" s="22">
        <v>10411802</v>
      </c>
      <c r="T68" s="22">
        <v>5</v>
      </c>
      <c r="U68" s="22">
        <v>2023</v>
      </c>
    </row>
    <row r="69" spans="1:21" x14ac:dyDescent="0.3">
      <c r="A69" s="22" t="s">
        <v>38</v>
      </c>
      <c r="B69" s="22" t="s">
        <v>39</v>
      </c>
      <c r="C69" s="22" t="s">
        <v>439</v>
      </c>
      <c r="D69" s="22" t="s">
        <v>26</v>
      </c>
      <c r="E69" s="22">
        <v>5007600</v>
      </c>
      <c r="F69" s="22">
        <v>23</v>
      </c>
      <c r="G69" s="22">
        <v>5007600</v>
      </c>
      <c r="H69" s="22">
        <v>730000</v>
      </c>
      <c r="I69" s="22">
        <v>500000</v>
      </c>
      <c r="J69" s="22">
        <v>1200000</v>
      </c>
      <c r="K69" s="22">
        <v>3500000</v>
      </c>
      <c r="L69" s="22">
        <v>5930000</v>
      </c>
      <c r="M69" s="22">
        <v>10937600</v>
      </c>
      <c r="N69" s="22">
        <v>11000000</v>
      </c>
      <c r="O69" s="22">
        <v>3600000</v>
      </c>
      <c r="P69" s="22">
        <v>0</v>
      </c>
      <c r="Q69" s="22">
        <v>525798</v>
      </c>
      <c r="R69" s="22"/>
      <c r="S69" s="22">
        <v>10411802</v>
      </c>
      <c r="T69" s="22">
        <v>5</v>
      </c>
      <c r="U69" s="22">
        <v>2023</v>
      </c>
    </row>
    <row r="70" spans="1:21" x14ac:dyDescent="0.3">
      <c r="A70" s="22" t="s">
        <v>41</v>
      </c>
      <c r="B70" s="22" t="s">
        <v>42</v>
      </c>
      <c r="C70" s="22" t="s">
        <v>439</v>
      </c>
      <c r="D70" s="22" t="s">
        <v>26</v>
      </c>
      <c r="E70" s="22">
        <v>5007600</v>
      </c>
      <c r="F70" s="22">
        <v>23</v>
      </c>
      <c r="G70" s="22">
        <v>5007600</v>
      </c>
      <c r="H70" s="22">
        <v>730000</v>
      </c>
      <c r="I70" s="22">
        <v>500000</v>
      </c>
      <c r="J70" s="22">
        <v>1200000</v>
      </c>
      <c r="K70" s="22">
        <v>3500000</v>
      </c>
      <c r="L70" s="22">
        <v>5930000</v>
      </c>
      <c r="M70" s="22">
        <v>10937600</v>
      </c>
      <c r="N70" s="22">
        <v>11000000</v>
      </c>
      <c r="O70" s="22">
        <v>3600000</v>
      </c>
      <c r="P70" s="22">
        <v>0</v>
      </c>
      <c r="Q70" s="22">
        <v>525798</v>
      </c>
      <c r="R70" s="22"/>
      <c r="S70" s="22">
        <v>10411802</v>
      </c>
      <c r="T70" s="22">
        <v>5</v>
      </c>
      <c r="U70" s="22">
        <v>2023</v>
      </c>
    </row>
    <row r="71" spans="1:21" x14ac:dyDescent="0.3">
      <c r="A71" s="22" t="s">
        <v>44</v>
      </c>
      <c r="B71" s="22" t="s">
        <v>45</v>
      </c>
      <c r="C71" s="22" t="s">
        <v>439</v>
      </c>
      <c r="D71" s="22" t="s">
        <v>26</v>
      </c>
      <c r="E71" s="22">
        <v>5007600</v>
      </c>
      <c r="F71" s="22">
        <v>23</v>
      </c>
      <c r="G71" s="22">
        <v>5007600</v>
      </c>
      <c r="H71" s="22">
        <v>730000</v>
      </c>
      <c r="I71" s="22">
        <v>500000</v>
      </c>
      <c r="J71" s="22">
        <v>1200000</v>
      </c>
      <c r="K71" s="22">
        <v>3500000</v>
      </c>
      <c r="L71" s="22">
        <v>5930000</v>
      </c>
      <c r="M71" s="22">
        <v>10937600</v>
      </c>
      <c r="N71" s="22">
        <v>11000000</v>
      </c>
      <c r="O71" s="22">
        <v>3600000</v>
      </c>
      <c r="P71" s="22">
        <v>0</v>
      </c>
      <c r="Q71" s="22">
        <v>525798</v>
      </c>
      <c r="R71" s="22"/>
      <c r="S71" s="22">
        <v>10411802</v>
      </c>
      <c r="T71" s="22">
        <v>5</v>
      </c>
      <c r="U71" s="22">
        <v>2023</v>
      </c>
    </row>
    <row r="72" spans="1:21" x14ac:dyDescent="0.3">
      <c r="A72" s="22" t="s">
        <v>47</v>
      </c>
      <c r="B72" s="22" t="s">
        <v>48</v>
      </c>
      <c r="C72" s="22" t="s">
        <v>439</v>
      </c>
      <c r="D72" s="22" t="s">
        <v>26</v>
      </c>
      <c r="E72" s="22">
        <v>5050000</v>
      </c>
      <c r="F72" s="22">
        <v>23</v>
      </c>
      <c r="G72" s="22">
        <v>5050000</v>
      </c>
      <c r="H72" s="22">
        <v>730000</v>
      </c>
      <c r="I72" s="22">
        <v>500000</v>
      </c>
      <c r="J72" s="22">
        <v>1200000</v>
      </c>
      <c r="K72" s="22">
        <v>3500000</v>
      </c>
      <c r="L72" s="22">
        <v>5930000</v>
      </c>
      <c r="M72" s="22">
        <v>10980000</v>
      </c>
      <c r="N72" s="22">
        <v>11000000</v>
      </c>
      <c r="O72" s="22">
        <v>0</v>
      </c>
      <c r="P72" s="22">
        <v>0</v>
      </c>
      <c r="Q72" s="22">
        <v>530250</v>
      </c>
      <c r="R72" s="22"/>
      <c r="S72" s="22">
        <v>10449750</v>
      </c>
      <c r="T72" s="22">
        <v>5</v>
      </c>
      <c r="U72" s="22">
        <v>2023</v>
      </c>
    </row>
    <row r="73" spans="1:21" x14ac:dyDescent="0.3">
      <c r="A73" s="22" t="s">
        <v>49</v>
      </c>
      <c r="B73" s="22" t="s">
        <v>50</v>
      </c>
      <c r="C73" s="22" t="s">
        <v>439</v>
      </c>
      <c r="D73" s="22" t="s">
        <v>26</v>
      </c>
      <c r="E73" s="22">
        <v>5050000</v>
      </c>
      <c r="F73" s="22">
        <v>23</v>
      </c>
      <c r="G73" s="22">
        <v>5050000</v>
      </c>
      <c r="H73" s="22">
        <v>730000</v>
      </c>
      <c r="I73" s="22">
        <v>500000</v>
      </c>
      <c r="J73" s="22">
        <v>1200000</v>
      </c>
      <c r="K73" s="22">
        <v>3500000</v>
      </c>
      <c r="L73" s="22">
        <v>5930000</v>
      </c>
      <c r="M73" s="22">
        <v>10980000</v>
      </c>
      <c r="N73" s="22">
        <v>11000000</v>
      </c>
      <c r="O73" s="22">
        <v>0</v>
      </c>
      <c r="P73" s="22">
        <v>0</v>
      </c>
      <c r="Q73" s="22">
        <v>530250</v>
      </c>
      <c r="R73" s="22"/>
      <c r="S73" s="22">
        <v>10449750</v>
      </c>
      <c r="T73" s="22">
        <v>5</v>
      </c>
      <c r="U73" s="22">
        <v>2023</v>
      </c>
    </row>
    <row r="74" spans="1:21" x14ac:dyDescent="0.3">
      <c r="A74" s="22" t="s">
        <v>51</v>
      </c>
      <c r="B74" s="22" t="s">
        <v>52</v>
      </c>
      <c r="C74" s="22" t="s">
        <v>439</v>
      </c>
      <c r="D74" s="22" t="s">
        <v>26</v>
      </c>
      <c r="E74" s="22">
        <v>5050000</v>
      </c>
      <c r="F74" s="22">
        <v>23</v>
      </c>
      <c r="G74" s="22">
        <v>5050000</v>
      </c>
      <c r="H74" s="22">
        <v>730000</v>
      </c>
      <c r="I74" s="22">
        <v>500000</v>
      </c>
      <c r="J74" s="22">
        <v>1200000</v>
      </c>
      <c r="K74" s="22">
        <v>3500000</v>
      </c>
      <c r="L74" s="22">
        <v>5930000</v>
      </c>
      <c r="M74" s="22">
        <v>10980000</v>
      </c>
      <c r="N74" s="22">
        <v>11000000</v>
      </c>
      <c r="O74" s="22">
        <v>0</v>
      </c>
      <c r="P74" s="22">
        <v>0</v>
      </c>
      <c r="Q74" s="22">
        <v>530250</v>
      </c>
      <c r="R74" s="22"/>
      <c r="S74" s="22">
        <v>10449750</v>
      </c>
      <c r="T74" s="22">
        <v>5</v>
      </c>
      <c r="U74" s="22">
        <v>2023</v>
      </c>
    </row>
    <row r="75" spans="1:21" x14ac:dyDescent="0.3">
      <c r="A75" s="22" t="s">
        <v>53</v>
      </c>
      <c r="B75" s="22" t="s">
        <v>54</v>
      </c>
      <c r="C75" s="22" t="s">
        <v>439</v>
      </c>
      <c r="D75" s="22" t="s">
        <v>26</v>
      </c>
      <c r="E75" s="22">
        <v>5050000</v>
      </c>
      <c r="F75" s="22">
        <v>23</v>
      </c>
      <c r="G75" s="22">
        <v>5050000</v>
      </c>
      <c r="H75" s="22">
        <v>730000</v>
      </c>
      <c r="I75" s="22">
        <v>500000</v>
      </c>
      <c r="J75" s="22">
        <v>1200000</v>
      </c>
      <c r="K75" s="22">
        <v>3500000</v>
      </c>
      <c r="L75" s="22">
        <v>5930000</v>
      </c>
      <c r="M75" s="22">
        <v>10980000</v>
      </c>
      <c r="N75" s="22">
        <v>11000000</v>
      </c>
      <c r="O75" s="22">
        <v>0</v>
      </c>
      <c r="P75" s="22">
        <v>0</v>
      </c>
      <c r="Q75" s="22">
        <v>530250</v>
      </c>
      <c r="R75" s="22"/>
      <c r="S75" s="22">
        <v>10449750</v>
      </c>
      <c r="T75" s="22">
        <v>5</v>
      </c>
      <c r="U75" s="22">
        <v>2023</v>
      </c>
    </row>
    <row r="76" spans="1:21" x14ac:dyDescent="0.3">
      <c r="A76" s="22" t="s">
        <v>55</v>
      </c>
      <c r="B76" s="22" t="s">
        <v>56</v>
      </c>
      <c r="C76" s="22" t="s">
        <v>439</v>
      </c>
      <c r="D76" s="22" t="s">
        <v>26</v>
      </c>
      <c r="E76" s="22">
        <v>5050000</v>
      </c>
      <c r="F76" s="22">
        <v>23</v>
      </c>
      <c r="G76" s="22">
        <v>5050000</v>
      </c>
      <c r="H76" s="22">
        <v>730000</v>
      </c>
      <c r="I76" s="22">
        <v>500000</v>
      </c>
      <c r="J76" s="22">
        <v>1200000</v>
      </c>
      <c r="K76" s="22">
        <v>3500000</v>
      </c>
      <c r="L76" s="22">
        <v>5930000</v>
      </c>
      <c r="M76" s="22">
        <v>10980000</v>
      </c>
      <c r="N76" s="22">
        <v>11000000</v>
      </c>
      <c r="O76" s="22">
        <v>0</v>
      </c>
      <c r="P76" s="22">
        <v>0</v>
      </c>
      <c r="Q76" s="22">
        <v>530250</v>
      </c>
      <c r="R76" s="22"/>
      <c r="S76" s="22">
        <v>10449750</v>
      </c>
      <c r="T76" s="22">
        <v>5</v>
      </c>
      <c r="U76" s="22">
        <v>2023</v>
      </c>
    </row>
    <row r="77" spans="1:21" x14ac:dyDescent="0.3">
      <c r="A77" s="22" t="s">
        <v>9</v>
      </c>
      <c r="B77" s="22" t="s">
        <v>10</v>
      </c>
      <c r="C77" s="22" t="s">
        <v>438</v>
      </c>
      <c r="D77" s="22" t="s">
        <v>11</v>
      </c>
      <c r="E77" s="22">
        <v>8000000</v>
      </c>
      <c r="F77" s="22">
        <v>22</v>
      </c>
      <c r="G77" s="22">
        <v>8000000</v>
      </c>
      <c r="H77" s="22">
        <v>730000</v>
      </c>
      <c r="I77" s="22">
        <v>500000</v>
      </c>
      <c r="J77" s="22">
        <v>1200000</v>
      </c>
      <c r="K77" s="22">
        <v>30000000</v>
      </c>
      <c r="L77" s="22">
        <v>32430000</v>
      </c>
      <c r="M77" s="22">
        <v>40430000</v>
      </c>
      <c r="N77" s="22">
        <v>11000000</v>
      </c>
      <c r="O77" s="22">
        <v>3600000</v>
      </c>
      <c r="P77" s="22">
        <v>3516000</v>
      </c>
      <c r="Q77" s="22">
        <v>525798</v>
      </c>
      <c r="R77" s="22"/>
      <c r="S77" s="22">
        <v>36388202</v>
      </c>
      <c r="T77" s="22">
        <v>6</v>
      </c>
      <c r="U77" s="22">
        <v>2023</v>
      </c>
    </row>
    <row r="78" spans="1:21" x14ac:dyDescent="0.3">
      <c r="A78" s="22" t="s">
        <v>14</v>
      </c>
      <c r="B78" s="22" t="s">
        <v>15</v>
      </c>
      <c r="C78" s="22" t="s">
        <v>438</v>
      </c>
      <c r="D78" s="22" t="s">
        <v>16</v>
      </c>
      <c r="E78" s="22">
        <v>8500000</v>
      </c>
      <c r="F78" s="22">
        <v>22</v>
      </c>
      <c r="G78" s="22">
        <v>8500000</v>
      </c>
      <c r="H78" s="22">
        <v>730000</v>
      </c>
      <c r="I78" s="22">
        <v>500000</v>
      </c>
      <c r="J78" s="22">
        <v>1200000</v>
      </c>
      <c r="K78" s="22">
        <v>3500000</v>
      </c>
      <c r="L78" s="22">
        <v>5930000</v>
      </c>
      <c r="M78" s="22">
        <v>14430000</v>
      </c>
      <c r="N78" s="22">
        <v>11000000</v>
      </c>
      <c r="O78" s="22">
        <v>3600000</v>
      </c>
      <c r="P78" s="22">
        <v>0</v>
      </c>
      <c r="Q78" s="22">
        <v>525798</v>
      </c>
      <c r="R78" s="22"/>
      <c r="S78" s="22">
        <v>13904202</v>
      </c>
      <c r="T78" s="22">
        <v>6</v>
      </c>
      <c r="U78" s="22">
        <v>2023</v>
      </c>
    </row>
    <row r="79" spans="1:21" x14ac:dyDescent="0.3">
      <c r="A79" s="22" t="s">
        <v>19</v>
      </c>
      <c r="B79" s="22" t="s">
        <v>20</v>
      </c>
      <c r="C79" s="22" t="s">
        <v>438</v>
      </c>
      <c r="D79" s="22" t="s">
        <v>21</v>
      </c>
      <c r="E79" s="22">
        <v>8500000</v>
      </c>
      <c r="F79" s="22">
        <v>22</v>
      </c>
      <c r="G79" s="22">
        <v>8500000</v>
      </c>
      <c r="H79" s="22">
        <v>730000</v>
      </c>
      <c r="I79" s="22">
        <v>500000</v>
      </c>
      <c r="J79" s="22">
        <v>1200000</v>
      </c>
      <c r="K79" s="22">
        <v>3500000</v>
      </c>
      <c r="L79" s="22">
        <v>5930000</v>
      </c>
      <c r="M79" s="22">
        <v>14430000</v>
      </c>
      <c r="N79" s="22">
        <v>11000000</v>
      </c>
      <c r="O79" s="22">
        <v>3600000</v>
      </c>
      <c r="P79" s="22">
        <v>0</v>
      </c>
      <c r="Q79" s="22">
        <v>525798</v>
      </c>
      <c r="R79" s="22"/>
      <c r="S79" s="22">
        <v>13904202</v>
      </c>
      <c r="T79" s="22">
        <v>6</v>
      </c>
      <c r="U79" s="22">
        <v>2023</v>
      </c>
    </row>
    <row r="80" spans="1:21" x14ac:dyDescent="0.3">
      <c r="A80" s="22" t="s">
        <v>24</v>
      </c>
      <c r="B80" s="22" t="s">
        <v>25</v>
      </c>
      <c r="C80" s="22" t="s">
        <v>439</v>
      </c>
      <c r="D80" s="22" t="s">
        <v>26</v>
      </c>
      <c r="E80" s="22">
        <v>5007600</v>
      </c>
      <c r="F80" s="22">
        <v>22</v>
      </c>
      <c r="G80" s="22">
        <v>5007600</v>
      </c>
      <c r="H80" s="22">
        <v>730000</v>
      </c>
      <c r="I80" s="22">
        <v>500000</v>
      </c>
      <c r="J80" s="22">
        <v>1200000</v>
      </c>
      <c r="K80" s="22">
        <v>3500000</v>
      </c>
      <c r="L80" s="22">
        <v>5930000</v>
      </c>
      <c r="M80" s="22">
        <v>10937600</v>
      </c>
      <c r="N80" s="22">
        <v>11000000</v>
      </c>
      <c r="O80" s="22">
        <v>3600000</v>
      </c>
      <c r="P80" s="22">
        <v>0</v>
      </c>
      <c r="Q80" s="22">
        <v>525798</v>
      </c>
      <c r="R80" s="22"/>
      <c r="S80" s="22">
        <v>10411802</v>
      </c>
      <c r="T80" s="22">
        <v>6</v>
      </c>
      <c r="U80" s="22">
        <v>2023</v>
      </c>
    </row>
    <row r="81" spans="1:21" x14ac:dyDescent="0.3">
      <c r="A81" s="22" t="s">
        <v>29</v>
      </c>
      <c r="B81" s="22" t="s">
        <v>30</v>
      </c>
      <c r="C81" s="22" t="s">
        <v>439</v>
      </c>
      <c r="D81" s="22" t="s">
        <v>26</v>
      </c>
      <c r="E81" s="22">
        <v>5007600</v>
      </c>
      <c r="F81" s="22">
        <v>22</v>
      </c>
      <c r="G81" s="22">
        <v>5007600</v>
      </c>
      <c r="H81" s="22">
        <v>730000</v>
      </c>
      <c r="I81" s="22">
        <v>500000</v>
      </c>
      <c r="J81" s="22">
        <v>1200000</v>
      </c>
      <c r="K81" s="22">
        <v>3500000</v>
      </c>
      <c r="L81" s="22">
        <v>5930000</v>
      </c>
      <c r="M81" s="22">
        <v>10937600</v>
      </c>
      <c r="N81" s="22">
        <v>11000000</v>
      </c>
      <c r="O81" s="22">
        <v>3600000</v>
      </c>
      <c r="P81" s="22">
        <v>0</v>
      </c>
      <c r="Q81" s="22">
        <v>525798</v>
      </c>
      <c r="R81" s="22"/>
      <c r="S81" s="22">
        <v>10411802</v>
      </c>
      <c r="T81" s="22">
        <v>6</v>
      </c>
      <c r="U81" s="22">
        <v>2023</v>
      </c>
    </row>
    <row r="82" spans="1:21" x14ac:dyDescent="0.3">
      <c r="A82" s="22" t="s">
        <v>32</v>
      </c>
      <c r="B82" s="22" t="s">
        <v>33</v>
      </c>
      <c r="C82" s="22" t="s">
        <v>439</v>
      </c>
      <c r="D82" s="22" t="s">
        <v>26</v>
      </c>
      <c r="E82" s="22">
        <v>5007600</v>
      </c>
      <c r="F82" s="22">
        <v>22</v>
      </c>
      <c r="G82" s="22">
        <v>5007600</v>
      </c>
      <c r="H82" s="22">
        <v>730000</v>
      </c>
      <c r="I82" s="22">
        <v>500000</v>
      </c>
      <c r="J82" s="22">
        <v>1200000</v>
      </c>
      <c r="K82" s="22">
        <v>3500000</v>
      </c>
      <c r="L82" s="22">
        <v>5930000</v>
      </c>
      <c r="M82" s="22">
        <v>10937600</v>
      </c>
      <c r="N82" s="22">
        <v>11000000</v>
      </c>
      <c r="O82" s="22">
        <v>3600000</v>
      </c>
      <c r="P82" s="22">
        <v>0</v>
      </c>
      <c r="Q82" s="22">
        <v>525798</v>
      </c>
      <c r="R82" s="22"/>
      <c r="S82" s="22">
        <v>10411802</v>
      </c>
      <c r="T82" s="22">
        <v>6</v>
      </c>
      <c r="U82" s="22">
        <v>2023</v>
      </c>
    </row>
    <row r="83" spans="1:21" x14ac:dyDescent="0.3">
      <c r="A83" s="22" t="s">
        <v>35</v>
      </c>
      <c r="B83" s="22" t="s">
        <v>36</v>
      </c>
      <c r="C83" s="22" t="s">
        <v>439</v>
      </c>
      <c r="D83" s="22" t="s">
        <v>26</v>
      </c>
      <c r="E83" s="22">
        <v>5007600</v>
      </c>
      <c r="F83" s="22">
        <v>22</v>
      </c>
      <c r="G83" s="22">
        <v>5007600</v>
      </c>
      <c r="H83" s="22">
        <v>730000</v>
      </c>
      <c r="I83" s="22">
        <v>500000</v>
      </c>
      <c r="J83" s="22">
        <v>1200000</v>
      </c>
      <c r="K83" s="22">
        <v>3500000</v>
      </c>
      <c r="L83" s="22">
        <v>5930000</v>
      </c>
      <c r="M83" s="22">
        <v>10937600</v>
      </c>
      <c r="N83" s="22">
        <v>11000000</v>
      </c>
      <c r="O83" s="22">
        <v>3600000</v>
      </c>
      <c r="P83" s="22">
        <v>0</v>
      </c>
      <c r="Q83" s="22">
        <v>525798</v>
      </c>
      <c r="R83" s="22"/>
      <c r="S83" s="22">
        <v>10411802</v>
      </c>
      <c r="T83" s="22">
        <v>6</v>
      </c>
      <c r="U83" s="22">
        <v>2023</v>
      </c>
    </row>
    <row r="84" spans="1:21" x14ac:dyDescent="0.3">
      <c r="A84" s="22" t="s">
        <v>38</v>
      </c>
      <c r="B84" s="22" t="s">
        <v>39</v>
      </c>
      <c r="C84" s="22" t="s">
        <v>439</v>
      </c>
      <c r="D84" s="22" t="s">
        <v>26</v>
      </c>
      <c r="E84" s="22">
        <v>5007600</v>
      </c>
      <c r="F84" s="22">
        <v>22</v>
      </c>
      <c r="G84" s="22">
        <v>5007600</v>
      </c>
      <c r="H84" s="22">
        <v>730000</v>
      </c>
      <c r="I84" s="22">
        <v>500000</v>
      </c>
      <c r="J84" s="22">
        <v>1200000</v>
      </c>
      <c r="K84" s="22">
        <v>3500000</v>
      </c>
      <c r="L84" s="22">
        <v>5930000</v>
      </c>
      <c r="M84" s="22">
        <v>10937600</v>
      </c>
      <c r="N84" s="22">
        <v>11000000</v>
      </c>
      <c r="O84" s="22">
        <v>3600000</v>
      </c>
      <c r="P84" s="22">
        <v>0</v>
      </c>
      <c r="Q84" s="22">
        <v>525798</v>
      </c>
      <c r="R84" s="22"/>
      <c r="S84" s="22">
        <v>10411802</v>
      </c>
      <c r="T84" s="22">
        <v>6</v>
      </c>
      <c r="U84" s="22">
        <v>2023</v>
      </c>
    </row>
    <row r="85" spans="1:21" x14ac:dyDescent="0.3">
      <c r="A85" s="22" t="s">
        <v>41</v>
      </c>
      <c r="B85" s="22" t="s">
        <v>42</v>
      </c>
      <c r="C85" s="22" t="s">
        <v>439</v>
      </c>
      <c r="D85" s="22" t="s">
        <v>26</v>
      </c>
      <c r="E85" s="22">
        <v>5007600</v>
      </c>
      <c r="F85" s="22">
        <v>22</v>
      </c>
      <c r="G85" s="22">
        <v>5007600</v>
      </c>
      <c r="H85" s="22">
        <v>730000</v>
      </c>
      <c r="I85" s="22">
        <v>500000</v>
      </c>
      <c r="J85" s="22">
        <v>1200000</v>
      </c>
      <c r="K85" s="22">
        <v>3500000</v>
      </c>
      <c r="L85" s="22">
        <v>5930000</v>
      </c>
      <c r="M85" s="22">
        <v>10937600</v>
      </c>
      <c r="N85" s="22">
        <v>11000000</v>
      </c>
      <c r="O85" s="22">
        <v>3600000</v>
      </c>
      <c r="P85" s="22">
        <v>0</v>
      </c>
      <c r="Q85" s="22">
        <v>525798</v>
      </c>
      <c r="R85" s="22"/>
      <c r="S85" s="22">
        <v>10411802</v>
      </c>
      <c r="T85" s="22">
        <v>6</v>
      </c>
      <c r="U85" s="22">
        <v>2023</v>
      </c>
    </row>
    <row r="86" spans="1:21" x14ac:dyDescent="0.3">
      <c r="A86" s="22" t="s">
        <v>44</v>
      </c>
      <c r="B86" s="22" t="s">
        <v>45</v>
      </c>
      <c r="C86" s="22" t="s">
        <v>439</v>
      </c>
      <c r="D86" s="22" t="s">
        <v>26</v>
      </c>
      <c r="E86" s="22">
        <v>5007600</v>
      </c>
      <c r="F86" s="22">
        <v>22</v>
      </c>
      <c r="G86" s="22">
        <v>5007600</v>
      </c>
      <c r="H86" s="22">
        <v>730000</v>
      </c>
      <c r="I86" s="22">
        <v>500000</v>
      </c>
      <c r="J86" s="22">
        <v>1200000</v>
      </c>
      <c r="K86" s="22">
        <v>3500000</v>
      </c>
      <c r="L86" s="22">
        <v>5930000</v>
      </c>
      <c r="M86" s="22">
        <v>10937600</v>
      </c>
      <c r="N86" s="22">
        <v>11000000</v>
      </c>
      <c r="O86" s="22">
        <v>3600000</v>
      </c>
      <c r="P86" s="22">
        <v>0</v>
      </c>
      <c r="Q86" s="22">
        <v>525798</v>
      </c>
      <c r="R86" s="22"/>
      <c r="S86" s="22">
        <v>10411802</v>
      </c>
      <c r="T86" s="22">
        <v>6</v>
      </c>
      <c r="U86" s="22">
        <v>2023</v>
      </c>
    </row>
    <row r="87" spans="1:21" x14ac:dyDescent="0.3">
      <c r="A87" s="22" t="s">
        <v>47</v>
      </c>
      <c r="B87" s="22" t="s">
        <v>48</v>
      </c>
      <c r="C87" s="22" t="s">
        <v>439</v>
      </c>
      <c r="D87" s="22" t="s">
        <v>26</v>
      </c>
      <c r="E87" s="22">
        <v>5050000</v>
      </c>
      <c r="F87" s="22">
        <v>22</v>
      </c>
      <c r="G87" s="22">
        <v>5050000</v>
      </c>
      <c r="H87" s="22">
        <v>730000</v>
      </c>
      <c r="I87" s="22">
        <v>500000</v>
      </c>
      <c r="J87" s="22">
        <v>1200000</v>
      </c>
      <c r="K87" s="22">
        <v>3500000</v>
      </c>
      <c r="L87" s="22">
        <v>5930000</v>
      </c>
      <c r="M87" s="22">
        <v>10980000</v>
      </c>
      <c r="N87" s="22">
        <v>11000000</v>
      </c>
      <c r="O87" s="22">
        <v>0</v>
      </c>
      <c r="P87" s="22">
        <v>0</v>
      </c>
      <c r="Q87" s="22">
        <v>530250</v>
      </c>
      <c r="R87" s="22"/>
      <c r="S87" s="22">
        <v>10449750</v>
      </c>
      <c r="T87" s="22">
        <v>6</v>
      </c>
      <c r="U87" s="22">
        <v>2023</v>
      </c>
    </row>
    <row r="88" spans="1:21" x14ac:dyDescent="0.3">
      <c r="A88" s="22" t="s">
        <v>49</v>
      </c>
      <c r="B88" s="22" t="s">
        <v>50</v>
      </c>
      <c r="C88" s="22" t="s">
        <v>439</v>
      </c>
      <c r="D88" s="22" t="s">
        <v>26</v>
      </c>
      <c r="E88" s="22">
        <v>5050000</v>
      </c>
      <c r="F88" s="22">
        <v>22</v>
      </c>
      <c r="G88" s="22">
        <v>5050000</v>
      </c>
      <c r="H88" s="22">
        <v>730000</v>
      </c>
      <c r="I88" s="22">
        <v>500000</v>
      </c>
      <c r="J88" s="22">
        <v>1200000</v>
      </c>
      <c r="K88" s="22">
        <v>3500000</v>
      </c>
      <c r="L88" s="22">
        <v>5930000</v>
      </c>
      <c r="M88" s="22">
        <v>10980000</v>
      </c>
      <c r="N88" s="22">
        <v>11000000</v>
      </c>
      <c r="O88" s="22">
        <v>0</v>
      </c>
      <c r="P88" s="22">
        <v>0</v>
      </c>
      <c r="Q88" s="22">
        <v>530250</v>
      </c>
      <c r="R88" s="22"/>
      <c r="S88" s="22">
        <v>10449750</v>
      </c>
      <c r="T88" s="22">
        <v>6</v>
      </c>
      <c r="U88" s="22">
        <v>2023</v>
      </c>
    </row>
    <row r="89" spans="1:21" x14ac:dyDescent="0.3">
      <c r="A89" s="22" t="s">
        <v>51</v>
      </c>
      <c r="B89" s="22" t="s">
        <v>52</v>
      </c>
      <c r="C89" s="22" t="s">
        <v>439</v>
      </c>
      <c r="D89" s="22" t="s">
        <v>26</v>
      </c>
      <c r="E89" s="22">
        <v>5050000</v>
      </c>
      <c r="F89" s="22">
        <v>22</v>
      </c>
      <c r="G89" s="22">
        <v>5050000</v>
      </c>
      <c r="H89" s="22">
        <v>730000</v>
      </c>
      <c r="I89" s="22">
        <v>500000</v>
      </c>
      <c r="J89" s="22">
        <v>1200000</v>
      </c>
      <c r="K89" s="22">
        <v>3500000</v>
      </c>
      <c r="L89" s="22">
        <v>5930000</v>
      </c>
      <c r="M89" s="22">
        <v>10980000</v>
      </c>
      <c r="N89" s="22">
        <v>11000000</v>
      </c>
      <c r="O89" s="22">
        <v>0</v>
      </c>
      <c r="P89" s="22">
        <v>0</v>
      </c>
      <c r="Q89" s="22">
        <v>530250</v>
      </c>
      <c r="R89" s="22"/>
      <c r="S89" s="22">
        <v>10449750</v>
      </c>
      <c r="T89" s="22">
        <v>6</v>
      </c>
      <c r="U89" s="22">
        <v>2023</v>
      </c>
    </row>
    <row r="90" spans="1:21" x14ac:dyDescent="0.3">
      <c r="A90" s="22" t="s">
        <v>53</v>
      </c>
      <c r="B90" s="22" t="s">
        <v>54</v>
      </c>
      <c r="C90" s="22" t="s">
        <v>439</v>
      </c>
      <c r="D90" s="22" t="s">
        <v>26</v>
      </c>
      <c r="E90" s="22">
        <v>5050000</v>
      </c>
      <c r="F90" s="22">
        <v>22</v>
      </c>
      <c r="G90" s="22">
        <v>5050000</v>
      </c>
      <c r="H90" s="22">
        <v>730000</v>
      </c>
      <c r="I90" s="22">
        <v>500000</v>
      </c>
      <c r="J90" s="22">
        <v>1200000</v>
      </c>
      <c r="K90" s="22">
        <v>3500000</v>
      </c>
      <c r="L90" s="22">
        <v>5930000</v>
      </c>
      <c r="M90" s="22">
        <v>10980000</v>
      </c>
      <c r="N90" s="22">
        <v>11000000</v>
      </c>
      <c r="O90" s="22">
        <v>0</v>
      </c>
      <c r="P90" s="22">
        <v>0</v>
      </c>
      <c r="Q90" s="22">
        <v>530250</v>
      </c>
      <c r="R90" s="22"/>
      <c r="S90" s="22">
        <v>10449750</v>
      </c>
      <c r="T90" s="22">
        <v>6</v>
      </c>
      <c r="U90" s="22">
        <v>2023</v>
      </c>
    </row>
    <row r="91" spans="1:21" x14ac:dyDescent="0.3">
      <c r="A91" s="22" t="s">
        <v>55</v>
      </c>
      <c r="B91" s="22" t="s">
        <v>56</v>
      </c>
      <c r="C91" s="22" t="s">
        <v>439</v>
      </c>
      <c r="D91" s="22" t="s">
        <v>26</v>
      </c>
      <c r="E91" s="22">
        <v>5050000</v>
      </c>
      <c r="F91" s="22">
        <v>22</v>
      </c>
      <c r="G91" s="22">
        <v>5050000</v>
      </c>
      <c r="H91" s="22">
        <v>730000</v>
      </c>
      <c r="I91" s="22">
        <v>500000</v>
      </c>
      <c r="J91" s="22">
        <v>1200000</v>
      </c>
      <c r="K91" s="22">
        <v>3500000</v>
      </c>
      <c r="L91" s="22">
        <v>5930000</v>
      </c>
      <c r="M91" s="22">
        <v>10980000</v>
      </c>
      <c r="N91" s="22">
        <v>11000000</v>
      </c>
      <c r="O91" s="22">
        <v>0</v>
      </c>
      <c r="P91" s="22">
        <v>0</v>
      </c>
      <c r="Q91" s="22">
        <v>530250</v>
      </c>
      <c r="R91" s="22"/>
      <c r="S91" s="22">
        <v>10449750</v>
      </c>
      <c r="T91" s="22">
        <v>6</v>
      </c>
      <c r="U91" s="22">
        <v>2023</v>
      </c>
    </row>
    <row r="92" spans="1:21" x14ac:dyDescent="0.3">
      <c r="A92" s="22" t="s">
        <v>9</v>
      </c>
      <c r="B92" s="22" t="s">
        <v>10</v>
      </c>
      <c r="C92" s="22" t="s">
        <v>438</v>
      </c>
      <c r="D92" s="22" t="s">
        <v>11</v>
      </c>
      <c r="E92" s="22">
        <v>8000000</v>
      </c>
      <c r="F92" s="22">
        <v>21</v>
      </c>
      <c r="G92" s="22">
        <v>8000000</v>
      </c>
      <c r="H92" s="22">
        <v>730000</v>
      </c>
      <c r="I92" s="22">
        <v>500000</v>
      </c>
      <c r="J92" s="22">
        <v>1200000</v>
      </c>
      <c r="K92" s="22">
        <v>30000000</v>
      </c>
      <c r="L92" s="22">
        <v>32430000</v>
      </c>
      <c r="M92" s="22">
        <v>40430000</v>
      </c>
      <c r="N92" s="22">
        <v>11000000</v>
      </c>
      <c r="O92" s="22">
        <v>3600000</v>
      </c>
      <c r="P92" s="22">
        <v>3516000</v>
      </c>
      <c r="Q92" s="22">
        <v>525798</v>
      </c>
      <c r="R92" s="22"/>
      <c r="S92" s="22">
        <v>36388202</v>
      </c>
      <c r="T92" s="22">
        <v>7</v>
      </c>
      <c r="U92" s="22">
        <v>2023</v>
      </c>
    </row>
    <row r="93" spans="1:21" x14ac:dyDescent="0.3">
      <c r="A93" s="22" t="s">
        <v>14</v>
      </c>
      <c r="B93" s="22" t="s">
        <v>15</v>
      </c>
      <c r="C93" s="22" t="s">
        <v>438</v>
      </c>
      <c r="D93" s="22" t="s">
        <v>16</v>
      </c>
      <c r="E93" s="22">
        <v>8500000</v>
      </c>
      <c r="F93" s="22">
        <v>21</v>
      </c>
      <c r="G93" s="22">
        <v>8500000</v>
      </c>
      <c r="H93" s="22">
        <v>730000</v>
      </c>
      <c r="I93" s="22">
        <v>500000</v>
      </c>
      <c r="J93" s="22">
        <v>1200000</v>
      </c>
      <c r="K93" s="22">
        <v>3500000</v>
      </c>
      <c r="L93" s="22">
        <v>5930000</v>
      </c>
      <c r="M93" s="22">
        <v>14430000</v>
      </c>
      <c r="N93" s="22">
        <v>11000000</v>
      </c>
      <c r="O93" s="22">
        <v>3600000</v>
      </c>
      <c r="P93" s="22">
        <v>0</v>
      </c>
      <c r="Q93" s="22">
        <v>525798</v>
      </c>
      <c r="R93" s="22"/>
      <c r="S93" s="22">
        <v>13904202</v>
      </c>
      <c r="T93" s="22">
        <v>7</v>
      </c>
      <c r="U93" s="22">
        <v>2023</v>
      </c>
    </row>
    <row r="94" spans="1:21" x14ac:dyDescent="0.3">
      <c r="A94" s="22" t="s">
        <v>19</v>
      </c>
      <c r="B94" s="22" t="s">
        <v>20</v>
      </c>
      <c r="C94" s="22" t="s">
        <v>438</v>
      </c>
      <c r="D94" s="22" t="s">
        <v>21</v>
      </c>
      <c r="E94" s="22">
        <v>8500000</v>
      </c>
      <c r="F94" s="22">
        <v>21</v>
      </c>
      <c r="G94" s="22">
        <v>8500000</v>
      </c>
      <c r="H94" s="22">
        <v>730000</v>
      </c>
      <c r="I94" s="22">
        <v>500000</v>
      </c>
      <c r="J94" s="22">
        <v>1200000</v>
      </c>
      <c r="K94" s="22">
        <v>3500000</v>
      </c>
      <c r="L94" s="22">
        <v>5930000</v>
      </c>
      <c r="M94" s="22">
        <v>14430000</v>
      </c>
      <c r="N94" s="22">
        <v>11000000</v>
      </c>
      <c r="O94" s="22">
        <v>3600000</v>
      </c>
      <c r="P94" s="22">
        <v>0</v>
      </c>
      <c r="Q94" s="22">
        <v>525798</v>
      </c>
      <c r="R94" s="22"/>
      <c r="S94" s="22">
        <v>13904202</v>
      </c>
      <c r="T94" s="22">
        <v>7</v>
      </c>
      <c r="U94" s="22">
        <v>2023</v>
      </c>
    </row>
    <row r="95" spans="1:21" x14ac:dyDescent="0.3">
      <c r="A95" s="22" t="s">
        <v>24</v>
      </c>
      <c r="B95" s="22" t="s">
        <v>25</v>
      </c>
      <c r="C95" s="22" t="s">
        <v>439</v>
      </c>
      <c r="D95" s="22" t="s">
        <v>26</v>
      </c>
      <c r="E95" s="22">
        <v>5007600</v>
      </c>
      <c r="F95" s="22">
        <v>21</v>
      </c>
      <c r="G95" s="22">
        <v>5007600</v>
      </c>
      <c r="H95" s="22">
        <v>730000</v>
      </c>
      <c r="I95" s="22">
        <v>500000</v>
      </c>
      <c r="J95" s="22">
        <v>1200000</v>
      </c>
      <c r="K95" s="22">
        <v>3500000</v>
      </c>
      <c r="L95" s="22">
        <v>5930000</v>
      </c>
      <c r="M95" s="22">
        <v>10937600</v>
      </c>
      <c r="N95" s="22">
        <v>11000000</v>
      </c>
      <c r="O95" s="22">
        <v>3600000</v>
      </c>
      <c r="P95" s="22">
        <v>0</v>
      </c>
      <c r="Q95" s="22">
        <v>525798</v>
      </c>
      <c r="R95" s="22"/>
      <c r="S95" s="22">
        <v>10411802</v>
      </c>
      <c r="T95" s="22">
        <v>7</v>
      </c>
      <c r="U95" s="22">
        <v>2023</v>
      </c>
    </row>
    <row r="96" spans="1:21" x14ac:dyDescent="0.3">
      <c r="A96" s="22" t="s">
        <v>29</v>
      </c>
      <c r="B96" s="22" t="s">
        <v>30</v>
      </c>
      <c r="C96" s="22" t="s">
        <v>439</v>
      </c>
      <c r="D96" s="22" t="s">
        <v>26</v>
      </c>
      <c r="E96" s="22">
        <v>5007600</v>
      </c>
      <c r="F96" s="22">
        <v>21</v>
      </c>
      <c r="G96" s="22">
        <v>5007600</v>
      </c>
      <c r="H96" s="22">
        <v>730000</v>
      </c>
      <c r="I96" s="22">
        <v>500000</v>
      </c>
      <c r="J96" s="22">
        <v>1200000</v>
      </c>
      <c r="K96" s="22">
        <v>3500000</v>
      </c>
      <c r="L96" s="22">
        <v>5930000</v>
      </c>
      <c r="M96" s="22">
        <v>10937600</v>
      </c>
      <c r="N96" s="22">
        <v>11000000</v>
      </c>
      <c r="O96" s="22">
        <v>3600000</v>
      </c>
      <c r="P96" s="22">
        <v>0</v>
      </c>
      <c r="Q96" s="22">
        <v>525798</v>
      </c>
      <c r="R96" s="22"/>
      <c r="S96" s="22">
        <v>10411802</v>
      </c>
      <c r="T96" s="22">
        <v>7</v>
      </c>
      <c r="U96" s="22">
        <v>2023</v>
      </c>
    </row>
    <row r="97" spans="1:21" x14ac:dyDescent="0.3">
      <c r="A97" s="22" t="s">
        <v>32</v>
      </c>
      <c r="B97" s="22" t="s">
        <v>33</v>
      </c>
      <c r="C97" s="22" t="s">
        <v>439</v>
      </c>
      <c r="D97" s="22" t="s">
        <v>26</v>
      </c>
      <c r="E97" s="22">
        <v>5007600</v>
      </c>
      <c r="F97" s="22">
        <v>21</v>
      </c>
      <c r="G97" s="22">
        <v>5007600</v>
      </c>
      <c r="H97" s="22">
        <v>730000</v>
      </c>
      <c r="I97" s="22">
        <v>500000</v>
      </c>
      <c r="J97" s="22">
        <v>1200000</v>
      </c>
      <c r="K97" s="22">
        <v>3500000</v>
      </c>
      <c r="L97" s="22">
        <v>5930000</v>
      </c>
      <c r="M97" s="22">
        <v>10937600</v>
      </c>
      <c r="N97" s="22">
        <v>11000000</v>
      </c>
      <c r="O97" s="22">
        <v>3600000</v>
      </c>
      <c r="P97" s="22">
        <v>0</v>
      </c>
      <c r="Q97" s="22">
        <v>525798</v>
      </c>
      <c r="R97" s="22"/>
      <c r="S97" s="22">
        <v>10411802</v>
      </c>
      <c r="T97" s="22">
        <v>7</v>
      </c>
      <c r="U97" s="22">
        <v>2023</v>
      </c>
    </row>
    <row r="98" spans="1:21" x14ac:dyDescent="0.3">
      <c r="A98" s="22" t="s">
        <v>35</v>
      </c>
      <c r="B98" s="22" t="s">
        <v>36</v>
      </c>
      <c r="C98" s="22" t="s">
        <v>439</v>
      </c>
      <c r="D98" s="22" t="s">
        <v>26</v>
      </c>
      <c r="E98" s="22">
        <v>5007600</v>
      </c>
      <c r="F98" s="22">
        <v>21</v>
      </c>
      <c r="G98" s="22">
        <v>5007600</v>
      </c>
      <c r="H98" s="22">
        <v>730000</v>
      </c>
      <c r="I98" s="22">
        <v>500000</v>
      </c>
      <c r="J98" s="22">
        <v>1200000</v>
      </c>
      <c r="K98" s="22">
        <v>3500000</v>
      </c>
      <c r="L98" s="22">
        <v>5930000</v>
      </c>
      <c r="M98" s="22">
        <v>10937600</v>
      </c>
      <c r="N98" s="22">
        <v>11000000</v>
      </c>
      <c r="O98" s="22">
        <v>3600000</v>
      </c>
      <c r="P98" s="22">
        <v>0</v>
      </c>
      <c r="Q98" s="22">
        <v>525798</v>
      </c>
      <c r="R98" s="22"/>
      <c r="S98" s="22">
        <v>10411802</v>
      </c>
      <c r="T98" s="22">
        <v>7</v>
      </c>
      <c r="U98" s="22">
        <v>2023</v>
      </c>
    </row>
    <row r="99" spans="1:21" x14ac:dyDescent="0.3">
      <c r="A99" s="22" t="s">
        <v>38</v>
      </c>
      <c r="B99" s="22" t="s">
        <v>39</v>
      </c>
      <c r="C99" s="22" t="s">
        <v>439</v>
      </c>
      <c r="D99" s="22" t="s">
        <v>26</v>
      </c>
      <c r="E99" s="22">
        <v>5007600</v>
      </c>
      <c r="F99" s="22">
        <v>21</v>
      </c>
      <c r="G99" s="22">
        <v>5007600</v>
      </c>
      <c r="H99" s="22">
        <v>730000</v>
      </c>
      <c r="I99" s="22">
        <v>500000</v>
      </c>
      <c r="J99" s="22">
        <v>1200000</v>
      </c>
      <c r="K99" s="22">
        <v>3500000</v>
      </c>
      <c r="L99" s="22">
        <v>5930000</v>
      </c>
      <c r="M99" s="22">
        <v>10937600</v>
      </c>
      <c r="N99" s="22">
        <v>11000000</v>
      </c>
      <c r="O99" s="22">
        <v>3600000</v>
      </c>
      <c r="P99" s="22">
        <v>0</v>
      </c>
      <c r="Q99" s="22">
        <v>525798</v>
      </c>
      <c r="R99" s="22"/>
      <c r="S99" s="22">
        <v>10411802</v>
      </c>
      <c r="T99" s="22">
        <v>7</v>
      </c>
      <c r="U99" s="22">
        <v>2023</v>
      </c>
    </row>
    <row r="100" spans="1:21" x14ac:dyDescent="0.3">
      <c r="A100" s="22" t="s">
        <v>41</v>
      </c>
      <c r="B100" s="22" t="s">
        <v>42</v>
      </c>
      <c r="C100" s="22" t="s">
        <v>439</v>
      </c>
      <c r="D100" s="22" t="s">
        <v>26</v>
      </c>
      <c r="E100" s="22">
        <v>5007600</v>
      </c>
      <c r="F100" s="22">
        <v>21</v>
      </c>
      <c r="G100" s="22">
        <v>5007600</v>
      </c>
      <c r="H100" s="22">
        <v>730000</v>
      </c>
      <c r="I100" s="22">
        <v>500000</v>
      </c>
      <c r="J100" s="22">
        <v>1200000</v>
      </c>
      <c r="K100" s="22">
        <v>3500000</v>
      </c>
      <c r="L100" s="22">
        <v>5930000</v>
      </c>
      <c r="M100" s="22">
        <v>10937600</v>
      </c>
      <c r="N100" s="22">
        <v>11000000</v>
      </c>
      <c r="O100" s="22">
        <v>3600000</v>
      </c>
      <c r="P100" s="22">
        <v>0</v>
      </c>
      <c r="Q100" s="22">
        <v>525798</v>
      </c>
      <c r="R100" s="22"/>
      <c r="S100" s="22">
        <v>10411802</v>
      </c>
      <c r="T100" s="22">
        <v>7</v>
      </c>
      <c r="U100" s="22">
        <v>2023</v>
      </c>
    </row>
    <row r="101" spans="1:21" x14ac:dyDescent="0.3">
      <c r="A101" s="22" t="s">
        <v>44</v>
      </c>
      <c r="B101" s="22" t="s">
        <v>45</v>
      </c>
      <c r="C101" s="22" t="s">
        <v>439</v>
      </c>
      <c r="D101" s="22" t="s">
        <v>26</v>
      </c>
      <c r="E101" s="22">
        <v>5007600</v>
      </c>
      <c r="F101" s="22">
        <v>21</v>
      </c>
      <c r="G101" s="22">
        <v>5007600</v>
      </c>
      <c r="H101" s="22">
        <v>730000</v>
      </c>
      <c r="I101" s="22">
        <v>500000</v>
      </c>
      <c r="J101" s="22">
        <v>1200000</v>
      </c>
      <c r="K101" s="22">
        <v>3500000</v>
      </c>
      <c r="L101" s="22">
        <v>5930000</v>
      </c>
      <c r="M101" s="22">
        <v>10937600</v>
      </c>
      <c r="N101" s="22">
        <v>11000000</v>
      </c>
      <c r="O101" s="22">
        <v>3600000</v>
      </c>
      <c r="P101" s="22">
        <v>0</v>
      </c>
      <c r="Q101" s="22">
        <v>525798</v>
      </c>
      <c r="R101" s="22"/>
      <c r="S101" s="22">
        <v>10411802</v>
      </c>
      <c r="T101" s="22">
        <v>7</v>
      </c>
      <c r="U101" s="22">
        <v>2023</v>
      </c>
    </row>
    <row r="102" spans="1:21" x14ac:dyDescent="0.3">
      <c r="A102" s="22" t="s">
        <v>47</v>
      </c>
      <c r="B102" s="22" t="s">
        <v>48</v>
      </c>
      <c r="C102" s="22" t="s">
        <v>439</v>
      </c>
      <c r="D102" s="22" t="s">
        <v>26</v>
      </c>
      <c r="E102" s="22">
        <v>5050000</v>
      </c>
      <c r="F102" s="22">
        <v>21</v>
      </c>
      <c r="G102" s="22">
        <v>5050000</v>
      </c>
      <c r="H102" s="22">
        <v>730000</v>
      </c>
      <c r="I102" s="22">
        <v>500000</v>
      </c>
      <c r="J102" s="22">
        <v>1200000</v>
      </c>
      <c r="K102" s="22">
        <v>3500000</v>
      </c>
      <c r="L102" s="22">
        <v>5930000</v>
      </c>
      <c r="M102" s="22">
        <v>10980000</v>
      </c>
      <c r="N102" s="22">
        <v>11000000</v>
      </c>
      <c r="O102" s="22">
        <v>0</v>
      </c>
      <c r="P102" s="22">
        <v>0</v>
      </c>
      <c r="Q102" s="22">
        <v>530250</v>
      </c>
      <c r="R102" s="22"/>
      <c r="S102" s="22">
        <v>10449750</v>
      </c>
      <c r="T102" s="22">
        <v>7</v>
      </c>
      <c r="U102" s="22">
        <v>2023</v>
      </c>
    </row>
    <row r="103" spans="1:21" x14ac:dyDescent="0.3">
      <c r="A103" s="22" t="s">
        <v>49</v>
      </c>
      <c r="B103" s="22" t="s">
        <v>50</v>
      </c>
      <c r="C103" s="22" t="s">
        <v>439</v>
      </c>
      <c r="D103" s="22" t="s">
        <v>26</v>
      </c>
      <c r="E103" s="22">
        <v>5050000</v>
      </c>
      <c r="F103" s="22">
        <v>21</v>
      </c>
      <c r="G103" s="22">
        <v>5050000</v>
      </c>
      <c r="H103" s="22">
        <v>730000</v>
      </c>
      <c r="I103" s="22">
        <v>500000</v>
      </c>
      <c r="J103" s="22">
        <v>1200000</v>
      </c>
      <c r="K103" s="22">
        <v>3500000</v>
      </c>
      <c r="L103" s="22">
        <v>5930000</v>
      </c>
      <c r="M103" s="22">
        <v>10980000</v>
      </c>
      <c r="N103" s="22">
        <v>11000000</v>
      </c>
      <c r="O103" s="22">
        <v>0</v>
      </c>
      <c r="P103" s="22">
        <v>0</v>
      </c>
      <c r="Q103" s="22">
        <v>530250</v>
      </c>
      <c r="R103" s="22"/>
      <c r="S103" s="22">
        <v>10449750</v>
      </c>
      <c r="T103" s="22">
        <v>7</v>
      </c>
      <c r="U103" s="22">
        <v>2023</v>
      </c>
    </row>
    <row r="104" spans="1:21" x14ac:dyDescent="0.3">
      <c r="A104" s="22" t="s">
        <v>51</v>
      </c>
      <c r="B104" s="22" t="s">
        <v>52</v>
      </c>
      <c r="C104" s="22" t="s">
        <v>439</v>
      </c>
      <c r="D104" s="22" t="s">
        <v>26</v>
      </c>
      <c r="E104" s="22">
        <v>5050000</v>
      </c>
      <c r="F104" s="22">
        <v>21</v>
      </c>
      <c r="G104" s="22">
        <v>5050000</v>
      </c>
      <c r="H104" s="22">
        <v>730000</v>
      </c>
      <c r="I104" s="22">
        <v>500000</v>
      </c>
      <c r="J104" s="22">
        <v>1200000</v>
      </c>
      <c r="K104" s="22">
        <v>3500000</v>
      </c>
      <c r="L104" s="22">
        <v>5930000</v>
      </c>
      <c r="M104" s="22">
        <v>10980000</v>
      </c>
      <c r="N104" s="22">
        <v>11000000</v>
      </c>
      <c r="O104" s="22">
        <v>0</v>
      </c>
      <c r="P104" s="22">
        <v>0</v>
      </c>
      <c r="Q104" s="22">
        <v>530250</v>
      </c>
      <c r="R104" s="22"/>
      <c r="S104" s="22">
        <v>10449750</v>
      </c>
      <c r="T104" s="22">
        <v>7</v>
      </c>
      <c r="U104" s="22">
        <v>2023</v>
      </c>
    </row>
    <row r="105" spans="1:21" x14ac:dyDescent="0.3">
      <c r="A105" s="22" t="s">
        <v>53</v>
      </c>
      <c r="B105" s="22" t="s">
        <v>54</v>
      </c>
      <c r="C105" s="22" t="s">
        <v>439</v>
      </c>
      <c r="D105" s="22" t="s">
        <v>26</v>
      </c>
      <c r="E105" s="22">
        <v>5050000</v>
      </c>
      <c r="F105" s="22">
        <v>21</v>
      </c>
      <c r="G105" s="22">
        <v>5050000</v>
      </c>
      <c r="H105" s="22">
        <v>730000</v>
      </c>
      <c r="I105" s="22">
        <v>500000</v>
      </c>
      <c r="J105" s="22">
        <v>1200000</v>
      </c>
      <c r="K105" s="22">
        <v>3500000</v>
      </c>
      <c r="L105" s="22">
        <v>5930000</v>
      </c>
      <c r="M105" s="22">
        <v>10980000</v>
      </c>
      <c r="N105" s="22">
        <v>11000000</v>
      </c>
      <c r="O105" s="22">
        <v>0</v>
      </c>
      <c r="P105" s="22">
        <v>0</v>
      </c>
      <c r="Q105" s="22">
        <v>530250</v>
      </c>
      <c r="R105" s="22"/>
      <c r="S105" s="22">
        <v>10449750</v>
      </c>
      <c r="T105" s="22">
        <v>7</v>
      </c>
      <c r="U105" s="22">
        <v>2023</v>
      </c>
    </row>
    <row r="106" spans="1:21" x14ac:dyDescent="0.3">
      <c r="A106" s="22" t="s">
        <v>55</v>
      </c>
      <c r="B106" s="22" t="s">
        <v>56</v>
      </c>
      <c r="C106" s="22" t="s">
        <v>439</v>
      </c>
      <c r="D106" s="22" t="s">
        <v>26</v>
      </c>
      <c r="E106" s="22">
        <v>5050000</v>
      </c>
      <c r="F106" s="22">
        <v>21</v>
      </c>
      <c r="G106" s="22">
        <v>5050000</v>
      </c>
      <c r="H106" s="22">
        <v>730000</v>
      </c>
      <c r="I106" s="22">
        <v>500000</v>
      </c>
      <c r="J106" s="22">
        <v>1200000</v>
      </c>
      <c r="K106" s="22">
        <v>3500000</v>
      </c>
      <c r="L106" s="22">
        <v>5930000</v>
      </c>
      <c r="M106" s="22">
        <v>10980000</v>
      </c>
      <c r="N106" s="22">
        <v>11000000</v>
      </c>
      <c r="O106" s="22">
        <v>0</v>
      </c>
      <c r="P106" s="22">
        <v>0</v>
      </c>
      <c r="Q106" s="22">
        <v>530250</v>
      </c>
      <c r="R106" s="22"/>
      <c r="S106" s="22">
        <v>10449750</v>
      </c>
      <c r="T106" s="22">
        <v>7</v>
      </c>
      <c r="U106" s="22">
        <v>2023</v>
      </c>
    </row>
    <row r="107" spans="1:21" x14ac:dyDescent="0.3">
      <c r="A107" s="22" t="s">
        <v>9</v>
      </c>
      <c r="B107" s="22" t="s">
        <v>10</v>
      </c>
      <c r="C107" s="22" t="s">
        <v>438</v>
      </c>
      <c r="D107" s="22" t="s">
        <v>11</v>
      </c>
      <c r="E107" s="22">
        <v>10000000</v>
      </c>
      <c r="F107" s="22">
        <v>23</v>
      </c>
      <c r="G107" s="22">
        <v>10000000</v>
      </c>
      <c r="H107" s="22">
        <v>730000</v>
      </c>
      <c r="I107" s="22">
        <v>500000</v>
      </c>
      <c r="J107" s="22">
        <v>1200000</v>
      </c>
      <c r="K107" s="22">
        <v>30000000</v>
      </c>
      <c r="L107" s="22">
        <v>32430000</v>
      </c>
      <c r="M107" s="22">
        <v>42430000</v>
      </c>
      <c r="N107" s="22">
        <v>11000000</v>
      </c>
      <c r="O107" s="22">
        <v>3600000</v>
      </c>
      <c r="P107" s="22">
        <v>3916000</v>
      </c>
      <c r="Q107" s="22">
        <v>525798</v>
      </c>
      <c r="R107" s="22"/>
      <c r="S107" s="22">
        <v>37988202</v>
      </c>
      <c r="T107" s="22">
        <v>8</v>
      </c>
      <c r="U107" s="22">
        <v>2023</v>
      </c>
    </row>
    <row r="108" spans="1:21" x14ac:dyDescent="0.3">
      <c r="A108" s="22" t="s">
        <v>14</v>
      </c>
      <c r="B108" s="22" t="s">
        <v>15</v>
      </c>
      <c r="C108" s="22" t="s">
        <v>438</v>
      </c>
      <c r="D108" s="22" t="s">
        <v>16</v>
      </c>
      <c r="E108" s="22">
        <v>11000000</v>
      </c>
      <c r="F108" s="22">
        <v>23</v>
      </c>
      <c r="G108" s="22">
        <v>11000000</v>
      </c>
      <c r="H108" s="22">
        <v>730000</v>
      </c>
      <c r="I108" s="22">
        <v>500000</v>
      </c>
      <c r="J108" s="22">
        <v>1200000</v>
      </c>
      <c r="K108" s="22">
        <v>3500000</v>
      </c>
      <c r="L108" s="22">
        <v>5930000</v>
      </c>
      <c r="M108" s="22">
        <v>16930000</v>
      </c>
      <c r="N108" s="22">
        <v>11000000</v>
      </c>
      <c r="O108" s="22">
        <v>3600000</v>
      </c>
      <c r="P108" s="22">
        <v>116500</v>
      </c>
      <c r="Q108" s="22">
        <v>525798</v>
      </c>
      <c r="R108" s="22"/>
      <c r="S108" s="22">
        <v>16287702</v>
      </c>
      <c r="T108" s="22">
        <v>8</v>
      </c>
      <c r="U108" s="22">
        <v>2023</v>
      </c>
    </row>
    <row r="109" spans="1:21" x14ac:dyDescent="0.3">
      <c r="A109" s="22" t="s">
        <v>19</v>
      </c>
      <c r="B109" s="22" t="s">
        <v>20</v>
      </c>
      <c r="C109" s="22" t="s">
        <v>438</v>
      </c>
      <c r="D109" s="22" t="s">
        <v>21</v>
      </c>
      <c r="E109" s="22">
        <v>11000000</v>
      </c>
      <c r="F109" s="22">
        <v>23</v>
      </c>
      <c r="G109" s="22">
        <v>11000000</v>
      </c>
      <c r="H109" s="22">
        <v>730000</v>
      </c>
      <c r="I109" s="22">
        <v>500000</v>
      </c>
      <c r="J109" s="22">
        <v>1200000</v>
      </c>
      <c r="K109" s="22">
        <v>3500000</v>
      </c>
      <c r="L109" s="22">
        <v>5930000</v>
      </c>
      <c r="M109" s="22">
        <v>16930000</v>
      </c>
      <c r="N109" s="22">
        <v>11000000</v>
      </c>
      <c r="O109" s="22">
        <v>3600000</v>
      </c>
      <c r="P109" s="22">
        <v>116500</v>
      </c>
      <c r="Q109" s="22">
        <v>525798</v>
      </c>
      <c r="R109" s="22"/>
      <c r="S109" s="22">
        <v>16287702</v>
      </c>
      <c r="T109" s="22">
        <v>8</v>
      </c>
      <c r="U109" s="22">
        <v>2023</v>
      </c>
    </row>
    <row r="110" spans="1:21" x14ac:dyDescent="0.3">
      <c r="A110" s="22" t="s">
        <v>24</v>
      </c>
      <c r="B110" s="22" t="s">
        <v>25</v>
      </c>
      <c r="C110" s="22" t="s">
        <v>439</v>
      </c>
      <c r="D110" s="22" t="s">
        <v>26</v>
      </c>
      <c r="E110" s="22">
        <v>5007600</v>
      </c>
      <c r="F110" s="22">
        <v>23</v>
      </c>
      <c r="G110" s="22">
        <v>5007600</v>
      </c>
      <c r="H110" s="22">
        <v>730000</v>
      </c>
      <c r="I110" s="22">
        <v>500000</v>
      </c>
      <c r="J110" s="22">
        <v>1200000</v>
      </c>
      <c r="K110" s="22">
        <v>3500000</v>
      </c>
      <c r="L110" s="22">
        <v>5930000</v>
      </c>
      <c r="M110" s="22">
        <v>10937600</v>
      </c>
      <c r="N110" s="22">
        <v>11000000</v>
      </c>
      <c r="O110" s="22">
        <v>3600000</v>
      </c>
      <c r="P110" s="22">
        <v>0</v>
      </c>
      <c r="Q110" s="22">
        <v>525798</v>
      </c>
      <c r="R110" s="22"/>
      <c r="S110" s="22">
        <v>10411802</v>
      </c>
      <c r="T110" s="22">
        <v>8</v>
      </c>
      <c r="U110" s="22">
        <v>2023</v>
      </c>
    </row>
    <row r="111" spans="1:21" x14ac:dyDescent="0.3">
      <c r="A111" s="22" t="s">
        <v>29</v>
      </c>
      <c r="B111" s="22" t="s">
        <v>30</v>
      </c>
      <c r="C111" s="22" t="s">
        <v>439</v>
      </c>
      <c r="D111" s="22" t="s">
        <v>26</v>
      </c>
      <c r="E111" s="22">
        <v>5007600</v>
      </c>
      <c r="F111" s="22">
        <v>23</v>
      </c>
      <c r="G111" s="22">
        <v>5007600</v>
      </c>
      <c r="H111" s="22">
        <v>730000</v>
      </c>
      <c r="I111" s="22">
        <v>500000</v>
      </c>
      <c r="J111" s="22">
        <v>1200000</v>
      </c>
      <c r="K111" s="22">
        <v>3500000</v>
      </c>
      <c r="L111" s="22">
        <v>5930000</v>
      </c>
      <c r="M111" s="22">
        <v>10937600</v>
      </c>
      <c r="N111" s="22">
        <v>11000000</v>
      </c>
      <c r="O111" s="22">
        <v>3600000</v>
      </c>
      <c r="P111" s="22">
        <v>0</v>
      </c>
      <c r="Q111" s="22">
        <v>525798</v>
      </c>
      <c r="R111" s="22"/>
      <c r="S111" s="22">
        <v>10411802</v>
      </c>
      <c r="T111" s="22">
        <v>8</v>
      </c>
      <c r="U111" s="22">
        <v>2023</v>
      </c>
    </row>
    <row r="112" spans="1:21" x14ac:dyDescent="0.3">
      <c r="A112" s="22" t="s">
        <v>32</v>
      </c>
      <c r="B112" s="22" t="s">
        <v>33</v>
      </c>
      <c r="C112" s="22" t="s">
        <v>439</v>
      </c>
      <c r="D112" s="22" t="s">
        <v>26</v>
      </c>
      <c r="E112" s="22">
        <v>5007600</v>
      </c>
      <c r="F112" s="22">
        <v>23</v>
      </c>
      <c r="G112" s="22">
        <v>5007600</v>
      </c>
      <c r="H112" s="22">
        <v>730000</v>
      </c>
      <c r="I112" s="22">
        <v>500000</v>
      </c>
      <c r="J112" s="22">
        <v>1200000</v>
      </c>
      <c r="K112" s="22">
        <v>3500000</v>
      </c>
      <c r="L112" s="22">
        <v>5930000</v>
      </c>
      <c r="M112" s="22">
        <v>10937600</v>
      </c>
      <c r="N112" s="22">
        <v>11000000</v>
      </c>
      <c r="O112" s="22">
        <v>3600000</v>
      </c>
      <c r="P112" s="22">
        <v>0</v>
      </c>
      <c r="Q112" s="22">
        <v>525798</v>
      </c>
      <c r="R112" s="22"/>
      <c r="S112" s="22">
        <v>10411802</v>
      </c>
      <c r="T112" s="22">
        <v>8</v>
      </c>
      <c r="U112" s="22">
        <v>2023</v>
      </c>
    </row>
    <row r="113" spans="1:21" x14ac:dyDescent="0.3">
      <c r="A113" s="22" t="s">
        <v>35</v>
      </c>
      <c r="B113" s="22" t="s">
        <v>36</v>
      </c>
      <c r="C113" s="22" t="s">
        <v>439</v>
      </c>
      <c r="D113" s="22" t="s">
        <v>26</v>
      </c>
      <c r="E113" s="22">
        <v>5007600</v>
      </c>
      <c r="F113" s="22">
        <v>23</v>
      </c>
      <c r="G113" s="22">
        <v>5007600</v>
      </c>
      <c r="H113" s="22">
        <v>730000</v>
      </c>
      <c r="I113" s="22">
        <v>500000</v>
      </c>
      <c r="J113" s="22">
        <v>1200000</v>
      </c>
      <c r="K113" s="22">
        <v>3500000</v>
      </c>
      <c r="L113" s="22">
        <v>5930000</v>
      </c>
      <c r="M113" s="22">
        <v>10937600</v>
      </c>
      <c r="N113" s="22">
        <v>11000000</v>
      </c>
      <c r="O113" s="22">
        <v>3600000</v>
      </c>
      <c r="P113" s="22">
        <v>0</v>
      </c>
      <c r="Q113" s="22">
        <v>525798</v>
      </c>
      <c r="R113" s="22"/>
      <c r="S113" s="22">
        <v>10411802</v>
      </c>
      <c r="T113" s="22">
        <v>8</v>
      </c>
      <c r="U113" s="22">
        <v>2023</v>
      </c>
    </row>
    <row r="114" spans="1:21" x14ac:dyDescent="0.3">
      <c r="A114" s="22" t="s">
        <v>38</v>
      </c>
      <c r="B114" s="22" t="s">
        <v>39</v>
      </c>
      <c r="C114" s="22" t="s">
        <v>439</v>
      </c>
      <c r="D114" s="22" t="s">
        <v>26</v>
      </c>
      <c r="E114" s="22">
        <v>5007600</v>
      </c>
      <c r="F114" s="22">
        <v>23</v>
      </c>
      <c r="G114" s="22">
        <v>5007600</v>
      </c>
      <c r="H114" s="22">
        <v>730000</v>
      </c>
      <c r="I114" s="22">
        <v>500000</v>
      </c>
      <c r="J114" s="22">
        <v>1200000</v>
      </c>
      <c r="K114" s="22">
        <v>3500000</v>
      </c>
      <c r="L114" s="22">
        <v>5930000</v>
      </c>
      <c r="M114" s="22">
        <v>10937600</v>
      </c>
      <c r="N114" s="22">
        <v>11000000</v>
      </c>
      <c r="O114" s="22">
        <v>3600000</v>
      </c>
      <c r="P114" s="22">
        <v>0</v>
      </c>
      <c r="Q114" s="22">
        <v>525798</v>
      </c>
      <c r="R114" s="22"/>
      <c r="S114" s="22">
        <v>10411802</v>
      </c>
      <c r="T114" s="22">
        <v>8</v>
      </c>
      <c r="U114" s="22">
        <v>2023</v>
      </c>
    </row>
    <row r="115" spans="1:21" x14ac:dyDescent="0.3">
      <c r="A115" s="22" t="s">
        <v>41</v>
      </c>
      <c r="B115" s="22" t="s">
        <v>42</v>
      </c>
      <c r="C115" s="22" t="s">
        <v>439</v>
      </c>
      <c r="D115" s="22" t="s">
        <v>26</v>
      </c>
      <c r="E115" s="22">
        <v>5007600</v>
      </c>
      <c r="F115" s="22">
        <v>23</v>
      </c>
      <c r="G115" s="22">
        <v>5007600</v>
      </c>
      <c r="H115" s="22">
        <v>730000</v>
      </c>
      <c r="I115" s="22">
        <v>500000</v>
      </c>
      <c r="J115" s="22">
        <v>1200000</v>
      </c>
      <c r="K115" s="22">
        <v>3500000</v>
      </c>
      <c r="L115" s="22">
        <v>5930000</v>
      </c>
      <c r="M115" s="22">
        <v>10937600</v>
      </c>
      <c r="N115" s="22">
        <v>11000000</v>
      </c>
      <c r="O115" s="22">
        <v>3600000</v>
      </c>
      <c r="P115" s="22">
        <v>0</v>
      </c>
      <c r="Q115" s="22">
        <v>525798</v>
      </c>
      <c r="R115" s="22"/>
      <c r="S115" s="22">
        <v>10411802</v>
      </c>
      <c r="T115" s="22">
        <v>8</v>
      </c>
      <c r="U115" s="22">
        <v>2023</v>
      </c>
    </row>
    <row r="116" spans="1:21" x14ac:dyDescent="0.3">
      <c r="A116" s="22" t="s">
        <v>44</v>
      </c>
      <c r="B116" s="22" t="s">
        <v>45</v>
      </c>
      <c r="C116" s="22" t="s">
        <v>439</v>
      </c>
      <c r="D116" s="22" t="s">
        <v>26</v>
      </c>
      <c r="E116" s="22">
        <v>5007600</v>
      </c>
      <c r="F116" s="22">
        <v>23</v>
      </c>
      <c r="G116" s="22">
        <v>5007600</v>
      </c>
      <c r="H116" s="22">
        <v>730000</v>
      </c>
      <c r="I116" s="22">
        <v>500000</v>
      </c>
      <c r="J116" s="22">
        <v>1200000</v>
      </c>
      <c r="K116" s="22">
        <v>3500000</v>
      </c>
      <c r="L116" s="22">
        <v>5930000</v>
      </c>
      <c r="M116" s="22">
        <v>10937600</v>
      </c>
      <c r="N116" s="22">
        <v>11000000</v>
      </c>
      <c r="O116" s="22">
        <v>3600000</v>
      </c>
      <c r="P116" s="22">
        <v>0</v>
      </c>
      <c r="Q116" s="22">
        <v>525798</v>
      </c>
      <c r="R116" s="22"/>
      <c r="S116" s="22">
        <v>10411802</v>
      </c>
      <c r="T116" s="22">
        <v>8</v>
      </c>
      <c r="U116" s="22">
        <v>2023</v>
      </c>
    </row>
    <row r="117" spans="1:21" x14ac:dyDescent="0.3">
      <c r="A117" s="22" t="s">
        <v>47</v>
      </c>
      <c r="B117" s="22" t="s">
        <v>48</v>
      </c>
      <c r="C117" s="22" t="s">
        <v>439</v>
      </c>
      <c r="D117" s="22" t="s">
        <v>26</v>
      </c>
      <c r="E117" s="22">
        <v>5050000</v>
      </c>
      <c r="F117" s="22">
        <v>23</v>
      </c>
      <c r="G117" s="22">
        <v>5050000</v>
      </c>
      <c r="H117" s="22">
        <v>730000</v>
      </c>
      <c r="I117" s="22">
        <v>500000</v>
      </c>
      <c r="J117" s="22">
        <v>1200000</v>
      </c>
      <c r="K117" s="22">
        <v>3500000</v>
      </c>
      <c r="L117" s="22">
        <v>5930000</v>
      </c>
      <c r="M117" s="22">
        <v>10980000</v>
      </c>
      <c r="N117" s="22">
        <v>11000000</v>
      </c>
      <c r="O117" s="22">
        <v>0</v>
      </c>
      <c r="P117" s="22">
        <v>0</v>
      </c>
      <c r="Q117" s="22">
        <v>530250</v>
      </c>
      <c r="R117" s="22"/>
      <c r="S117" s="22">
        <v>10449750</v>
      </c>
      <c r="T117" s="22">
        <v>8</v>
      </c>
      <c r="U117" s="22">
        <v>2023</v>
      </c>
    </row>
    <row r="118" spans="1:21" x14ac:dyDescent="0.3">
      <c r="A118" s="22" t="s">
        <v>49</v>
      </c>
      <c r="B118" s="22" t="s">
        <v>50</v>
      </c>
      <c r="C118" s="22" t="s">
        <v>439</v>
      </c>
      <c r="D118" s="22" t="s">
        <v>26</v>
      </c>
      <c r="E118" s="22">
        <v>5050000</v>
      </c>
      <c r="F118" s="22">
        <v>23</v>
      </c>
      <c r="G118" s="22">
        <v>5050000</v>
      </c>
      <c r="H118" s="22">
        <v>730000</v>
      </c>
      <c r="I118" s="22">
        <v>500000</v>
      </c>
      <c r="J118" s="22">
        <v>1200000</v>
      </c>
      <c r="K118" s="22">
        <v>3500000</v>
      </c>
      <c r="L118" s="22">
        <v>5930000</v>
      </c>
      <c r="M118" s="22">
        <v>10980000</v>
      </c>
      <c r="N118" s="22">
        <v>11000000</v>
      </c>
      <c r="O118" s="22">
        <v>0</v>
      </c>
      <c r="P118" s="22">
        <v>0</v>
      </c>
      <c r="Q118" s="22">
        <v>530250</v>
      </c>
      <c r="R118" s="22"/>
      <c r="S118" s="22">
        <v>10449750</v>
      </c>
      <c r="T118" s="22">
        <v>8</v>
      </c>
      <c r="U118" s="22">
        <v>2023</v>
      </c>
    </row>
    <row r="119" spans="1:21" x14ac:dyDescent="0.3">
      <c r="A119" s="22" t="s">
        <v>51</v>
      </c>
      <c r="B119" s="22" t="s">
        <v>52</v>
      </c>
      <c r="C119" s="22" t="s">
        <v>439</v>
      </c>
      <c r="D119" s="22" t="s">
        <v>26</v>
      </c>
      <c r="E119" s="22">
        <v>5050000</v>
      </c>
      <c r="F119" s="22">
        <v>23</v>
      </c>
      <c r="G119" s="22">
        <v>5050000</v>
      </c>
      <c r="H119" s="22">
        <v>730000</v>
      </c>
      <c r="I119" s="22">
        <v>500000</v>
      </c>
      <c r="J119" s="22">
        <v>1200000</v>
      </c>
      <c r="K119" s="22">
        <v>3500000</v>
      </c>
      <c r="L119" s="22">
        <v>5930000</v>
      </c>
      <c r="M119" s="22">
        <v>10980000</v>
      </c>
      <c r="N119" s="22">
        <v>11000000</v>
      </c>
      <c r="O119" s="22">
        <v>0</v>
      </c>
      <c r="P119" s="22">
        <v>0</v>
      </c>
      <c r="Q119" s="22">
        <v>530250</v>
      </c>
      <c r="R119" s="22"/>
      <c r="S119" s="22">
        <v>10449750</v>
      </c>
      <c r="T119" s="22">
        <v>8</v>
      </c>
      <c r="U119" s="22">
        <v>2023</v>
      </c>
    </row>
    <row r="120" spans="1:21" x14ac:dyDescent="0.3">
      <c r="A120" s="22" t="s">
        <v>53</v>
      </c>
      <c r="B120" s="22" t="s">
        <v>54</v>
      </c>
      <c r="C120" s="22" t="s">
        <v>439</v>
      </c>
      <c r="D120" s="22" t="s">
        <v>26</v>
      </c>
      <c r="E120" s="22">
        <v>5050000</v>
      </c>
      <c r="F120" s="22">
        <v>23</v>
      </c>
      <c r="G120" s="22">
        <v>5050000</v>
      </c>
      <c r="H120" s="22">
        <v>730000</v>
      </c>
      <c r="I120" s="22">
        <v>500000</v>
      </c>
      <c r="J120" s="22">
        <v>1200000</v>
      </c>
      <c r="K120" s="22">
        <v>3500000</v>
      </c>
      <c r="L120" s="22">
        <v>5930000</v>
      </c>
      <c r="M120" s="22">
        <v>10980000</v>
      </c>
      <c r="N120" s="22">
        <v>11000000</v>
      </c>
      <c r="O120" s="22">
        <v>0</v>
      </c>
      <c r="P120" s="22">
        <v>0</v>
      </c>
      <c r="Q120" s="22">
        <v>530250</v>
      </c>
      <c r="R120" s="22"/>
      <c r="S120" s="22">
        <v>10449750</v>
      </c>
      <c r="T120" s="22">
        <v>8</v>
      </c>
      <c r="U120" s="22">
        <v>2023</v>
      </c>
    </row>
    <row r="121" spans="1:21" x14ac:dyDescent="0.3">
      <c r="A121" s="22" t="s">
        <v>55</v>
      </c>
      <c r="B121" s="22" t="s">
        <v>56</v>
      </c>
      <c r="C121" s="22" t="s">
        <v>439</v>
      </c>
      <c r="D121" s="22" t="s">
        <v>26</v>
      </c>
      <c r="E121" s="22">
        <v>5050000</v>
      </c>
      <c r="F121" s="22">
        <v>23</v>
      </c>
      <c r="G121" s="22">
        <v>5050000</v>
      </c>
      <c r="H121" s="22">
        <v>730000</v>
      </c>
      <c r="I121" s="22">
        <v>500000</v>
      </c>
      <c r="J121" s="22">
        <v>1200000</v>
      </c>
      <c r="K121" s="22">
        <v>3500000</v>
      </c>
      <c r="L121" s="22">
        <v>5930000</v>
      </c>
      <c r="M121" s="22">
        <v>10980000</v>
      </c>
      <c r="N121" s="22">
        <v>11000000</v>
      </c>
      <c r="O121" s="22">
        <v>0</v>
      </c>
      <c r="P121" s="22">
        <v>0</v>
      </c>
      <c r="Q121" s="22">
        <v>530250</v>
      </c>
      <c r="R121" s="22"/>
      <c r="S121" s="22">
        <v>10449750</v>
      </c>
      <c r="T121" s="22">
        <v>8</v>
      </c>
      <c r="U121" s="22">
        <v>2023</v>
      </c>
    </row>
    <row r="122" spans="1:21" x14ac:dyDescent="0.3">
      <c r="A122" s="22" t="s">
        <v>9</v>
      </c>
      <c r="B122" s="22" t="s">
        <v>10</v>
      </c>
      <c r="C122" s="22" t="s">
        <v>438</v>
      </c>
      <c r="D122" s="22" t="s">
        <v>11</v>
      </c>
      <c r="E122" s="22">
        <v>10000000</v>
      </c>
      <c r="F122" s="22">
        <v>21</v>
      </c>
      <c r="G122" s="22">
        <v>10000000</v>
      </c>
      <c r="H122" s="22">
        <v>730000</v>
      </c>
      <c r="I122" s="22">
        <v>500000</v>
      </c>
      <c r="J122" s="22">
        <v>1200000</v>
      </c>
      <c r="K122" s="22">
        <v>30000000</v>
      </c>
      <c r="L122" s="22">
        <v>32430000</v>
      </c>
      <c r="M122" s="22">
        <v>42430000</v>
      </c>
      <c r="N122" s="22">
        <v>11000000</v>
      </c>
      <c r="O122" s="22">
        <v>3600000</v>
      </c>
      <c r="P122" s="22">
        <v>3916000</v>
      </c>
      <c r="Q122" s="22">
        <v>525798</v>
      </c>
      <c r="R122" s="22"/>
      <c r="S122" s="22">
        <v>37988202</v>
      </c>
      <c r="T122" s="22">
        <v>9</v>
      </c>
      <c r="U122" s="22">
        <v>2023</v>
      </c>
    </row>
    <row r="123" spans="1:21" x14ac:dyDescent="0.3">
      <c r="A123" s="22" t="s">
        <v>14</v>
      </c>
      <c r="B123" s="22" t="s">
        <v>15</v>
      </c>
      <c r="C123" s="22" t="s">
        <v>438</v>
      </c>
      <c r="D123" s="22" t="s">
        <v>16</v>
      </c>
      <c r="E123" s="22">
        <v>11000000</v>
      </c>
      <c r="F123" s="22">
        <v>21</v>
      </c>
      <c r="G123" s="22">
        <v>11000000</v>
      </c>
      <c r="H123" s="22">
        <v>730000</v>
      </c>
      <c r="I123" s="22">
        <v>500000</v>
      </c>
      <c r="J123" s="22">
        <v>1200000</v>
      </c>
      <c r="K123" s="22">
        <v>3500000</v>
      </c>
      <c r="L123" s="22">
        <v>5930000</v>
      </c>
      <c r="M123" s="22">
        <v>16930000</v>
      </c>
      <c r="N123" s="22">
        <v>11000000</v>
      </c>
      <c r="O123" s="22">
        <v>3600000</v>
      </c>
      <c r="P123" s="22">
        <v>116500</v>
      </c>
      <c r="Q123" s="22">
        <v>525798</v>
      </c>
      <c r="R123" s="22"/>
      <c r="S123" s="22">
        <v>16287702</v>
      </c>
      <c r="T123" s="22">
        <v>9</v>
      </c>
      <c r="U123" s="22">
        <v>2023</v>
      </c>
    </row>
    <row r="124" spans="1:21" x14ac:dyDescent="0.3">
      <c r="A124" s="22" t="s">
        <v>19</v>
      </c>
      <c r="B124" s="22" t="s">
        <v>20</v>
      </c>
      <c r="C124" s="22" t="s">
        <v>438</v>
      </c>
      <c r="D124" s="22" t="s">
        <v>21</v>
      </c>
      <c r="E124" s="22">
        <v>11000000</v>
      </c>
      <c r="F124" s="22">
        <v>21</v>
      </c>
      <c r="G124" s="22">
        <v>11000000</v>
      </c>
      <c r="H124" s="22">
        <v>730000</v>
      </c>
      <c r="I124" s="22">
        <v>500000</v>
      </c>
      <c r="J124" s="22">
        <v>1200000</v>
      </c>
      <c r="K124" s="22">
        <v>3500000</v>
      </c>
      <c r="L124" s="22">
        <v>5930000</v>
      </c>
      <c r="M124" s="22">
        <v>16930000</v>
      </c>
      <c r="N124" s="22">
        <v>11000000</v>
      </c>
      <c r="O124" s="22">
        <v>3600000</v>
      </c>
      <c r="P124" s="22">
        <v>116500</v>
      </c>
      <c r="Q124" s="22">
        <v>525798</v>
      </c>
      <c r="R124" s="22"/>
      <c r="S124" s="22">
        <v>16287702</v>
      </c>
      <c r="T124" s="22">
        <v>9</v>
      </c>
      <c r="U124" s="22">
        <v>2023</v>
      </c>
    </row>
    <row r="125" spans="1:21" x14ac:dyDescent="0.3">
      <c r="A125" s="22" t="s">
        <v>24</v>
      </c>
      <c r="B125" s="22" t="s">
        <v>25</v>
      </c>
      <c r="C125" s="22" t="s">
        <v>439</v>
      </c>
      <c r="D125" s="22" t="s">
        <v>26</v>
      </c>
      <c r="E125" s="22">
        <v>5007600</v>
      </c>
      <c r="F125" s="22">
        <v>21</v>
      </c>
      <c r="G125" s="22">
        <v>5007600</v>
      </c>
      <c r="H125" s="22">
        <v>730000</v>
      </c>
      <c r="I125" s="22">
        <v>500000</v>
      </c>
      <c r="J125" s="22">
        <v>1200000</v>
      </c>
      <c r="K125" s="22">
        <v>3500000</v>
      </c>
      <c r="L125" s="22">
        <v>5930000</v>
      </c>
      <c r="M125" s="22">
        <v>10937600</v>
      </c>
      <c r="N125" s="22">
        <v>11000000</v>
      </c>
      <c r="O125" s="22">
        <v>3600000</v>
      </c>
      <c r="P125" s="22">
        <v>0</v>
      </c>
      <c r="Q125" s="22">
        <v>525798</v>
      </c>
      <c r="R125" s="22"/>
      <c r="S125" s="22">
        <v>10411802</v>
      </c>
      <c r="T125" s="22">
        <v>9</v>
      </c>
      <c r="U125" s="22">
        <v>2023</v>
      </c>
    </row>
    <row r="126" spans="1:21" x14ac:dyDescent="0.3">
      <c r="A126" s="22" t="s">
        <v>29</v>
      </c>
      <c r="B126" s="22" t="s">
        <v>30</v>
      </c>
      <c r="C126" s="22" t="s">
        <v>439</v>
      </c>
      <c r="D126" s="22" t="s">
        <v>26</v>
      </c>
      <c r="E126" s="22">
        <v>5007600</v>
      </c>
      <c r="F126" s="22">
        <v>21</v>
      </c>
      <c r="G126" s="22">
        <v>5007600</v>
      </c>
      <c r="H126" s="22">
        <v>730000</v>
      </c>
      <c r="I126" s="22">
        <v>500000</v>
      </c>
      <c r="J126" s="22">
        <v>1200000</v>
      </c>
      <c r="K126" s="22">
        <v>3500000</v>
      </c>
      <c r="L126" s="22">
        <v>5930000</v>
      </c>
      <c r="M126" s="22">
        <v>10937600</v>
      </c>
      <c r="N126" s="22">
        <v>11000000</v>
      </c>
      <c r="O126" s="22">
        <v>3600000</v>
      </c>
      <c r="P126" s="22">
        <v>0</v>
      </c>
      <c r="Q126" s="22">
        <v>525798</v>
      </c>
      <c r="R126" s="22"/>
      <c r="S126" s="22">
        <v>10411802</v>
      </c>
      <c r="T126" s="22">
        <v>9</v>
      </c>
      <c r="U126" s="22">
        <v>2023</v>
      </c>
    </row>
    <row r="127" spans="1:21" x14ac:dyDescent="0.3">
      <c r="A127" s="22" t="s">
        <v>32</v>
      </c>
      <c r="B127" s="22" t="s">
        <v>33</v>
      </c>
      <c r="C127" s="22" t="s">
        <v>439</v>
      </c>
      <c r="D127" s="22" t="s">
        <v>26</v>
      </c>
      <c r="E127" s="22">
        <v>5007600</v>
      </c>
      <c r="F127" s="22">
        <v>21</v>
      </c>
      <c r="G127" s="22">
        <v>5007600</v>
      </c>
      <c r="H127" s="22">
        <v>730000</v>
      </c>
      <c r="I127" s="22">
        <v>500000</v>
      </c>
      <c r="J127" s="22">
        <v>1200000</v>
      </c>
      <c r="K127" s="22">
        <v>3500000</v>
      </c>
      <c r="L127" s="22">
        <v>5930000</v>
      </c>
      <c r="M127" s="22">
        <v>10937600</v>
      </c>
      <c r="N127" s="22">
        <v>11000000</v>
      </c>
      <c r="O127" s="22">
        <v>3600000</v>
      </c>
      <c r="P127" s="22">
        <v>0</v>
      </c>
      <c r="Q127" s="22">
        <v>525798</v>
      </c>
      <c r="R127" s="22"/>
      <c r="S127" s="22">
        <v>10411802</v>
      </c>
      <c r="T127" s="22">
        <v>9</v>
      </c>
      <c r="U127" s="22">
        <v>2023</v>
      </c>
    </row>
    <row r="128" spans="1:21" x14ac:dyDescent="0.3">
      <c r="A128" s="22" t="s">
        <v>35</v>
      </c>
      <c r="B128" s="22" t="s">
        <v>36</v>
      </c>
      <c r="C128" s="22" t="s">
        <v>439</v>
      </c>
      <c r="D128" s="22" t="s">
        <v>26</v>
      </c>
      <c r="E128" s="22">
        <v>5007600</v>
      </c>
      <c r="F128" s="22">
        <v>21</v>
      </c>
      <c r="G128" s="22">
        <v>5007600</v>
      </c>
      <c r="H128" s="22">
        <v>730000</v>
      </c>
      <c r="I128" s="22">
        <v>500000</v>
      </c>
      <c r="J128" s="22">
        <v>1200000</v>
      </c>
      <c r="K128" s="22">
        <v>3500000</v>
      </c>
      <c r="L128" s="22">
        <v>5930000</v>
      </c>
      <c r="M128" s="22">
        <v>10937600</v>
      </c>
      <c r="N128" s="22">
        <v>11000000</v>
      </c>
      <c r="O128" s="22">
        <v>3600000</v>
      </c>
      <c r="P128" s="22">
        <v>0</v>
      </c>
      <c r="Q128" s="22">
        <v>525798</v>
      </c>
      <c r="R128" s="22"/>
      <c r="S128" s="22">
        <v>10411802</v>
      </c>
      <c r="T128" s="22">
        <v>9</v>
      </c>
      <c r="U128" s="22">
        <v>2023</v>
      </c>
    </row>
    <row r="129" spans="1:21" x14ac:dyDescent="0.3">
      <c r="A129" s="22" t="s">
        <v>38</v>
      </c>
      <c r="B129" s="22" t="s">
        <v>39</v>
      </c>
      <c r="C129" s="22" t="s">
        <v>439</v>
      </c>
      <c r="D129" s="22" t="s">
        <v>26</v>
      </c>
      <c r="E129" s="22">
        <v>5007600</v>
      </c>
      <c r="F129" s="22">
        <v>21</v>
      </c>
      <c r="G129" s="22">
        <v>5007600</v>
      </c>
      <c r="H129" s="22">
        <v>730000</v>
      </c>
      <c r="I129" s="22">
        <v>500000</v>
      </c>
      <c r="J129" s="22">
        <v>1200000</v>
      </c>
      <c r="K129" s="22">
        <v>3500000</v>
      </c>
      <c r="L129" s="22">
        <v>5930000</v>
      </c>
      <c r="M129" s="22">
        <v>10937600</v>
      </c>
      <c r="N129" s="22">
        <v>11000000</v>
      </c>
      <c r="O129" s="22">
        <v>3600000</v>
      </c>
      <c r="P129" s="22">
        <v>0</v>
      </c>
      <c r="Q129" s="22">
        <v>525798</v>
      </c>
      <c r="R129" s="22"/>
      <c r="S129" s="22">
        <v>10411802</v>
      </c>
      <c r="T129" s="22">
        <v>9</v>
      </c>
      <c r="U129" s="22">
        <v>2023</v>
      </c>
    </row>
    <row r="130" spans="1:21" x14ac:dyDescent="0.3">
      <c r="A130" s="22" t="s">
        <v>41</v>
      </c>
      <c r="B130" s="22" t="s">
        <v>42</v>
      </c>
      <c r="C130" s="22" t="s">
        <v>439</v>
      </c>
      <c r="D130" s="22" t="s">
        <v>26</v>
      </c>
      <c r="E130" s="22">
        <v>5007600</v>
      </c>
      <c r="F130" s="22">
        <v>21</v>
      </c>
      <c r="G130" s="22">
        <v>5007600</v>
      </c>
      <c r="H130" s="22">
        <v>730000</v>
      </c>
      <c r="I130" s="22">
        <v>500000</v>
      </c>
      <c r="J130" s="22">
        <v>1200000</v>
      </c>
      <c r="K130" s="22">
        <v>3500000</v>
      </c>
      <c r="L130" s="22">
        <v>5930000</v>
      </c>
      <c r="M130" s="22">
        <v>10937600</v>
      </c>
      <c r="N130" s="22">
        <v>11000000</v>
      </c>
      <c r="O130" s="22">
        <v>3600000</v>
      </c>
      <c r="P130" s="22">
        <v>0</v>
      </c>
      <c r="Q130" s="22">
        <v>525798</v>
      </c>
      <c r="R130" s="22"/>
      <c r="S130" s="22">
        <v>10411802</v>
      </c>
      <c r="T130" s="22">
        <v>9</v>
      </c>
      <c r="U130" s="22">
        <v>2023</v>
      </c>
    </row>
    <row r="131" spans="1:21" x14ac:dyDescent="0.3">
      <c r="A131" s="22" t="s">
        <v>44</v>
      </c>
      <c r="B131" s="22" t="s">
        <v>45</v>
      </c>
      <c r="C131" s="22" t="s">
        <v>439</v>
      </c>
      <c r="D131" s="22" t="s">
        <v>26</v>
      </c>
      <c r="E131" s="22">
        <v>5007600</v>
      </c>
      <c r="F131" s="22">
        <v>21</v>
      </c>
      <c r="G131" s="22">
        <v>5007600</v>
      </c>
      <c r="H131" s="22">
        <v>730000</v>
      </c>
      <c r="I131" s="22">
        <v>500000</v>
      </c>
      <c r="J131" s="22">
        <v>1200000</v>
      </c>
      <c r="K131" s="22">
        <v>3500000</v>
      </c>
      <c r="L131" s="22">
        <v>5930000</v>
      </c>
      <c r="M131" s="22">
        <v>10937600</v>
      </c>
      <c r="N131" s="22">
        <v>11000000</v>
      </c>
      <c r="O131" s="22">
        <v>3600000</v>
      </c>
      <c r="P131" s="22">
        <v>0</v>
      </c>
      <c r="Q131" s="22">
        <v>525798</v>
      </c>
      <c r="R131" s="22"/>
      <c r="S131" s="22">
        <v>10411802</v>
      </c>
      <c r="T131" s="22">
        <v>9</v>
      </c>
      <c r="U131" s="22">
        <v>2023</v>
      </c>
    </row>
    <row r="132" spans="1:21" x14ac:dyDescent="0.3">
      <c r="A132" s="22" t="s">
        <v>47</v>
      </c>
      <c r="B132" s="22" t="s">
        <v>48</v>
      </c>
      <c r="C132" s="22" t="s">
        <v>439</v>
      </c>
      <c r="D132" s="22" t="s">
        <v>26</v>
      </c>
      <c r="E132" s="22">
        <v>5050000</v>
      </c>
      <c r="F132" s="22">
        <v>21</v>
      </c>
      <c r="G132" s="22">
        <v>5050000</v>
      </c>
      <c r="H132" s="22">
        <v>730000</v>
      </c>
      <c r="I132" s="22">
        <v>500000</v>
      </c>
      <c r="J132" s="22">
        <v>1200000</v>
      </c>
      <c r="K132" s="22">
        <v>3500000</v>
      </c>
      <c r="L132" s="22">
        <v>5930000</v>
      </c>
      <c r="M132" s="22">
        <v>10980000</v>
      </c>
      <c r="N132" s="22">
        <v>11000000</v>
      </c>
      <c r="O132" s="22">
        <v>0</v>
      </c>
      <c r="P132" s="22">
        <v>0</v>
      </c>
      <c r="Q132" s="22">
        <v>530250</v>
      </c>
      <c r="R132" s="22"/>
      <c r="S132" s="22">
        <v>10449750</v>
      </c>
      <c r="T132" s="22">
        <v>9</v>
      </c>
      <c r="U132" s="22">
        <v>2023</v>
      </c>
    </row>
    <row r="133" spans="1:21" x14ac:dyDescent="0.3">
      <c r="A133" s="22" t="s">
        <v>49</v>
      </c>
      <c r="B133" s="22" t="s">
        <v>50</v>
      </c>
      <c r="C133" s="22" t="s">
        <v>439</v>
      </c>
      <c r="D133" s="22" t="s">
        <v>26</v>
      </c>
      <c r="E133" s="22">
        <v>5050000</v>
      </c>
      <c r="F133" s="22">
        <v>21</v>
      </c>
      <c r="G133" s="22">
        <v>5050000</v>
      </c>
      <c r="H133" s="22">
        <v>730000</v>
      </c>
      <c r="I133" s="22">
        <v>500000</v>
      </c>
      <c r="J133" s="22">
        <v>1200000</v>
      </c>
      <c r="K133" s="22">
        <v>3500000</v>
      </c>
      <c r="L133" s="22">
        <v>5930000</v>
      </c>
      <c r="M133" s="22">
        <v>10980000</v>
      </c>
      <c r="N133" s="22">
        <v>11000000</v>
      </c>
      <c r="O133" s="22">
        <v>0</v>
      </c>
      <c r="P133" s="22">
        <v>0</v>
      </c>
      <c r="Q133" s="22">
        <v>530250</v>
      </c>
      <c r="R133" s="22"/>
      <c r="S133" s="22">
        <v>10449750</v>
      </c>
      <c r="T133" s="22">
        <v>9</v>
      </c>
      <c r="U133" s="22">
        <v>2023</v>
      </c>
    </row>
    <row r="134" spans="1:21" x14ac:dyDescent="0.3">
      <c r="A134" s="22" t="s">
        <v>51</v>
      </c>
      <c r="B134" s="22" t="s">
        <v>52</v>
      </c>
      <c r="C134" s="22" t="s">
        <v>439</v>
      </c>
      <c r="D134" s="22" t="s">
        <v>26</v>
      </c>
      <c r="E134" s="22">
        <v>5050000</v>
      </c>
      <c r="F134" s="22">
        <v>21</v>
      </c>
      <c r="G134" s="22">
        <v>5050000</v>
      </c>
      <c r="H134" s="22">
        <v>730000</v>
      </c>
      <c r="I134" s="22">
        <v>500000</v>
      </c>
      <c r="J134" s="22">
        <v>1200000</v>
      </c>
      <c r="K134" s="22">
        <v>3500000</v>
      </c>
      <c r="L134" s="22">
        <v>5930000</v>
      </c>
      <c r="M134" s="22">
        <v>10980000</v>
      </c>
      <c r="N134" s="22">
        <v>11000000</v>
      </c>
      <c r="O134" s="22">
        <v>0</v>
      </c>
      <c r="P134" s="22">
        <v>0</v>
      </c>
      <c r="Q134" s="22">
        <v>530250</v>
      </c>
      <c r="R134" s="22"/>
      <c r="S134" s="22">
        <v>10449750</v>
      </c>
      <c r="T134" s="22">
        <v>9</v>
      </c>
      <c r="U134" s="22">
        <v>2023</v>
      </c>
    </row>
    <row r="135" spans="1:21" x14ac:dyDescent="0.3">
      <c r="A135" s="22" t="s">
        <v>53</v>
      </c>
      <c r="B135" s="22" t="s">
        <v>54</v>
      </c>
      <c r="C135" s="22" t="s">
        <v>439</v>
      </c>
      <c r="D135" s="22" t="s">
        <v>26</v>
      </c>
      <c r="E135" s="22">
        <v>5050000</v>
      </c>
      <c r="F135" s="22">
        <v>21</v>
      </c>
      <c r="G135" s="22">
        <v>5050000</v>
      </c>
      <c r="H135" s="22">
        <v>730000</v>
      </c>
      <c r="I135" s="22">
        <v>500000</v>
      </c>
      <c r="J135" s="22">
        <v>1200000</v>
      </c>
      <c r="K135" s="22">
        <v>3500000</v>
      </c>
      <c r="L135" s="22">
        <v>5930000</v>
      </c>
      <c r="M135" s="22">
        <v>10980000</v>
      </c>
      <c r="N135" s="22">
        <v>11000000</v>
      </c>
      <c r="O135" s="22">
        <v>0</v>
      </c>
      <c r="P135" s="22">
        <v>0</v>
      </c>
      <c r="Q135" s="22">
        <v>530250</v>
      </c>
      <c r="R135" s="22"/>
      <c r="S135" s="22">
        <v>10449750</v>
      </c>
      <c r="T135" s="22">
        <v>9</v>
      </c>
      <c r="U135" s="22">
        <v>2023</v>
      </c>
    </row>
    <row r="136" spans="1:21" x14ac:dyDescent="0.3">
      <c r="A136" s="22" t="s">
        <v>55</v>
      </c>
      <c r="B136" s="22" t="s">
        <v>56</v>
      </c>
      <c r="C136" s="22" t="s">
        <v>439</v>
      </c>
      <c r="D136" s="22" t="s">
        <v>26</v>
      </c>
      <c r="E136" s="22">
        <v>5050000</v>
      </c>
      <c r="F136" s="22">
        <v>21</v>
      </c>
      <c r="G136" s="22">
        <v>5050000</v>
      </c>
      <c r="H136" s="22">
        <v>730000</v>
      </c>
      <c r="I136" s="22">
        <v>500000</v>
      </c>
      <c r="J136" s="22">
        <v>1200000</v>
      </c>
      <c r="K136" s="22">
        <v>3500000</v>
      </c>
      <c r="L136" s="22">
        <v>5930000</v>
      </c>
      <c r="M136" s="22">
        <v>10980000</v>
      </c>
      <c r="N136" s="22">
        <v>11000000</v>
      </c>
      <c r="O136" s="22">
        <v>0</v>
      </c>
      <c r="P136" s="22">
        <v>0</v>
      </c>
      <c r="Q136" s="22">
        <v>530250</v>
      </c>
      <c r="R136" s="22"/>
      <c r="S136" s="22">
        <v>10449750</v>
      </c>
      <c r="T136" s="22">
        <v>9</v>
      </c>
      <c r="U136" s="22">
        <v>2023</v>
      </c>
    </row>
    <row r="137" spans="1:21" x14ac:dyDescent="0.3">
      <c r="A137" s="22" t="s">
        <v>9</v>
      </c>
      <c r="B137" s="22" t="s">
        <v>10</v>
      </c>
      <c r="C137" s="22" t="s">
        <v>438</v>
      </c>
      <c r="D137" s="22" t="s">
        <v>11</v>
      </c>
      <c r="E137" s="22">
        <v>10000000</v>
      </c>
      <c r="F137" s="22">
        <v>22</v>
      </c>
      <c r="G137" s="22">
        <v>10000000</v>
      </c>
      <c r="H137" s="22">
        <v>730000</v>
      </c>
      <c r="I137" s="22">
        <v>500000</v>
      </c>
      <c r="J137" s="22">
        <v>1200000</v>
      </c>
      <c r="K137" s="22">
        <v>30000000</v>
      </c>
      <c r="L137" s="22">
        <v>32430000</v>
      </c>
      <c r="M137" s="22">
        <v>42430000</v>
      </c>
      <c r="N137" s="22">
        <v>11000000</v>
      </c>
      <c r="O137" s="22">
        <v>3600000</v>
      </c>
      <c r="P137" s="22">
        <v>3916000</v>
      </c>
      <c r="Q137" s="22">
        <v>525798</v>
      </c>
      <c r="R137" s="22"/>
      <c r="S137" s="22">
        <v>37988202</v>
      </c>
      <c r="T137" s="22">
        <v>10</v>
      </c>
      <c r="U137" s="22">
        <v>2023</v>
      </c>
    </row>
    <row r="138" spans="1:21" x14ac:dyDescent="0.3">
      <c r="A138" s="22" t="s">
        <v>14</v>
      </c>
      <c r="B138" s="22" t="s">
        <v>15</v>
      </c>
      <c r="C138" s="22" t="s">
        <v>438</v>
      </c>
      <c r="D138" s="22" t="s">
        <v>16</v>
      </c>
      <c r="E138" s="22">
        <v>11000000</v>
      </c>
      <c r="F138" s="22">
        <v>22</v>
      </c>
      <c r="G138" s="22">
        <v>11000000</v>
      </c>
      <c r="H138" s="22">
        <v>730000</v>
      </c>
      <c r="I138" s="22">
        <v>500000</v>
      </c>
      <c r="J138" s="22">
        <v>1200000</v>
      </c>
      <c r="K138" s="22">
        <v>3500000</v>
      </c>
      <c r="L138" s="22">
        <v>5930000</v>
      </c>
      <c r="M138" s="22">
        <v>16930000</v>
      </c>
      <c r="N138" s="22">
        <v>11000000</v>
      </c>
      <c r="O138" s="22">
        <v>3600000</v>
      </c>
      <c r="P138" s="22">
        <v>116500</v>
      </c>
      <c r="Q138" s="22">
        <v>525798</v>
      </c>
      <c r="R138" s="22"/>
      <c r="S138" s="22">
        <v>16287702</v>
      </c>
      <c r="T138" s="22">
        <v>10</v>
      </c>
      <c r="U138" s="22">
        <v>2023</v>
      </c>
    </row>
    <row r="139" spans="1:21" x14ac:dyDescent="0.3">
      <c r="A139" s="22" t="s">
        <v>19</v>
      </c>
      <c r="B139" s="22" t="s">
        <v>20</v>
      </c>
      <c r="C139" s="22" t="s">
        <v>438</v>
      </c>
      <c r="D139" s="22" t="s">
        <v>21</v>
      </c>
      <c r="E139" s="22">
        <v>11000000</v>
      </c>
      <c r="F139" s="22">
        <v>22</v>
      </c>
      <c r="G139" s="22">
        <v>11000000</v>
      </c>
      <c r="H139" s="22">
        <v>730000</v>
      </c>
      <c r="I139" s="22">
        <v>500000</v>
      </c>
      <c r="J139" s="22">
        <v>1200000</v>
      </c>
      <c r="K139" s="22">
        <v>3500000</v>
      </c>
      <c r="L139" s="22">
        <v>5930000</v>
      </c>
      <c r="M139" s="22">
        <v>16930000</v>
      </c>
      <c r="N139" s="22">
        <v>11000000</v>
      </c>
      <c r="O139" s="22">
        <v>3600000</v>
      </c>
      <c r="P139" s="22">
        <v>116500</v>
      </c>
      <c r="Q139" s="22">
        <v>525798</v>
      </c>
      <c r="R139" s="22"/>
      <c r="S139" s="22">
        <v>16287702</v>
      </c>
      <c r="T139" s="22">
        <v>10</v>
      </c>
      <c r="U139" s="22">
        <v>2023</v>
      </c>
    </row>
    <row r="140" spans="1:21" x14ac:dyDescent="0.3">
      <c r="A140" s="22" t="s">
        <v>24</v>
      </c>
      <c r="B140" s="22" t="s">
        <v>25</v>
      </c>
      <c r="C140" s="22" t="s">
        <v>439</v>
      </c>
      <c r="D140" s="22" t="s">
        <v>26</v>
      </c>
      <c r="E140" s="22">
        <v>5007600</v>
      </c>
      <c r="F140" s="22">
        <v>22</v>
      </c>
      <c r="G140" s="22">
        <v>5007600</v>
      </c>
      <c r="H140" s="22">
        <v>730000</v>
      </c>
      <c r="I140" s="22">
        <v>500000</v>
      </c>
      <c r="J140" s="22">
        <v>1200000</v>
      </c>
      <c r="K140" s="22">
        <v>3500000</v>
      </c>
      <c r="L140" s="22">
        <v>5930000</v>
      </c>
      <c r="M140" s="22">
        <v>10937600</v>
      </c>
      <c r="N140" s="22">
        <v>11000000</v>
      </c>
      <c r="O140" s="22">
        <v>3600000</v>
      </c>
      <c r="P140" s="22">
        <v>0</v>
      </c>
      <c r="Q140" s="22">
        <v>525798</v>
      </c>
      <c r="R140" s="22"/>
      <c r="S140" s="22">
        <v>10411802</v>
      </c>
      <c r="T140" s="22">
        <v>10</v>
      </c>
      <c r="U140" s="22">
        <v>2023</v>
      </c>
    </row>
    <row r="141" spans="1:21" x14ac:dyDescent="0.3">
      <c r="A141" s="22" t="s">
        <v>29</v>
      </c>
      <c r="B141" s="22" t="s">
        <v>30</v>
      </c>
      <c r="C141" s="22" t="s">
        <v>439</v>
      </c>
      <c r="D141" s="22" t="s">
        <v>26</v>
      </c>
      <c r="E141" s="22">
        <v>5007600</v>
      </c>
      <c r="F141" s="22">
        <v>22</v>
      </c>
      <c r="G141" s="22">
        <v>5007600</v>
      </c>
      <c r="H141" s="22">
        <v>730000</v>
      </c>
      <c r="I141" s="22">
        <v>500000</v>
      </c>
      <c r="J141" s="22">
        <v>1200000</v>
      </c>
      <c r="K141" s="22">
        <v>3500000</v>
      </c>
      <c r="L141" s="22">
        <v>5930000</v>
      </c>
      <c r="M141" s="22">
        <v>10937600</v>
      </c>
      <c r="N141" s="22">
        <v>11000000</v>
      </c>
      <c r="O141" s="22">
        <v>3600000</v>
      </c>
      <c r="P141" s="22">
        <v>0</v>
      </c>
      <c r="Q141" s="22">
        <v>525798</v>
      </c>
      <c r="R141" s="22"/>
      <c r="S141" s="22">
        <v>10411802</v>
      </c>
      <c r="T141" s="22">
        <v>10</v>
      </c>
      <c r="U141" s="22">
        <v>2023</v>
      </c>
    </row>
    <row r="142" spans="1:21" x14ac:dyDescent="0.3">
      <c r="A142" s="22" t="s">
        <v>32</v>
      </c>
      <c r="B142" s="22" t="s">
        <v>33</v>
      </c>
      <c r="C142" s="22" t="s">
        <v>439</v>
      </c>
      <c r="D142" s="22" t="s">
        <v>26</v>
      </c>
      <c r="E142" s="22">
        <v>5007600</v>
      </c>
      <c r="F142" s="22">
        <v>22</v>
      </c>
      <c r="G142" s="22">
        <v>5007600</v>
      </c>
      <c r="H142" s="22">
        <v>730000</v>
      </c>
      <c r="I142" s="22">
        <v>500000</v>
      </c>
      <c r="J142" s="22">
        <v>1200000</v>
      </c>
      <c r="K142" s="22">
        <v>3500000</v>
      </c>
      <c r="L142" s="22">
        <v>5930000</v>
      </c>
      <c r="M142" s="22">
        <v>10937600</v>
      </c>
      <c r="N142" s="22">
        <v>11000000</v>
      </c>
      <c r="O142" s="22">
        <v>3600000</v>
      </c>
      <c r="P142" s="22">
        <v>0</v>
      </c>
      <c r="Q142" s="22">
        <v>525798</v>
      </c>
      <c r="R142" s="22"/>
      <c r="S142" s="22">
        <v>10411802</v>
      </c>
      <c r="T142" s="22">
        <v>10</v>
      </c>
      <c r="U142" s="22">
        <v>2023</v>
      </c>
    </row>
    <row r="143" spans="1:21" x14ac:dyDescent="0.3">
      <c r="A143" s="22" t="s">
        <v>35</v>
      </c>
      <c r="B143" s="22" t="s">
        <v>36</v>
      </c>
      <c r="C143" s="22" t="s">
        <v>439</v>
      </c>
      <c r="D143" s="22" t="s">
        <v>26</v>
      </c>
      <c r="E143" s="22">
        <v>5007600</v>
      </c>
      <c r="F143" s="22">
        <v>22</v>
      </c>
      <c r="G143" s="22">
        <v>5007600</v>
      </c>
      <c r="H143" s="22">
        <v>730000</v>
      </c>
      <c r="I143" s="22">
        <v>500000</v>
      </c>
      <c r="J143" s="22">
        <v>1200000</v>
      </c>
      <c r="K143" s="22">
        <v>3500000</v>
      </c>
      <c r="L143" s="22">
        <v>5930000</v>
      </c>
      <c r="M143" s="22">
        <v>10937600</v>
      </c>
      <c r="N143" s="22">
        <v>11000000</v>
      </c>
      <c r="O143" s="22">
        <v>3600000</v>
      </c>
      <c r="P143" s="22">
        <v>0</v>
      </c>
      <c r="Q143" s="22">
        <v>525798</v>
      </c>
      <c r="R143" s="22"/>
      <c r="S143" s="22">
        <v>10411802</v>
      </c>
      <c r="T143" s="22">
        <v>10</v>
      </c>
      <c r="U143" s="22">
        <v>2023</v>
      </c>
    </row>
    <row r="144" spans="1:21" x14ac:dyDescent="0.3">
      <c r="A144" s="22" t="s">
        <v>38</v>
      </c>
      <c r="B144" s="22" t="s">
        <v>39</v>
      </c>
      <c r="C144" s="22" t="s">
        <v>439</v>
      </c>
      <c r="D144" s="22" t="s">
        <v>26</v>
      </c>
      <c r="E144" s="22">
        <v>5007600</v>
      </c>
      <c r="F144" s="22">
        <v>22</v>
      </c>
      <c r="G144" s="22">
        <v>5007600</v>
      </c>
      <c r="H144" s="22">
        <v>730000</v>
      </c>
      <c r="I144" s="22">
        <v>500000</v>
      </c>
      <c r="J144" s="22">
        <v>1200000</v>
      </c>
      <c r="K144" s="22">
        <v>3500000</v>
      </c>
      <c r="L144" s="22">
        <v>5930000</v>
      </c>
      <c r="M144" s="22">
        <v>10937600</v>
      </c>
      <c r="N144" s="22">
        <v>11000000</v>
      </c>
      <c r="O144" s="22">
        <v>3600000</v>
      </c>
      <c r="P144" s="22">
        <v>0</v>
      </c>
      <c r="Q144" s="22">
        <v>525798</v>
      </c>
      <c r="R144" s="22"/>
      <c r="S144" s="22">
        <v>10411802</v>
      </c>
      <c r="T144" s="22">
        <v>10</v>
      </c>
      <c r="U144" s="22">
        <v>2023</v>
      </c>
    </row>
    <row r="145" spans="1:21" x14ac:dyDescent="0.3">
      <c r="A145" s="22" t="s">
        <v>41</v>
      </c>
      <c r="B145" s="22" t="s">
        <v>42</v>
      </c>
      <c r="C145" s="22" t="s">
        <v>439</v>
      </c>
      <c r="D145" s="22" t="s">
        <v>26</v>
      </c>
      <c r="E145" s="22">
        <v>5007600</v>
      </c>
      <c r="F145" s="22">
        <v>22</v>
      </c>
      <c r="G145" s="22">
        <v>5007600</v>
      </c>
      <c r="H145" s="22">
        <v>730000</v>
      </c>
      <c r="I145" s="22">
        <v>500000</v>
      </c>
      <c r="J145" s="22">
        <v>1200000</v>
      </c>
      <c r="K145" s="22">
        <v>3500000</v>
      </c>
      <c r="L145" s="22">
        <v>5930000</v>
      </c>
      <c r="M145" s="22">
        <v>10937600</v>
      </c>
      <c r="N145" s="22">
        <v>11000000</v>
      </c>
      <c r="O145" s="22">
        <v>3600000</v>
      </c>
      <c r="P145" s="22">
        <v>0</v>
      </c>
      <c r="Q145" s="22">
        <v>525798</v>
      </c>
      <c r="R145" s="22"/>
      <c r="S145" s="22">
        <v>10411802</v>
      </c>
      <c r="T145" s="22">
        <v>10</v>
      </c>
      <c r="U145" s="22">
        <v>2023</v>
      </c>
    </row>
    <row r="146" spans="1:21" x14ac:dyDescent="0.3">
      <c r="A146" s="22" t="s">
        <v>44</v>
      </c>
      <c r="B146" s="22" t="s">
        <v>45</v>
      </c>
      <c r="C146" s="22" t="s">
        <v>439</v>
      </c>
      <c r="D146" s="22" t="s">
        <v>26</v>
      </c>
      <c r="E146" s="22">
        <v>5007600</v>
      </c>
      <c r="F146" s="22">
        <v>22</v>
      </c>
      <c r="G146" s="22">
        <v>5007600</v>
      </c>
      <c r="H146" s="22">
        <v>730000</v>
      </c>
      <c r="I146" s="22">
        <v>500000</v>
      </c>
      <c r="J146" s="22">
        <v>1200000</v>
      </c>
      <c r="K146" s="22">
        <v>3500000</v>
      </c>
      <c r="L146" s="22">
        <v>5930000</v>
      </c>
      <c r="M146" s="22">
        <v>10937600</v>
      </c>
      <c r="N146" s="22">
        <v>11000000</v>
      </c>
      <c r="O146" s="22">
        <v>3600000</v>
      </c>
      <c r="P146" s="22">
        <v>0</v>
      </c>
      <c r="Q146" s="22">
        <v>525798</v>
      </c>
      <c r="R146" s="22"/>
      <c r="S146" s="22">
        <v>10411802</v>
      </c>
      <c r="T146" s="22">
        <v>10</v>
      </c>
      <c r="U146" s="22">
        <v>2023</v>
      </c>
    </row>
    <row r="147" spans="1:21" x14ac:dyDescent="0.3">
      <c r="A147" s="22" t="s">
        <v>47</v>
      </c>
      <c r="B147" s="22" t="s">
        <v>48</v>
      </c>
      <c r="C147" s="22" t="s">
        <v>439</v>
      </c>
      <c r="D147" s="22" t="s">
        <v>26</v>
      </c>
      <c r="E147" s="22">
        <v>5050000</v>
      </c>
      <c r="F147" s="22">
        <v>22</v>
      </c>
      <c r="G147" s="22">
        <v>5050000</v>
      </c>
      <c r="H147" s="22">
        <v>730000</v>
      </c>
      <c r="I147" s="22">
        <v>500000</v>
      </c>
      <c r="J147" s="22">
        <v>1200000</v>
      </c>
      <c r="K147" s="22">
        <v>3500000</v>
      </c>
      <c r="L147" s="22">
        <v>5930000</v>
      </c>
      <c r="M147" s="22">
        <v>10980000</v>
      </c>
      <c r="N147" s="22">
        <v>11000000</v>
      </c>
      <c r="O147" s="22">
        <v>0</v>
      </c>
      <c r="P147" s="22">
        <v>0</v>
      </c>
      <c r="Q147" s="22">
        <v>530250</v>
      </c>
      <c r="R147" s="22"/>
      <c r="S147" s="22">
        <v>10449750</v>
      </c>
      <c r="T147" s="22">
        <v>10</v>
      </c>
      <c r="U147" s="22">
        <v>2023</v>
      </c>
    </row>
    <row r="148" spans="1:21" x14ac:dyDescent="0.3">
      <c r="A148" s="22" t="s">
        <v>49</v>
      </c>
      <c r="B148" s="22" t="s">
        <v>50</v>
      </c>
      <c r="C148" s="22" t="s">
        <v>439</v>
      </c>
      <c r="D148" s="22" t="s">
        <v>26</v>
      </c>
      <c r="E148" s="22">
        <v>5050000</v>
      </c>
      <c r="F148" s="22">
        <v>22</v>
      </c>
      <c r="G148" s="22">
        <v>5050000</v>
      </c>
      <c r="H148" s="22">
        <v>730000</v>
      </c>
      <c r="I148" s="22">
        <v>500000</v>
      </c>
      <c r="J148" s="22">
        <v>1200000</v>
      </c>
      <c r="K148" s="22">
        <v>3500000</v>
      </c>
      <c r="L148" s="22">
        <v>5930000</v>
      </c>
      <c r="M148" s="22">
        <v>10980000</v>
      </c>
      <c r="N148" s="22">
        <v>11000000</v>
      </c>
      <c r="O148" s="22">
        <v>0</v>
      </c>
      <c r="P148" s="22">
        <v>0</v>
      </c>
      <c r="Q148" s="22">
        <v>530250</v>
      </c>
      <c r="R148" s="22"/>
      <c r="S148" s="22">
        <v>10449750</v>
      </c>
      <c r="T148" s="22">
        <v>10</v>
      </c>
      <c r="U148" s="22">
        <v>2023</v>
      </c>
    </row>
    <row r="149" spans="1:21" x14ac:dyDescent="0.3">
      <c r="A149" s="22" t="s">
        <v>51</v>
      </c>
      <c r="B149" s="22" t="s">
        <v>52</v>
      </c>
      <c r="C149" s="22" t="s">
        <v>439</v>
      </c>
      <c r="D149" s="22" t="s">
        <v>26</v>
      </c>
      <c r="E149" s="22">
        <v>5050000</v>
      </c>
      <c r="F149" s="22">
        <v>22</v>
      </c>
      <c r="G149" s="22">
        <v>5050000</v>
      </c>
      <c r="H149" s="22">
        <v>730000</v>
      </c>
      <c r="I149" s="22">
        <v>500000</v>
      </c>
      <c r="J149" s="22">
        <v>1200000</v>
      </c>
      <c r="K149" s="22">
        <v>3500000</v>
      </c>
      <c r="L149" s="22">
        <v>5930000</v>
      </c>
      <c r="M149" s="22">
        <v>10980000</v>
      </c>
      <c r="N149" s="22">
        <v>11000000</v>
      </c>
      <c r="O149" s="22">
        <v>0</v>
      </c>
      <c r="P149" s="22">
        <v>0</v>
      </c>
      <c r="Q149" s="22">
        <v>530250</v>
      </c>
      <c r="R149" s="22"/>
      <c r="S149" s="22">
        <v>10449750</v>
      </c>
      <c r="T149" s="22">
        <v>10</v>
      </c>
      <c r="U149" s="22">
        <v>2023</v>
      </c>
    </row>
    <row r="150" spans="1:21" x14ac:dyDescent="0.3">
      <c r="A150" s="22" t="s">
        <v>53</v>
      </c>
      <c r="B150" s="22" t="s">
        <v>54</v>
      </c>
      <c r="C150" s="22" t="s">
        <v>439</v>
      </c>
      <c r="D150" s="22" t="s">
        <v>26</v>
      </c>
      <c r="E150" s="22">
        <v>5050000</v>
      </c>
      <c r="F150" s="22">
        <v>22</v>
      </c>
      <c r="G150" s="22">
        <v>5050000</v>
      </c>
      <c r="H150" s="22">
        <v>730000</v>
      </c>
      <c r="I150" s="22">
        <v>500000</v>
      </c>
      <c r="J150" s="22">
        <v>1200000</v>
      </c>
      <c r="K150" s="22">
        <v>3500000</v>
      </c>
      <c r="L150" s="22">
        <v>5930000</v>
      </c>
      <c r="M150" s="22">
        <v>10980000</v>
      </c>
      <c r="N150" s="22">
        <v>11000000</v>
      </c>
      <c r="O150" s="22">
        <v>0</v>
      </c>
      <c r="P150" s="22">
        <v>0</v>
      </c>
      <c r="Q150" s="22">
        <v>530250</v>
      </c>
      <c r="R150" s="22"/>
      <c r="S150" s="22">
        <v>10449750</v>
      </c>
      <c r="T150" s="22">
        <v>10</v>
      </c>
      <c r="U150" s="22">
        <v>2023</v>
      </c>
    </row>
    <row r="151" spans="1:21" x14ac:dyDescent="0.3">
      <c r="A151" s="22" t="s">
        <v>55</v>
      </c>
      <c r="B151" s="22" t="s">
        <v>56</v>
      </c>
      <c r="C151" s="22" t="s">
        <v>439</v>
      </c>
      <c r="D151" s="22" t="s">
        <v>26</v>
      </c>
      <c r="E151" s="22">
        <v>5050000</v>
      </c>
      <c r="F151" s="22">
        <v>22</v>
      </c>
      <c r="G151" s="22">
        <v>5050000</v>
      </c>
      <c r="H151" s="22">
        <v>730000</v>
      </c>
      <c r="I151" s="22">
        <v>500000</v>
      </c>
      <c r="J151" s="22">
        <v>1200000</v>
      </c>
      <c r="K151" s="22">
        <v>3500000</v>
      </c>
      <c r="L151" s="22">
        <v>5930000</v>
      </c>
      <c r="M151" s="22">
        <v>10980000</v>
      </c>
      <c r="N151" s="22">
        <v>11000000</v>
      </c>
      <c r="O151" s="22">
        <v>0</v>
      </c>
      <c r="P151" s="22">
        <v>0</v>
      </c>
      <c r="Q151" s="22">
        <v>530250</v>
      </c>
      <c r="R151" s="22"/>
      <c r="S151" s="22">
        <v>10449750</v>
      </c>
      <c r="T151" s="22">
        <v>10</v>
      </c>
      <c r="U151" s="22">
        <v>2023</v>
      </c>
    </row>
    <row r="152" spans="1:21" x14ac:dyDescent="0.3">
      <c r="A152" s="22" t="s">
        <v>9</v>
      </c>
      <c r="B152" s="22" t="s">
        <v>10</v>
      </c>
      <c r="C152" s="22" t="s">
        <v>438</v>
      </c>
      <c r="D152" s="22" t="s">
        <v>11</v>
      </c>
      <c r="E152" s="22">
        <v>10000000</v>
      </c>
      <c r="F152" s="22">
        <v>22</v>
      </c>
      <c r="G152" s="22">
        <v>10000000</v>
      </c>
      <c r="H152" s="22">
        <v>730000</v>
      </c>
      <c r="I152" s="22">
        <v>500000</v>
      </c>
      <c r="J152" s="22">
        <v>1200000</v>
      </c>
      <c r="K152" s="22">
        <v>30000000</v>
      </c>
      <c r="L152" s="22">
        <v>32430000</v>
      </c>
      <c r="M152" s="22">
        <v>42430000</v>
      </c>
      <c r="N152" s="22">
        <v>11000000</v>
      </c>
      <c r="O152" s="22">
        <v>3600000</v>
      </c>
      <c r="P152" s="22">
        <v>3916000</v>
      </c>
      <c r="Q152" s="22">
        <v>525798</v>
      </c>
      <c r="R152" s="22"/>
      <c r="S152" s="22">
        <v>37988202</v>
      </c>
      <c r="T152" s="22">
        <v>11</v>
      </c>
      <c r="U152" s="22">
        <v>2023</v>
      </c>
    </row>
    <row r="153" spans="1:21" x14ac:dyDescent="0.3">
      <c r="A153" s="22" t="s">
        <v>14</v>
      </c>
      <c r="B153" s="22" t="s">
        <v>15</v>
      </c>
      <c r="C153" s="22" t="s">
        <v>438</v>
      </c>
      <c r="D153" s="22" t="s">
        <v>16</v>
      </c>
      <c r="E153" s="22">
        <v>11000000</v>
      </c>
      <c r="F153" s="22">
        <v>22</v>
      </c>
      <c r="G153" s="22">
        <v>11000000</v>
      </c>
      <c r="H153" s="22">
        <v>730000</v>
      </c>
      <c r="I153" s="22">
        <v>500000</v>
      </c>
      <c r="J153" s="22">
        <v>1200000</v>
      </c>
      <c r="K153" s="22">
        <v>3500000</v>
      </c>
      <c r="L153" s="22">
        <v>5930000</v>
      </c>
      <c r="M153" s="22">
        <v>16930000</v>
      </c>
      <c r="N153" s="22">
        <v>11000000</v>
      </c>
      <c r="O153" s="22">
        <v>3600000</v>
      </c>
      <c r="P153" s="22">
        <v>116500</v>
      </c>
      <c r="Q153" s="22">
        <v>525798</v>
      </c>
      <c r="R153" s="22"/>
      <c r="S153" s="22">
        <v>16287702</v>
      </c>
      <c r="T153" s="22">
        <v>11</v>
      </c>
      <c r="U153" s="22">
        <v>2023</v>
      </c>
    </row>
    <row r="154" spans="1:21" x14ac:dyDescent="0.3">
      <c r="A154" s="22" t="s">
        <v>19</v>
      </c>
      <c r="B154" s="22" t="s">
        <v>20</v>
      </c>
      <c r="C154" s="22" t="s">
        <v>438</v>
      </c>
      <c r="D154" s="22" t="s">
        <v>21</v>
      </c>
      <c r="E154" s="22">
        <v>11000000</v>
      </c>
      <c r="F154" s="22">
        <v>22</v>
      </c>
      <c r="G154" s="22">
        <v>11000000</v>
      </c>
      <c r="H154" s="22">
        <v>730000</v>
      </c>
      <c r="I154" s="22">
        <v>500000</v>
      </c>
      <c r="J154" s="22">
        <v>1200000</v>
      </c>
      <c r="K154" s="22">
        <v>3500000</v>
      </c>
      <c r="L154" s="22">
        <v>5930000</v>
      </c>
      <c r="M154" s="22">
        <v>16930000</v>
      </c>
      <c r="N154" s="22">
        <v>11000000</v>
      </c>
      <c r="O154" s="22">
        <v>3600000</v>
      </c>
      <c r="P154" s="22">
        <v>116500</v>
      </c>
      <c r="Q154" s="22">
        <v>525798</v>
      </c>
      <c r="R154" s="22"/>
      <c r="S154" s="22">
        <v>16287702</v>
      </c>
      <c r="T154" s="22">
        <v>11</v>
      </c>
      <c r="U154" s="22">
        <v>2023</v>
      </c>
    </row>
    <row r="155" spans="1:21" x14ac:dyDescent="0.3">
      <c r="A155" s="22" t="s">
        <v>24</v>
      </c>
      <c r="B155" s="22" t="s">
        <v>25</v>
      </c>
      <c r="C155" s="22" t="s">
        <v>439</v>
      </c>
      <c r="D155" s="22" t="s">
        <v>26</v>
      </c>
      <c r="E155" s="22">
        <v>5007600</v>
      </c>
      <c r="F155" s="22">
        <v>22</v>
      </c>
      <c r="G155" s="22">
        <v>5007600</v>
      </c>
      <c r="H155" s="22">
        <v>730000</v>
      </c>
      <c r="I155" s="22">
        <v>500000</v>
      </c>
      <c r="J155" s="22">
        <v>1200000</v>
      </c>
      <c r="K155" s="22">
        <v>3500000</v>
      </c>
      <c r="L155" s="22">
        <v>5930000</v>
      </c>
      <c r="M155" s="22">
        <v>10937600</v>
      </c>
      <c r="N155" s="22">
        <v>11000000</v>
      </c>
      <c r="O155" s="22">
        <v>3600000</v>
      </c>
      <c r="P155" s="22">
        <v>0</v>
      </c>
      <c r="Q155" s="22">
        <v>525798</v>
      </c>
      <c r="R155" s="22"/>
      <c r="S155" s="22">
        <v>10411802</v>
      </c>
      <c r="T155" s="22">
        <v>11</v>
      </c>
      <c r="U155" s="22">
        <v>2023</v>
      </c>
    </row>
    <row r="156" spans="1:21" x14ac:dyDescent="0.3">
      <c r="A156" s="22" t="s">
        <v>29</v>
      </c>
      <c r="B156" s="22" t="s">
        <v>30</v>
      </c>
      <c r="C156" s="22" t="s">
        <v>439</v>
      </c>
      <c r="D156" s="22" t="s">
        <v>26</v>
      </c>
      <c r="E156" s="22">
        <v>5007600</v>
      </c>
      <c r="F156" s="22">
        <v>22</v>
      </c>
      <c r="G156" s="22">
        <v>5007600</v>
      </c>
      <c r="H156" s="22">
        <v>730000</v>
      </c>
      <c r="I156" s="22">
        <v>500000</v>
      </c>
      <c r="J156" s="22">
        <v>1200000</v>
      </c>
      <c r="K156" s="22">
        <v>3500000</v>
      </c>
      <c r="L156" s="22">
        <v>5930000</v>
      </c>
      <c r="M156" s="22">
        <v>10937600</v>
      </c>
      <c r="N156" s="22">
        <v>11000000</v>
      </c>
      <c r="O156" s="22">
        <v>3600000</v>
      </c>
      <c r="P156" s="22">
        <v>0</v>
      </c>
      <c r="Q156" s="22">
        <v>525798</v>
      </c>
      <c r="R156" s="22"/>
      <c r="S156" s="22">
        <v>10411802</v>
      </c>
      <c r="T156" s="22">
        <v>11</v>
      </c>
      <c r="U156" s="22">
        <v>2023</v>
      </c>
    </row>
    <row r="157" spans="1:21" x14ac:dyDescent="0.3">
      <c r="A157" s="22" t="s">
        <v>32</v>
      </c>
      <c r="B157" s="22" t="s">
        <v>33</v>
      </c>
      <c r="C157" s="22" t="s">
        <v>439</v>
      </c>
      <c r="D157" s="22" t="s">
        <v>26</v>
      </c>
      <c r="E157" s="22">
        <v>5007600</v>
      </c>
      <c r="F157" s="22">
        <v>22</v>
      </c>
      <c r="G157" s="22">
        <v>5007600</v>
      </c>
      <c r="H157" s="22">
        <v>730000</v>
      </c>
      <c r="I157" s="22">
        <v>500000</v>
      </c>
      <c r="J157" s="22">
        <v>1200000</v>
      </c>
      <c r="K157" s="22">
        <v>3500000</v>
      </c>
      <c r="L157" s="22">
        <v>5930000</v>
      </c>
      <c r="M157" s="22">
        <v>10937600</v>
      </c>
      <c r="N157" s="22">
        <v>11000000</v>
      </c>
      <c r="O157" s="22">
        <v>3600000</v>
      </c>
      <c r="P157" s="22">
        <v>0</v>
      </c>
      <c r="Q157" s="22">
        <v>525798</v>
      </c>
      <c r="R157" s="22"/>
      <c r="S157" s="22">
        <v>10411802</v>
      </c>
      <c r="T157" s="22">
        <v>11</v>
      </c>
      <c r="U157" s="22">
        <v>2023</v>
      </c>
    </row>
    <row r="158" spans="1:21" x14ac:dyDescent="0.3">
      <c r="A158" s="22" t="s">
        <v>35</v>
      </c>
      <c r="B158" s="22" t="s">
        <v>36</v>
      </c>
      <c r="C158" s="22" t="s">
        <v>439</v>
      </c>
      <c r="D158" s="22" t="s">
        <v>26</v>
      </c>
      <c r="E158" s="22">
        <v>5007600</v>
      </c>
      <c r="F158" s="22">
        <v>22</v>
      </c>
      <c r="G158" s="22">
        <v>5007600</v>
      </c>
      <c r="H158" s="22">
        <v>730000</v>
      </c>
      <c r="I158" s="22">
        <v>500000</v>
      </c>
      <c r="J158" s="22">
        <v>1200000</v>
      </c>
      <c r="K158" s="22">
        <v>3500000</v>
      </c>
      <c r="L158" s="22">
        <v>5930000</v>
      </c>
      <c r="M158" s="22">
        <v>10937600</v>
      </c>
      <c r="N158" s="22">
        <v>11000000</v>
      </c>
      <c r="O158" s="22">
        <v>3600000</v>
      </c>
      <c r="P158" s="22">
        <v>0</v>
      </c>
      <c r="Q158" s="22">
        <v>525798</v>
      </c>
      <c r="R158" s="22"/>
      <c r="S158" s="22">
        <v>10411802</v>
      </c>
      <c r="T158" s="22">
        <v>11</v>
      </c>
      <c r="U158" s="22">
        <v>2023</v>
      </c>
    </row>
    <row r="159" spans="1:21" x14ac:dyDescent="0.3">
      <c r="A159" s="22" t="s">
        <v>38</v>
      </c>
      <c r="B159" s="22" t="s">
        <v>39</v>
      </c>
      <c r="C159" s="22" t="s">
        <v>439</v>
      </c>
      <c r="D159" s="22" t="s">
        <v>26</v>
      </c>
      <c r="E159" s="22">
        <v>5007600</v>
      </c>
      <c r="F159" s="22">
        <v>22</v>
      </c>
      <c r="G159" s="22">
        <v>5007600</v>
      </c>
      <c r="H159" s="22">
        <v>730000</v>
      </c>
      <c r="I159" s="22">
        <v>500000</v>
      </c>
      <c r="J159" s="22">
        <v>1200000</v>
      </c>
      <c r="K159" s="22">
        <v>3500000</v>
      </c>
      <c r="L159" s="22">
        <v>5930000</v>
      </c>
      <c r="M159" s="22">
        <v>10937600</v>
      </c>
      <c r="N159" s="22">
        <v>11000000</v>
      </c>
      <c r="O159" s="22">
        <v>3600000</v>
      </c>
      <c r="P159" s="22">
        <v>0</v>
      </c>
      <c r="Q159" s="22">
        <v>525798</v>
      </c>
      <c r="R159" s="22"/>
      <c r="S159" s="22">
        <v>10411802</v>
      </c>
      <c r="T159" s="22">
        <v>11</v>
      </c>
      <c r="U159" s="22">
        <v>2023</v>
      </c>
    </row>
    <row r="160" spans="1:21" x14ac:dyDescent="0.3">
      <c r="A160" s="22" t="s">
        <v>41</v>
      </c>
      <c r="B160" s="22" t="s">
        <v>42</v>
      </c>
      <c r="C160" s="22" t="s">
        <v>439</v>
      </c>
      <c r="D160" s="22" t="s">
        <v>26</v>
      </c>
      <c r="E160" s="22">
        <v>5007600</v>
      </c>
      <c r="F160" s="22">
        <v>22</v>
      </c>
      <c r="G160" s="22">
        <v>5007600</v>
      </c>
      <c r="H160" s="22">
        <v>730000</v>
      </c>
      <c r="I160" s="22">
        <v>500000</v>
      </c>
      <c r="J160" s="22">
        <v>1200000</v>
      </c>
      <c r="K160" s="22">
        <v>3500000</v>
      </c>
      <c r="L160" s="22">
        <v>5930000</v>
      </c>
      <c r="M160" s="22">
        <v>10937600</v>
      </c>
      <c r="N160" s="22">
        <v>11000000</v>
      </c>
      <c r="O160" s="22">
        <v>3600000</v>
      </c>
      <c r="P160" s="22">
        <v>0</v>
      </c>
      <c r="Q160" s="22">
        <v>525798</v>
      </c>
      <c r="R160" s="22"/>
      <c r="S160" s="22">
        <v>10411802</v>
      </c>
      <c r="T160" s="22">
        <v>11</v>
      </c>
      <c r="U160" s="22">
        <v>2023</v>
      </c>
    </row>
    <row r="161" spans="1:21" x14ac:dyDescent="0.3">
      <c r="A161" s="22" t="s">
        <v>44</v>
      </c>
      <c r="B161" s="22" t="s">
        <v>45</v>
      </c>
      <c r="C161" s="22" t="s">
        <v>439</v>
      </c>
      <c r="D161" s="22" t="s">
        <v>26</v>
      </c>
      <c r="E161" s="22">
        <v>5007600</v>
      </c>
      <c r="F161" s="22">
        <v>22</v>
      </c>
      <c r="G161" s="22">
        <v>5007600</v>
      </c>
      <c r="H161" s="22">
        <v>730000</v>
      </c>
      <c r="I161" s="22">
        <v>500000</v>
      </c>
      <c r="J161" s="22">
        <v>1200000</v>
      </c>
      <c r="K161" s="22">
        <v>3500000</v>
      </c>
      <c r="L161" s="22">
        <v>5930000</v>
      </c>
      <c r="M161" s="22">
        <v>10937600</v>
      </c>
      <c r="N161" s="22">
        <v>11000000</v>
      </c>
      <c r="O161" s="22">
        <v>3600000</v>
      </c>
      <c r="P161" s="22">
        <v>0</v>
      </c>
      <c r="Q161" s="22">
        <v>525798</v>
      </c>
      <c r="R161" s="22"/>
      <c r="S161" s="22">
        <v>10411802</v>
      </c>
      <c r="T161" s="22">
        <v>11</v>
      </c>
      <c r="U161" s="22">
        <v>2023</v>
      </c>
    </row>
    <row r="162" spans="1:21" x14ac:dyDescent="0.3">
      <c r="A162" s="22" t="s">
        <v>47</v>
      </c>
      <c r="B162" s="22" t="s">
        <v>48</v>
      </c>
      <c r="C162" s="22" t="s">
        <v>439</v>
      </c>
      <c r="D162" s="22" t="s">
        <v>26</v>
      </c>
      <c r="E162" s="22">
        <v>5050000</v>
      </c>
      <c r="F162" s="22">
        <v>22</v>
      </c>
      <c r="G162" s="22">
        <v>5050000</v>
      </c>
      <c r="H162" s="22">
        <v>730000</v>
      </c>
      <c r="I162" s="22">
        <v>500000</v>
      </c>
      <c r="J162" s="22">
        <v>1200000</v>
      </c>
      <c r="K162" s="22">
        <v>3500000</v>
      </c>
      <c r="L162" s="22">
        <v>5930000</v>
      </c>
      <c r="M162" s="22">
        <v>10980000</v>
      </c>
      <c r="N162" s="22">
        <v>11000000</v>
      </c>
      <c r="O162" s="22">
        <v>0</v>
      </c>
      <c r="P162" s="22">
        <v>0</v>
      </c>
      <c r="Q162" s="22">
        <v>530250</v>
      </c>
      <c r="R162" s="22"/>
      <c r="S162" s="22">
        <v>10449750</v>
      </c>
      <c r="T162" s="22">
        <v>11</v>
      </c>
      <c r="U162" s="22">
        <v>2023</v>
      </c>
    </row>
    <row r="163" spans="1:21" x14ac:dyDescent="0.3">
      <c r="A163" s="22" t="s">
        <v>49</v>
      </c>
      <c r="B163" s="22" t="s">
        <v>50</v>
      </c>
      <c r="C163" s="22" t="s">
        <v>439</v>
      </c>
      <c r="D163" s="22" t="s">
        <v>26</v>
      </c>
      <c r="E163" s="22">
        <v>5050000</v>
      </c>
      <c r="F163" s="22">
        <v>22</v>
      </c>
      <c r="G163" s="22">
        <v>5050000</v>
      </c>
      <c r="H163" s="22">
        <v>730000</v>
      </c>
      <c r="I163" s="22">
        <v>500000</v>
      </c>
      <c r="J163" s="22">
        <v>1200000</v>
      </c>
      <c r="K163" s="22">
        <v>3500000</v>
      </c>
      <c r="L163" s="22">
        <v>5930000</v>
      </c>
      <c r="M163" s="22">
        <v>10980000</v>
      </c>
      <c r="N163" s="22">
        <v>11000000</v>
      </c>
      <c r="O163" s="22">
        <v>0</v>
      </c>
      <c r="P163" s="22">
        <v>0</v>
      </c>
      <c r="Q163" s="22">
        <v>530250</v>
      </c>
      <c r="R163" s="22"/>
      <c r="S163" s="22">
        <v>10449750</v>
      </c>
      <c r="T163" s="22">
        <v>11</v>
      </c>
      <c r="U163" s="22">
        <v>2023</v>
      </c>
    </row>
    <row r="164" spans="1:21" x14ac:dyDescent="0.3">
      <c r="A164" s="22" t="s">
        <v>51</v>
      </c>
      <c r="B164" s="22" t="s">
        <v>52</v>
      </c>
      <c r="C164" s="22" t="s">
        <v>439</v>
      </c>
      <c r="D164" s="22" t="s">
        <v>26</v>
      </c>
      <c r="E164" s="22">
        <v>5050000</v>
      </c>
      <c r="F164" s="22">
        <v>22</v>
      </c>
      <c r="G164" s="22">
        <v>5050000</v>
      </c>
      <c r="H164" s="22">
        <v>730000</v>
      </c>
      <c r="I164" s="22">
        <v>500000</v>
      </c>
      <c r="J164" s="22">
        <v>1200000</v>
      </c>
      <c r="K164" s="22">
        <v>3500000</v>
      </c>
      <c r="L164" s="22">
        <v>5930000</v>
      </c>
      <c r="M164" s="22">
        <v>10980000</v>
      </c>
      <c r="N164" s="22">
        <v>11000000</v>
      </c>
      <c r="O164" s="22">
        <v>0</v>
      </c>
      <c r="P164" s="22">
        <v>0</v>
      </c>
      <c r="Q164" s="22">
        <v>530250</v>
      </c>
      <c r="R164" s="22"/>
      <c r="S164" s="22">
        <v>10449750</v>
      </c>
      <c r="T164" s="22">
        <v>11</v>
      </c>
      <c r="U164" s="22">
        <v>2023</v>
      </c>
    </row>
    <row r="165" spans="1:21" x14ac:dyDescent="0.3">
      <c r="A165" s="22" t="s">
        <v>9</v>
      </c>
      <c r="B165" s="22" t="s">
        <v>10</v>
      </c>
      <c r="C165" s="22" t="s">
        <v>438</v>
      </c>
      <c r="D165" s="22" t="s">
        <v>11</v>
      </c>
      <c r="E165" s="22">
        <v>10000000</v>
      </c>
      <c r="F165" s="22">
        <v>21</v>
      </c>
      <c r="G165" s="22">
        <v>10000000</v>
      </c>
      <c r="H165" s="22">
        <v>730000</v>
      </c>
      <c r="I165" s="22">
        <v>500000</v>
      </c>
      <c r="J165" s="22">
        <v>1200000</v>
      </c>
      <c r="K165" s="22">
        <v>30000000</v>
      </c>
      <c r="L165" s="22">
        <v>32430000</v>
      </c>
      <c r="M165" s="22">
        <v>42430000</v>
      </c>
      <c r="N165" s="22">
        <v>11000000</v>
      </c>
      <c r="O165" s="22">
        <v>3600000</v>
      </c>
      <c r="P165" s="22">
        <v>3916000</v>
      </c>
      <c r="Q165" s="22">
        <v>525798</v>
      </c>
      <c r="R165" s="22"/>
      <c r="S165" s="22">
        <v>37988202</v>
      </c>
      <c r="T165" s="22">
        <v>12</v>
      </c>
      <c r="U165" s="22">
        <v>2023</v>
      </c>
    </row>
    <row r="166" spans="1:21" x14ac:dyDescent="0.3">
      <c r="A166" s="22" t="s">
        <v>14</v>
      </c>
      <c r="B166" s="22" t="s">
        <v>15</v>
      </c>
      <c r="C166" s="22" t="s">
        <v>438</v>
      </c>
      <c r="D166" s="22" t="s">
        <v>16</v>
      </c>
      <c r="E166" s="22">
        <v>11000000</v>
      </c>
      <c r="F166" s="22">
        <v>21</v>
      </c>
      <c r="G166" s="22">
        <v>11000000</v>
      </c>
      <c r="H166" s="22">
        <v>730000</v>
      </c>
      <c r="I166" s="22">
        <v>500000</v>
      </c>
      <c r="J166" s="22">
        <v>1200000</v>
      </c>
      <c r="K166" s="22">
        <v>3500000</v>
      </c>
      <c r="L166" s="22">
        <v>5930000</v>
      </c>
      <c r="M166" s="22">
        <v>16930000</v>
      </c>
      <c r="N166" s="22">
        <v>11000000</v>
      </c>
      <c r="O166" s="22">
        <v>3600000</v>
      </c>
      <c r="P166" s="22">
        <v>116500</v>
      </c>
      <c r="Q166" s="22">
        <v>525798</v>
      </c>
      <c r="R166" s="22"/>
      <c r="S166" s="22">
        <v>16287702</v>
      </c>
      <c r="T166" s="22">
        <v>12</v>
      </c>
      <c r="U166" s="22">
        <v>2023</v>
      </c>
    </row>
    <row r="167" spans="1:21" x14ac:dyDescent="0.3">
      <c r="A167" s="22" t="s">
        <v>19</v>
      </c>
      <c r="B167" s="22" t="s">
        <v>20</v>
      </c>
      <c r="C167" s="22" t="s">
        <v>438</v>
      </c>
      <c r="D167" s="22" t="s">
        <v>21</v>
      </c>
      <c r="E167" s="22">
        <v>11000000</v>
      </c>
      <c r="F167" s="22">
        <v>21</v>
      </c>
      <c r="G167" s="22">
        <v>11000000</v>
      </c>
      <c r="H167" s="22">
        <v>730000</v>
      </c>
      <c r="I167" s="22">
        <v>500000</v>
      </c>
      <c r="J167" s="22">
        <v>1200000</v>
      </c>
      <c r="K167" s="22">
        <v>3500000</v>
      </c>
      <c r="L167" s="22">
        <v>5930000</v>
      </c>
      <c r="M167" s="22">
        <v>16930000</v>
      </c>
      <c r="N167" s="22">
        <v>11000000</v>
      </c>
      <c r="O167" s="22">
        <v>3600000</v>
      </c>
      <c r="P167" s="22">
        <v>116500</v>
      </c>
      <c r="Q167" s="22">
        <v>525798</v>
      </c>
      <c r="R167" s="22"/>
      <c r="S167" s="22">
        <v>16287702</v>
      </c>
      <c r="T167" s="22">
        <v>12</v>
      </c>
      <c r="U167" s="22">
        <v>2023</v>
      </c>
    </row>
    <row r="168" spans="1:21" x14ac:dyDescent="0.3">
      <c r="A168" s="22" t="s">
        <v>24</v>
      </c>
      <c r="B168" s="22" t="s">
        <v>25</v>
      </c>
      <c r="C168" s="22" t="s">
        <v>439</v>
      </c>
      <c r="D168" s="22" t="s">
        <v>26</v>
      </c>
      <c r="E168" s="22">
        <v>5007600</v>
      </c>
      <c r="F168" s="22">
        <v>21</v>
      </c>
      <c r="G168" s="22">
        <v>5007600</v>
      </c>
      <c r="H168" s="22">
        <v>730000</v>
      </c>
      <c r="I168" s="22">
        <v>500000</v>
      </c>
      <c r="J168" s="22">
        <v>1200000</v>
      </c>
      <c r="K168" s="22">
        <v>3500000</v>
      </c>
      <c r="L168" s="22">
        <v>5930000</v>
      </c>
      <c r="M168" s="22">
        <v>10937600</v>
      </c>
      <c r="N168" s="22">
        <v>11000000</v>
      </c>
      <c r="O168" s="22">
        <v>3600000</v>
      </c>
      <c r="P168" s="22">
        <v>0</v>
      </c>
      <c r="Q168" s="22">
        <v>525798</v>
      </c>
      <c r="R168" s="22"/>
      <c r="S168" s="22">
        <v>10411802</v>
      </c>
      <c r="T168" s="22">
        <v>12</v>
      </c>
      <c r="U168" s="22">
        <v>2023</v>
      </c>
    </row>
    <row r="169" spans="1:21" x14ac:dyDescent="0.3">
      <c r="A169" s="22" t="s">
        <v>29</v>
      </c>
      <c r="B169" s="22" t="s">
        <v>30</v>
      </c>
      <c r="C169" s="22" t="s">
        <v>439</v>
      </c>
      <c r="D169" s="22" t="s">
        <v>26</v>
      </c>
      <c r="E169" s="22">
        <v>5007600</v>
      </c>
      <c r="F169" s="22">
        <v>21</v>
      </c>
      <c r="G169" s="22">
        <v>5007600</v>
      </c>
      <c r="H169" s="22">
        <v>730000</v>
      </c>
      <c r="I169" s="22">
        <v>500000</v>
      </c>
      <c r="J169" s="22">
        <v>1200000</v>
      </c>
      <c r="K169" s="22">
        <v>3500000</v>
      </c>
      <c r="L169" s="22">
        <v>5930000</v>
      </c>
      <c r="M169" s="22">
        <v>10937600</v>
      </c>
      <c r="N169" s="22">
        <v>11000000</v>
      </c>
      <c r="O169" s="22">
        <v>3600000</v>
      </c>
      <c r="P169" s="22">
        <v>0</v>
      </c>
      <c r="Q169" s="22">
        <v>525798</v>
      </c>
      <c r="R169" s="22"/>
      <c r="S169" s="22">
        <v>10411802</v>
      </c>
      <c r="T169" s="22">
        <v>12</v>
      </c>
      <c r="U169" s="22">
        <v>2023</v>
      </c>
    </row>
    <row r="170" spans="1:21" x14ac:dyDescent="0.3">
      <c r="A170" s="22" t="s">
        <v>32</v>
      </c>
      <c r="B170" s="22" t="s">
        <v>33</v>
      </c>
      <c r="C170" s="22" t="s">
        <v>439</v>
      </c>
      <c r="D170" s="22" t="s">
        <v>26</v>
      </c>
      <c r="E170" s="22">
        <v>5007600</v>
      </c>
      <c r="F170" s="22">
        <v>21</v>
      </c>
      <c r="G170" s="22">
        <v>5007600</v>
      </c>
      <c r="H170" s="22">
        <v>730000</v>
      </c>
      <c r="I170" s="22">
        <v>500000</v>
      </c>
      <c r="J170" s="22">
        <v>1200000</v>
      </c>
      <c r="K170" s="22">
        <v>3500000</v>
      </c>
      <c r="L170" s="22">
        <v>5930000</v>
      </c>
      <c r="M170" s="22">
        <v>10937600</v>
      </c>
      <c r="N170" s="22">
        <v>11000000</v>
      </c>
      <c r="O170" s="22">
        <v>3600000</v>
      </c>
      <c r="P170" s="22">
        <v>0</v>
      </c>
      <c r="Q170" s="22">
        <v>525798</v>
      </c>
      <c r="R170" s="22"/>
      <c r="S170" s="22">
        <v>10411802</v>
      </c>
      <c r="T170" s="22">
        <v>12</v>
      </c>
      <c r="U170" s="22">
        <v>2023</v>
      </c>
    </row>
    <row r="171" spans="1:21" x14ac:dyDescent="0.3">
      <c r="A171" s="22" t="s">
        <v>35</v>
      </c>
      <c r="B171" s="22" t="s">
        <v>36</v>
      </c>
      <c r="C171" s="22" t="s">
        <v>439</v>
      </c>
      <c r="D171" s="22" t="s">
        <v>26</v>
      </c>
      <c r="E171" s="22">
        <v>5007600</v>
      </c>
      <c r="F171" s="22">
        <v>21</v>
      </c>
      <c r="G171" s="22">
        <v>5007600</v>
      </c>
      <c r="H171" s="22">
        <v>730000</v>
      </c>
      <c r="I171" s="22">
        <v>500000</v>
      </c>
      <c r="J171" s="22">
        <v>1200000</v>
      </c>
      <c r="K171" s="22">
        <v>3500000</v>
      </c>
      <c r="L171" s="22">
        <v>5930000</v>
      </c>
      <c r="M171" s="22">
        <v>10937600</v>
      </c>
      <c r="N171" s="22">
        <v>11000000</v>
      </c>
      <c r="O171" s="22">
        <v>3600000</v>
      </c>
      <c r="P171" s="22">
        <v>0</v>
      </c>
      <c r="Q171" s="22">
        <v>525798</v>
      </c>
      <c r="R171" s="22"/>
      <c r="S171" s="22">
        <v>10411802</v>
      </c>
      <c r="T171" s="22">
        <v>12</v>
      </c>
      <c r="U171" s="22">
        <v>2023</v>
      </c>
    </row>
    <row r="172" spans="1:21" x14ac:dyDescent="0.3">
      <c r="A172" s="22" t="s">
        <v>38</v>
      </c>
      <c r="B172" s="22" t="s">
        <v>39</v>
      </c>
      <c r="C172" s="22" t="s">
        <v>439</v>
      </c>
      <c r="D172" s="22" t="s">
        <v>26</v>
      </c>
      <c r="E172" s="22">
        <v>5007600</v>
      </c>
      <c r="F172" s="22">
        <v>21</v>
      </c>
      <c r="G172" s="22">
        <v>5007600</v>
      </c>
      <c r="H172" s="22">
        <v>730000</v>
      </c>
      <c r="I172" s="22">
        <v>500000</v>
      </c>
      <c r="J172" s="22">
        <v>1200000</v>
      </c>
      <c r="K172" s="22">
        <v>3500000</v>
      </c>
      <c r="L172" s="22">
        <v>5930000</v>
      </c>
      <c r="M172" s="22">
        <v>10937600</v>
      </c>
      <c r="N172" s="22">
        <v>11000000</v>
      </c>
      <c r="O172" s="22">
        <v>3600000</v>
      </c>
      <c r="P172" s="22">
        <v>0</v>
      </c>
      <c r="Q172" s="22">
        <v>525798</v>
      </c>
      <c r="R172" s="22"/>
      <c r="S172" s="22">
        <v>10411802</v>
      </c>
      <c r="T172" s="22">
        <v>12</v>
      </c>
      <c r="U172" s="22">
        <v>2023</v>
      </c>
    </row>
    <row r="173" spans="1:21" x14ac:dyDescent="0.3">
      <c r="A173" s="22" t="s">
        <v>41</v>
      </c>
      <c r="B173" s="22" t="s">
        <v>42</v>
      </c>
      <c r="C173" s="22" t="s">
        <v>439</v>
      </c>
      <c r="D173" s="22" t="s">
        <v>26</v>
      </c>
      <c r="E173" s="22">
        <v>5007600</v>
      </c>
      <c r="F173" s="22">
        <v>21</v>
      </c>
      <c r="G173" s="22">
        <v>5007600</v>
      </c>
      <c r="H173" s="22">
        <v>730000</v>
      </c>
      <c r="I173" s="22">
        <v>500000</v>
      </c>
      <c r="J173" s="22">
        <v>1200000</v>
      </c>
      <c r="K173" s="22">
        <v>3500000</v>
      </c>
      <c r="L173" s="22">
        <v>5930000</v>
      </c>
      <c r="M173" s="22">
        <v>10937600</v>
      </c>
      <c r="N173" s="22">
        <v>11000000</v>
      </c>
      <c r="O173" s="22">
        <v>3600000</v>
      </c>
      <c r="P173" s="22">
        <v>0</v>
      </c>
      <c r="Q173" s="22">
        <v>525798</v>
      </c>
      <c r="R173" s="22"/>
      <c r="S173" s="22">
        <v>10411802</v>
      </c>
      <c r="T173" s="22">
        <v>12</v>
      </c>
      <c r="U173" s="22">
        <v>2023</v>
      </c>
    </row>
    <row r="174" spans="1:21" x14ac:dyDescent="0.3">
      <c r="A174" s="22" t="s">
        <v>44</v>
      </c>
      <c r="B174" s="22" t="s">
        <v>45</v>
      </c>
      <c r="C174" s="22" t="s">
        <v>439</v>
      </c>
      <c r="D174" s="22" t="s">
        <v>26</v>
      </c>
      <c r="E174" s="22">
        <v>5007600</v>
      </c>
      <c r="F174" s="22">
        <v>21</v>
      </c>
      <c r="G174" s="22">
        <v>5007600</v>
      </c>
      <c r="H174" s="22">
        <v>730000</v>
      </c>
      <c r="I174" s="22">
        <v>500000</v>
      </c>
      <c r="J174" s="22">
        <v>1200000</v>
      </c>
      <c r="K174" s="22">
        <v>3500000</v>
      </c>
      <c r="L174" s="22">
        <v>5930000</v>
      </c>
      <c r="M174" s="22">
        <v>10937600</v>
      </c>
      <c r="N174" s="22">
        <v>11000000</v>
      </c>
      <c r="O174" s="22">
        <v>3600000</v>
      </c>
      <c r="P174" s="22">
        <v>0</v>
      </c>
      <c r="Q174" s="22">
        <v>525798</v>
      </c>
      <c r="R174" s="22"/>
      <c r="S174" s="22">
        <v>10411802</v>
      </c>
      <c r="T174" s="22">
        <v>12</v>
      </c>
      <c r="U174" s="22">
        <v>2023</v>
      </c>
    </row>
    <row r="175" spans="1:21" x14ac:dyDescent="0.3">
      <c r="A175" s="22" t="s">
        <v>47</v>
      </c>
      <c r="B175" s="22" t="s">
        <v>48</v>
      </c>
      <c r="C175" s="22" t="s">
        <v>439</v>
      </c>
      <c r="D175" s="22" t="s">
        <v>26</v>
      </c>
      <c r="E175" s="22">
        <v>5050000</v>
      </c>
      <c r="F175" s="22">
        <v>21</v>
      </c>
      <c r="G175" s="22">
        <v>5050000</v>
      </c>
      <c r="H175" s="22">
        <v>730000</v>
      </c>
      <c r="I175" s="22">
        <v>500000</v>
      </c>
      <c r="J175" s="22">
        <v>1200000</v>
      </c>
      <c r="K175" s="22">
        <v>3500000</v>
      </c>
      <c r="L175" s="22">
        <v>5930000</v>
      </c>
      <c r="M175" s="22">
        <v>10980000</v>
      </c>
      <c r="N175" s="22">
        <v>11000000</v>
      </c>
      <c r="O175" s="22">
        <v>0</v>
      </c>
      <c r="P175" s="22">
        <v>0</v>
      </c>
      <c r="Q175" s="22">
        <v>530250</v>
      </c>
      <c r="R175" s="22"/>
      <c r="S175" s="22">
        <v>10449750</v>
      </c>
      <c r="T175" s="22">
        <v>12</v>
      </c>
      <c r="U175" s="22">
        <v>2023</v>
      </c>
    </row>
    <row r="176" spans="1:21" x14ac:dyDescent="0.3">
      <c r="A176" s="22" t="s">
        <v>49</v>
      </c>
      <c r="B176" s="22" t="s">
        <v>50</v>
      </c>
      <c r="C176" s="22" t="s">
        <v>439</v>
      </c>
      <c r="D176" s="22" t="s">
        <v>26</v>
      </c>
      <c r="E176" s="22">
        <v>5050000</v>
      </c>
      <c r="F176" s="22">
        <v>21</v>
      </c>
      <c r="G176" s="22">
        <v>5050000</v>
      </c>
      <c r="H176" s="22">
        <v>730000</v>
      </c>
      <c r="I176" s="22">
        <v>500000</v>
      </c>
      <c r="J176" s="22">
        <v>1200000</v>
      </c>
      <c r="K176" s="22">
        <v>3500000</v>
      </c>
      <c r="L176" s="22">
        <v>5930000</v>
      </c>
      <c r="M176" s="22">
        <v>10980000</v>
      </c>
      <c r="N176" s="22">
        <v>11000000</v>
      </c>
      <c r="O176" s="22">
        <v>0</v>
      </c>
      <c r="P176" s="22">
        <v>0</v>
      </c>
      <c r="Q176" s="22">
        <v>530250</v>
      </c>
      <c r="R176" s="22"/>
      <c r="S176" s="22">
        <v>10449750</v>
      </c>
      <c r="T176" s="22">
        <v>12</v>
      </c>
      <c r="U176" s="22">
        <v>2023</v>
      </c>
    </row>
    <row r="177" spans="1:21" x14ac:dyDescent="0.3">
      <c r="A177" s="22" t="s">
        <v>51</v>
      </c>
      <c r="B177" s="22" t="s">
        <v>52</v>
      </c>
      <c r="C177" s="22" t="s">
        <v>439</v>
      </c>
      <c r="D177" s="22" t="s">
        <v>26</v>
      </c>
      <c r="E177" s="22">
        <v>5050000</v>
      </c>
      <c r="F177" s="22">
        <v>21</v>
      </c>
      <c r="G177" s="22">
        <v>5050000</v>
      </c>
      <c r="H177" s="22">
        <v>730000</v>
      </c>
      <c r="I177" s="22">
        <v>500000</v>
      </c>
      <c r="J177" s="22">
        <v>1200000</v>
      </c>
      <c r="K177" s="22">
        <v>3500000</v>
      </c>
      <c r="L177" s="22">
        <v>5930000</v>
      </c>
      <c r="M177" s="22">
        <v>10980000</v>
      </c>
      <c r="N177" s="22">
        <v>11000000</v>
      </c>
      <c r="O177" s="22">
        <v>0</v>
      </c>
      <c r="P177" s="22">
        <v>0</v>
      </c>
      <c r="Q177" s="22">
        <v>530250</v>
      </c>
      <c r="R177" s="22"/>
      <c r="S177" s="22">
        <v>10449750</v>
      </c>
      <c r="T177" s="22">
        <v>12</v>
      </c>
      <c r="U177" s="22">
        <v>2023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341A1-8CB9-445A-AE6C-627FB73C25E4}">
  <sheetPr codeName="Sheet5">
    <tabColor theme="4" tint="0.39997558519241921"/>
  </sheetPr>
  <dimension ref="A1:K12"/>
  <sheetViews>
    <sheetView workbookViewId="0">
      <selection activeCell="F19" sqref="F19"/>
    </sheetView>
  </sheetViews>
  <sheetFormatPr defaultRowHeight="14.4" x14ac:dyDescent="0.3"/>
  <cols>
    <col min="1" max="1" width="14.21875" bestFit="1" customWidth="1"/>
    <col min="3" max="3" width="15.5546875" customWidth="1"/>
    <col min="5" max="5" width="9.5546875" customWidth="1"/>
  </cols>
  <sheetData>
    <row r="1" spans="1:11" x14ac:dyDescent="0.3">
      <c r="A1" t="s">
        <v>138</v>
      </c>
      <c r="B1">
        <v>8</v>
      </c>
      <c r="C1">
        <v>22</v>
      </c>
      <c r="E1" t="s">
        <v>150</v>
      </c>
      <c r="F1">
        <v>8</v>
      </c>
      <c r="G1">
        <v>17</v>
      </c>
      <c r="I1" t="s">
        <v>316</v>
      </c>
      <c r="J1">
        <v>9</v>
      </c>
      <c r="K1">
        <v>23</v>
      </c>
    </row>
    <row r="2" spans="1:11" x14ac:dyDescent="0.3">
      <c r="A2" t="s">
        <v>139</v>
      </c>
      <c r="B2">
        <v>8</v>
      </c>
      <c r="C2">
        <v>22</v>
      </c>
      <c r="E2" t="s">
        <v>151</v>
      </c>
      <c r="F2">
        <v>8</v>
      </c>
      <c r="G2">
        <v>22</v>
      </c>
      <c r="I2" t="s">
        <v>317</v>
      </c>
      <c r="J2">
        <v>9</v>
      </c>
      <c r="K2">
        <v>23</v>
      </c>
    </row>
    <row r="3" spans="1:11" x14ac:dyDescent="0.3">
      <c r="A3" t="s">
        <v>140</v>
      </c>
      <c r="B3">
        <v>8</v>
      </c>
      <c r="C3">
        <v>22</v>
      </c>
      <c r="E3" t="s">
        <v>152</v>
      </c>
      <c r="F3">
        <v>8</v>
      </c>
      <c r="G3">
        <v>22</v>
      </c>
      <c r="I3" t="s">
        <v>319</v>
      </c>
      <c r="J3">
        <v>9</v>
      </c>
      <c r="K3">
        <v>23</v>
      </c>
    </row>
    <row r="4" spans="1:11" x14ac:dyDescent="0.3">
      <c r="A4" t="s">
        <v>141</v>
      </c>
      <c r="B4">
        <v>8</v>
      </c>
      <c r="C4">
        <v>22</v>
      </c>
      <c r="E4" t="s">
        <v>153</v>
      </c>
      <c r="F4">
        <v>8</v>
      </c>
      <c r="G4">
        <v>22</v>
      </c>
      <c r="I4" t="s">
        <v>320</v>
      </c>
      <c r="J4">
        <v>9</v>
      </c>
      <c r="K4">
        <v>23</v>
      </c>
    </row>
    <row r="5" spans="1:11" x14ac:dyDescent="0.3">
      <c r="A5" t="s">
        <v>142</v>
      </c>
      <c r="B5">
        <v>8</v>
      </c>
      <c r="C5">
        <v>22</v>
      </c>
      <c r="E5" t="s">
        <v>154</v>
      </c>
      <c r="F5">
        <v>8</v>
      </c>
      <c r="G5">
        <v>22</v>
      </c>
      <c r="I5" t="s">
        <v>321</v>
      </c>
      <c r="J5">
        <v>9</v>
      </c>
      <c r="K5">
        <v>23</v>
      </c>
    </row>
    <row r="6" spans="1:11" x14ac:dyDescent="0.3">
      <c r="A6" t="s">
        <v>143</v>
      </c>
      <c r="B6">
        <v>8</v>
      </c>
      <c r="C6">
        <v>22</v>
      </c>
      <c r="E6" t="s">
        <v>155</v>
      </c>
      <c r="F6">
        <v>8</v>
      </c>
      <c r="G6">
        <v>22</v>
      </c>
      <c r="I6" t="s">
        <v>322</v>
      </c>
      <c r="J6">
        <v>9</v>
      </c>
      <c r="K6">
        <v>23</v>
      </c>
    </row>
    <row r="7" spans="1:11" x14ac:dyDescent="0.3">
      <c r="A7" t="s">
        <v>144</v>
      </c>
      <c r="B7">
        <v>8</v>
      </c>
      <c r="C7">
        <v>22</v>
      </c>
      <c r="E7" t="s">
        <v>156</v>
      </c>
      <c r="F7">
        <v>8</v>
      </c>
      <c r="G7">
        <v>22</v>
      </c>
      <c r="I7" t="s">
        <v>323</v>
      </c>
      <c r="J7">
        <v>9</v>
      </c>
      <c r="K7">
        <v>23</v>
      </c>
    </row>
    <row r="8" spans="1:11" x14ac:dyDescent="0.3">
      <c r="A8" t="s">
        <v>145</v>
      </c>
      <c r="B8">
        <v>8</v>
      </c>
      <c r="C8">
        <v>22</v>
      </c>
      <c r="E8" t="s">
        <v>157</v>
      </c>
      <c r="F8">
        <v>8</v>
      </c>
      <c r="G8">
        <v>22</v>
      </c>
      <c r="I8" t="s">
        <v>324</v>
      </c>
      <c r="J8">
        <v>9</v>
      </c>
      <c r="K8">
        <v>23</v>
      </c>
    </row>
    <row r="9" spans="1:11" x14ac:dyDescent="0.3">
      <c r="A9" t="s">
        <v>146</v>
      </c>
      <c r="B9">
        <v>8</v>
      </c>
      <c r="C9">
        <v>22</v>
      </c>
      <c r="E9" t="s">
        <v>158</v>
      </c>
      <c r="F9">
        <v>8</v>
      </c>
      <c r="G9">
        <v>22</v>
      </c>
      <c r="I9" t="s">
        <v>325</v>
      </c>
      <c r="J9">
        <v>9</v>
      </c>
      <c r="K9">
        <v>23</v>
      </c>
    </row>
    <row r="10" spans="1:11" x14ac:dyDescent="0.3">
      <c r="A10" t="s">
        <v>147</v>
      </c>
      <c r="B10">
        <v>8</v>
      </c>
      <c r="C10">
        <v>22</v>
      </c>
      <c r="E10" t="s">
        <v>159</v>
      </c>
      <c r="F10">
        <v>8</v>
      </c>
      <c r="G10">
        <v>22</v>
      </c>
      <c r="I10" t="s">
        <v>326</v>
      </c>
      <c r="J10">
        <v>9</v>
      </c>
      <c r="K10">
        <v>23</v>
      </c>
    </row>
    <row r="11" spans="1:11" x14ac:dyDescent="0.3">
      <c r="A11" t="s">
        <v>148</v>
      </c>
      <c r="B11">
        <v>8</v>
      </c>
      <c r="C11">
        <v>20</v>
      </c>
      <c r="E11" t="s">
        <v>160</v>
      </c>
      <c r="F11">
        <v>8</v>
      </c>
      <c r="G11">
        <v>20</v>
      </c>
      <c r="I11" t="s">
        <v>327</v>
      </c>
      <c r="J11">
        <v>9</v>
      </c>
      <c r="K11">
        <v>21</v>
      </c>
    </row>
    <row r="12" spans="1:11" x14ac:dyDescent="0.3">
      <c r="A12" t="s">
        <v>149</v>
      </c>
      <c r="B12">
        <v>8</v>
      </c>
      <c r="C12">
        <v>20</v>
      </c>
      <c r="E12" t="s">
        <v>161</v>
      </c>
      <c r="F12">
        <v>8</v>
      </c>
      <c r="G12">
        <v>20</v>
      </c>
      <c r="I12" t="s">
        <v>328</v>
      </c>
      <c r="J12">
        <v>9</v>
      </c>
      <c r="K12">
        <v>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B1EE-AF33-4427-84FE-90E8FAFED731}">
  <sheetPr codeName="Sheet65"/>
  <dimension ref="A1:CU177"/>
  <sheetViews>
    <sheetView workbookViewId="0"/>
  </sheetViews>
  <sheetFormatPr defaultRowHeight="14.4" x14ac:dyDescent="0.3"/>
  <cols>
    <col min="1" max="1" width="3.77734375" style="26" bestFit="1" customWidth="1"/>
    <col min="2" max="2" width="12.88671875" style="27" bestFit="1" customWidth="1"/>
    <col min="3" max="3" width="16.88671875" style="27" bestFit="1" customWidth="1"/>
    <col min="4" max="4" width="9.77734375" style="27" bestFit="1" customWidth="1"/>
    <col min="5" max="5" width="8" style="27" bestFit="1" customWidth="1"/>
    <col min="6" max="6" width="14.33203125" style="26" bestFit="1" customWidth="1"/>
    <col min="7" max="7" width="13.109375" style="27" bestFit="1" customWidth="1"/>
    <col min="8" max="8" width="18.88671875" style="26" bestFit="1" customWidth="1"/>
    <col min="9" max="16" width="16.33203125" style="26" bestFit="1" customWidth="1"/>
    <col min="17" max="19" width="17.44140625" style="26" bestFit="1" customWidth="1"/>
    <col min="20" max="28" width="15.44140625" style="26" bestFit="1" customWidth="1"/>
    <col min="29" max="31" width="16.44140625" style="26" bestFit="1" customWidth="1"/>
    <col min="32" max="32" width="19.33203125" style="26" bestFit="1" customWidth="1"/>
    <col min="33" max="40" width="18.109375" style="26" bestFit="1" customWidth="1"/>
    <col min="41" max="43" width="19.109375" style="26" bestFit="1" customWidth="1"/>
    <col min="44" max="44" width="20.88671875" style="26" bestFit="1" customWidth="1"/>
    <col min="45" max="50" width="20.109375" style="26" bestFit="1" customWidth="1"/>
    <col min="51" max="55" width="21.109375" style="26" bestFit="1" customWidth="1"/>
    <col min="56" max="62" width="18.44140625" style="26" bestFit="1" customWidth="1"/>
    <col min="63" max="67" width="19.44140625" style="26" bestFit="1" customWidth="1"/>
    <col min="68" max="68" width="23.109375" style="26" bestFit="1" customWidth="1"/>
    <col min="69" max="76" width="22.5546875" style="26" bestFit="1" customWidth="1"/>
    <col min="77" max="79" width="23.5546875" style="26" bestFit="1" customWidth="1"/>
    <col min="80" max="88" width="20" style="26" bestFit="1" customWidth="1"/>
    <col min="89" max="91" width="21" style="26" bestFit="1" customWidth="1"/>
    <col min="92" max="92" width="9.109375" style="26" bestFit="1" customWidth="1"/>
    <col min="93" max="93" width="9.6640625" style="26" bestFit="1" customWidth="1"/>
    <col min="94" max="94" width="18.88671875" style="26" bestFit="1" customWidth="1"/>
    <col min="95" max="95" width="19.33203125" style="26" bestFit="1" customWidth="1"/>
    <col min="96" max="96" width="20.88671875" style="26" bestFit="1" customWidth="1"/>
    <col min="97" max="97" width="23.109375" style="26" bestFit="1" customWidth="1"/>
    <col min="98" max="98" width="20" style="26" bestFit="1" customWidth="1"/>
    <col min="99" max="99" width="17.77734375" style="26" bestFit="1" customWidth="1"/>
  </cols>
  <sheetData>
    <row r="1" spans="1:99" x14ac:dyDescent="0.3">
      <c r="A1" t="s">
        <v>5</v>
      </c>
      <c r="B1" t="s">
        <v>69</v>
      </c>
      <c r="C1" t="s">
        <v>70</v>
      </c>
      <c r="D1" t="s">
        <v>71</v>
      </c>
      <c r="E1" t="s">
        <v>72</v>
      </c>
      <c r="F1" t="s">
        <v>73</v>
      </c>
      <c r="G1" t="s">
        <v>74</v>
      </c>
      <c r="H1" t="s">
        <v>271</v>
      </c>
      <c r="I1" t="s">
        <v>200</v>
      </c>
      <c r="J1" t="s">
        <v>201</v>
      </c>
      <c r="K1" t="s">
        <v>202</v>
      </c>
      <c r="L1" t="s">
        <v>203</v>
      </c>
      <c r="M1" t="s">
        <v>204</v>
      </c>
      <c r="N1" t="s">
        <v>205</v>
      </c>
      <c r="O1" t="s">
        <v>206</v>
      </c>
      <c r="P1" t="s">
        <v>207</v>
      </c>
      <c r="Q1" t="s">
        <v>208</v>
      </c>
      <c r="R1" t="s">
        <v>209</v>
      </c>
      <c r="S1" t="s">
        <v>210</v>
      </c>
      <c r="T1" t="s">
        <v>57</v>
      </c>
      <c r="U1" t="s">
        <v>58</v>
      </c>
      <c r="V1" t="s">
        <v>59</v>
      </c>
      <c r="W1" t="s">
        <v>60</v>
      </c>
      <c r="X1" t="s">
        <v>61</v>
      </c>
      <c r="Y1" t="s">
        <v>62</v>
      </c>
      <c r="Z1" s="27" t="s">
        <v>63</v>
      </c>
      <c r="AA1" s="26" t="s">
        <v>64</v>
      </c>
      <c r="AB1" s="26" t="s">
        <v>65</v>
      </c>
      <c r="AC1" s="26" t="s">
        <v>66</v>
      </c>
      <c r="AD1" s="26" t="s">
        <v>67</v>
      </c>
      <c r="AE1" s="26" t="s">
        <v>68</v>
      </c>
      <c r="AF1" s="26" t="s">
        <v>272</v>
      </c>
      <c r="AG1" s="26" t="s">
        <v>212</v>
      </c>
      <c r="AH1" s="26" t="s">
        <v>213</v>
      </c>
      <c r="AI1" s="26" t="s">
        <v>214</v>
      </c>
      <c r="AJ1" s="26" t="s">
        <v>215</v>
      </c>
      <c r="AK1" s="26" t="s">
        <v>216</v>
      </c>
      <c r="AL1" s="26" t="s">
        <v>217</v>
      </c>
      <c r="AM1" s="26" t="s">
        <v>218</v>
      </c>
      <c r="AN1" s="26" t="s">
        <v>219</v>
      </c>
      <c r="AO1" s="26" t="s">
        <v>220</v>
      </c>
      <c r="AP1" s="26" t="s">
        <v>221</v>
      </c>
      <c r="AQ1" s="26" t="s">
        <v>222</v>
      </c>
      <c r="AR1" s="26" t="s">
        <v>273</v>
      </c>
      <c r="AS1" s="26" t="s">
        <v>224</v>
      </c>
      <c r="AT1" s="26" t="s">
        <v>225</v>
      </c>
      <c r="AU1" s="26" t="s">
        <v>226</v>
      </c>
      <c r="AV1" s="26" t="s">
        <v>227</v>
      </c>
      <c r="AW1" s="26" t="s">
        <v>228</v>
      </c>
      <c r="AX1" s="26" t="s">
        <v>229</v>
      </c>
      <c r="AY1" s="26" t="s">
        <v>230</v>
      </c>
      <c r="AZ1" s="26" t="s">
        <v>231</v>
      </c>
      <c r="BA1" s="26" t="s">
        <v>232</v>
      </c>
      <c r="BB1" s="26" t="s">
        <v>233</v>
      </c>
      <c r="BC1" s="26" t="s">
        <v>234</v>
      </c>
      <c r="BD1" s="26" t="s">
        <v>235</v>
      </c>
      <c r="BE1" s="26" t="s">
        <v>236</v>
      </c>
      <c r="BF1" s="26" t="s">
        <v>237</v>
      </c>
      <c r="BG1" s="26" t="s">
        <v>238</v>
      </c>
      <c r="BH1" s="26" t="s">
        <v>239</v>
      </c>
      <c r="BI1" s="26" t="s">
        <v>240</v>
      </c>
      <c r="BJ1" s="26" t="s">
        <v>241</v>
      </c>
      <c r="BK1" s="26" t="s">
        <v>242</v>
      </c>
      <c r="BL1" s="26" t="s">
        <v>243</v>
      </c>
      <c r="BM1" s="26" t="s">
        <v>244</v>
      </c>
      <c r="BN1" s="26" t="s">
        <v>245</v>
      </c>
      <c r="BO1" s="26" t="s">
        <v>246</v>
      </c>
      <c r="BP1" s="26" t="s">
        <v>274</v>
      </c>
      <c r="BQ1" s="26" t="s">
        <v>248</v>
      </c>
      <c r="BR1" s="26" t="s">
        <v>249</v>
      </c>
      <c r="BS1" s="26" t="s">
        <v>250</v>
      </c>
      <c r="BT1" s="26" t="s">
        <v>251</v>
      </c>
      <c r="BU1" s="26" t="s">
        <v>252</v>
      </c>
      <c r="BV1" s="26" t="s">
        <v>253</v>
      </c>
      <c r="BW1" s="26" t="s">
        <v>254</v>
      </c>
      <c r="BX1" s="26" t="s">
        <v>255</v>
      </c>
      <c r="BY1" s="26" t="s">
        <v>256</v>
      </c>
      <c r="BZ1" s="26" t="s">
        <v>257</v>
      </c>
      <c r="CA1" s="26" t="s">
        <v>258</v>
      </c>
      <c r="CB1" t="s">
        <v>275</v>
      </c>
      <c r="CC1" t="s">
        <v>260</v>
      </c>
      <c r="CD1" t="s">
        <v>261</v>
      </c>
      <c r="CE1" t="s">
        <v>262</v>
      </c>
      <c r="CF1" t="s">
        <v>263</v>
      </c>
      <c r="CG1" t="s">
        <v>264</v>
      </c>
      <c r="CH1" t="s">
        <v>265</v>
      </c>
      <c r="CI1" t="s">
        <v>266</v>
      </c>
      <c r="CJ1" t="s">
        <v>267</v>
      </c>
      <c r="CK1" t="s">
        <v>268</v>
      </c>
      <c r="CL1" t="s">
        <v>269</v>
      </c>
      <c r="CM1" t="s">
        <v>270</v>
      </c>
      <c r="CN1" t="s">
        <v>276</v>
      </c>
      <c r="CO1" t="s">
        <v>162</v>
      </c>
      <c r="CP1" t="s">
        <v>271</v>
      </c>
      <c r="CQ1" t="s">
        <v>272</v>
      </c>
      <c r="CR1" t="s">
        <v>273</v>
      </c>
      <c r="CS1" t="s">
        <v>274</v>
      </c>
      <c r="CT1" t="s">
        <v>275</v>
      </c>
      <c r="CU1" t="s">
        <v>277</v>
      </c>
    </row>
    <row r="2" spans="1:99" x14ac:dyDescent="0.3">
      <c r="A2" s="26">
        <v>1</v>
      </c>
      <c r="B2" s="27" t="s">
        <v>9</v>
      </c>
      <c r="C2" s="27" t="s">
        <v>10</v>
      </c>
      <c r="D2" s="27" t="s">
        <v>11</v>
      </c>
      <c r="E2" s="27" t="s">
        <v>12</v>
      </c>
      <c r="F2" s="26">
        <v>8024957378</v>
      </c>
      <c r="G2" s="27" t="s">
        <v>13</v>
      </c>
      <c r="H2" s="26">
        <v>5007600</v>
      </c>
      <c r="I2" s="26">
        <v>5007600</v>
      </c>
      <c r="J2" s="26">
        <v>5007600</v>
      </c>
      <c r="K2" s="26">
        <v>5007600</v>
      </c>
      <c r="L2" s="26">
        <v>5007600</v>
      </c>
      <c r="M2" s="26">
        <v>5007600</v>
      </c>
      <c r="N2" s="26">
        <v>5007600</v>
      </c>
      <c r="O2" s="26">
        <v>5007600</v>
      </c>
      <c r="P2" s="26">
        <v>5007600</v>
      </c>
      <c r="Q2" s="26">
        <v>5007600</v>
      </c>
      <c r="R2" s="26">
        <v>5007600</v>
      </c>
      <c r="S2" s="26">
        <v>5007600</v>
      </c>
      <c r="T2" s="26">
        <v>5007600</v>
      </c>
      <c r="U2" s="26">
        <v>5007600</v>
      </c>
      <c r="V2" s="26">
        <v>5007600</v>
      </c>
      <c r="W2" s="26">
        <v>5007600</v>
      </c>
      <c r="X2" s="26">
        <v>5007600</v>
      </c>
      <c r="Y2" s="26">
        <v>5007600</v>
      </c>
      <c r="Z2" s="26">
        <v>5007600</v>
      </c>
      <c r="AA2" s="26">
        <v>5007600</v>
      </c>
      <c r="AB2" s="26">
        <v>5007600</v>
      </c>
      <c r="AC2" s="26">
        <v>5007600</v>
      </c>
      <c r="AD2" s="26">
        <v>5007600</v>
      </c>
      <c r="AE2" s="26">
        <v>5007600</v>
      </c>
      <c r="AF2" s="26">
        <v>730000</v>
      </c>
      <c r="AG2" s="26">
        <v>730000</v>
      </c>
      <c r="AH2" s="26">
        <v>730000</v>
      </c>
      <c r="AI2" s="26">
        <v>730000</v>
      </c>
      <c r="AJ2" s="26">
        <v>730000</v>
      </c>
      <c r="AK2" s="26">
        <v>730000</v>
      </c>
      <c r="AL2" s="26">
        <v>730000</v>
      </c>
      <c r="AM2" s="26">
        <v>730000</v>
      </c>
      <c r="AN2" s="26">
        <v>730000</v>
      </c>
      <c r="AO2" s="26">
        <v>730000</v>
      </c>
      <c r="AP2" s="26">
        <v>730000</v>
      </c>
      <c r="AQ2" s="26">
        <v>730000</v>
      </c>
      <c r="AR2" s="26">
        <v>500000</v>
      </c>
      <c r="AS2" s="26">
        <v>500000</v>
      </c>
      <c r="AT2" s="26">
        <v>500000</v>
      </c>
      <c r="AU2" s="26">
        <v>500000</v>
      </c>
      <c r="AV2" s="26">
        <v>500000</v>
      </c>
      <c r="AW2" s="26">
        <v>500000</v>
      </c>
      <c r="AX2" s="26">
        <v>500000</v>
      </c>
      <c r="AY2" s="26">
        <v>500000</v>
      </c>
      <c r="AZ2" s="26">
        <v>500000</v>
      </c>
      <c r="BA2" s="26">
        <v>500000</v>
      </c>
      <c r="BB2" s="26">
        <v>500000</v>
      </c>
      <c r="BC2" s="26">
        <v>500000</v>
      </c>
      <c r="BD2" s="26">
        <v>0</v>
      </c>
      <c r="BE2" s="26">
        <v>0</v>
      </c>
      <c r="BF2" s="26">
        <v>0</v>
      </c>
      <c r="BG2" s="26">
        <v>0</v>
      </c>
      <c r="BH2" s="26">
        <v>0</v>
      </c>
      <c r="BI2" s="26">
        <v>0</v>
      </c>
      <c r="BJ2" s="26">
        <v>0</v>
      </c>
      <c r="BK2" s="26">
        <v>0</v>
      </c>
      <c r="BL2" s="26">
        <v>0</v>
      </c>
      <c r="BM2" s="26">
        <v>0</v>
      </c>
      <c r="BN2" s="26">
        <v>0</v>
      </c>
      <c r="BO2" s="26">
        <v>0</v>
      </c>
      <c r="BP2" s="26">
        <v>1200000</v>
      </c>
      <c r="BQ2" s="26">
        <v>1200000</v>
      </c>
      <c r="BR2" s="26">
        <v>1200000</v>
      </c>
      <c r="BS2" s="26">
        <v>1200000</v>
      </c>
      <c r="BT2" s="26">
        <v>1200000</v>
      </c>
      <c r="BU2" s="26">
        <v>1200000</v>
      </c>
      <c r="BV2" s="26">
        <v>1200000</v>
      </c>
      <c r="BW2" s="26">
        <v>1200000</v>
      </c>
      <c r="BX2" s="26">
        <v>1200000</v>
      </c>
      <c r="BY2" s="26">
        <v>1200000</v>
      </c>
      <c r="BZ2" s="26">
        <v>1200000</v>
      </c>
      <c r="CA2" s="26">
        <v>1200000</v>
      </c>
      <c r="CB2" s="26">
        <v>3500000</v>
      </c>
      <c r="CC2" s="26">
        <v>3500000</v>
      </c>
      <c r="CD2" s="26">
        <v>3500000</v>
      </c>
      <c r="CE2" s="26">
        <v>3500000</v>
      </c>
      <c r="CF2" s="26">
        <v>3500000</v>
      </c>
      <c r="CG2" s="26">
        <v>3500000</v>
      </c>
      <c r="CH2" s="26">
        <v>3500000</v>
      </c>
      <c r="CI2" s="26">
        <v>3500000</v>
      </c>
      <c r="CJ2" s="26">
        <v>3500000</v>
      </c>
      <c r="CK2" s="26">
        <v>3500000</v>
      </c>
      <c r="CL2" s="26">
        <v>3500000</v>
      </c>
      <c r="CM2" s="26">
        <v>3500000</v>
      </c>
      <c r="CN2" s="26">
        <v>5007600</v>
      </c>
      <c r="CO2" s="26">
        <v>23</v>
      </c>
      <c r="CP2" s="26">
        <v>5007600</v>
      </c>
      <c r="CQ2" s="26">
        <v>730000</v>
      </c>
      <c r="CR2" s="26">
        <v>500000</v>
      </c>
      <c r="CS2" s="26">
        <v>1200000</v>
      </c>
      <c r="CT2" s="26">
        <v>3500000</v>
      </c>
      <c r="CU2" s="26">
        <v>5930000</v>
      </c>
    </row>
    <row r="3" spans="1:99" x14ac:dyDescent="0.3">
      <c r="A3" s="26">
        <v>1</v>
      </c>
      <c r="B3" s="27" t="s">
        <v>9</v>
      </c>
      <c r="C3" s="27" t="s">
        <v>10</v>
      </c>
      <c r="D3" s="27" t="s">
        <v>11</v>
      </c>
      <c r="E3" s="27" t="s">
        <v>12</v>
      </c>
      <c r="F3" s="26">
        <v>8024957378</v>
      </c>
      <c r="G3" s="27" t="s">
        <v>13</v>
      </c>
      <c r="H3" s="26">
        <v>5007600</v>
      </c>
      <c r="I3" s="26">
        <v>5007600</v>
      </c>
      <c r="J3" s="26">
        <v>5007600</v>
      </c>
      <c r="K3" s="26">
        <v>5007600</v>
      </c>
      <c r="L3" s="26">
        <v>5007600</v>
      </c>
      <c r="M3" s="26">
        <v>5007600</v>
      </c>
      <c r="N3" s="26">
        <v>5007600</v>
      </c>
      <c r="O3" s="26">
        <v>5007600</v>
      </c>
      <c r="P3" s="26">
        <v>5007600</v>
      </c>
      <c r="Q3" s="26">
        <v>5007600</v>
      </c>
      <c r="R3" s="26">
        <v>5007600</v>
      </c>
      <c r="S3" s="26">
        <v>5007600</v>
      </c>
      <c r="T3" s="26">
        <v>5007600</v>
      </c>
      <c r="U3" s="26">
        <v>5007600</v>
      </c>
      <c r="V3" s="26">
        <v>5007600</v>
      </c>
      <c r="W3" s="26">
        <v>5007600</v>
      </c>
      <c r="X3" s="26">
        <v>5007600</v>
      </c>
      <c r="Y3" s="26">
        <v>5007600</v>
      </c>
      <c r="Z3" s="26">
        <v>5007600</v>
      </c>
      <c r="AA3" s="26">
        <v>5007600</v>
      </c>
      <c r="AB3" s="26">
        <v>5007600</v>
      </c>
      <c r="AC3" s="26">
        <v>5007600</v>
      </c>
      <c r="AD3" s="26">
        <v>5007600</v>
      </c>
      <c r="AE3" s="26">
        <v>5007600</v>
      </c>
      <c r="AF3" s="26">
        <v>730000</v>
      </c>
      <c r="AG3" s="26">
        <v>730000</v>
      </c>
      <c r="AH3" s="26">
        <v>730000</v>
      </c>
      <c r="AI3" s="26">
        <v>730000</v>
      </c>
      <c r="AJ3" s="26">
        <v>730000</v>
      </c>
      <c r="AK3" s="26">
        <v>730000</v>
      </c>
      <c r="AL3" s="26">
        <v>730000</v>
      </c>
      <c r="AM3" s="26">
        <v>730000</v>
      </c>
      <c r="AN3" s="26">
        <v>730000</v>
      </c>
      <c r="AO3" s="26">
        <v>730000</v>
      </c>
      <c r="AP3" s="26">
        <v>730000</v>
      </c>
      <c r="AQ3" s="26">
        <v>730000</v>
      </c>
      <c r="AR3" s="26">
        <v>500000</v>
      </c>
      <c r="AS3" s="26">
        <v>500000</v>
      </c>
      <c r="AT3" s="26">
        <v>500000</v>
      </c>
      <c r="AU3" s="26">
        <v>500000</v>
      </c>
      <c r="AV3" s="26">
        <v>500000</v>
      </c>
      <c r="AW3" s="26">
        <v>500000</v>
      </c>
      <c r="AX3" s="26">
        <v>500000</v>
      </c>
      <c r="AY3" s="26">
        <v>500000</v>
      </c>
      <c r="AZ3" s="26">
        <v>500000</v>
      </c>
      <c r="BA3" s="26">
        <v>500000</v>
      </c>
      <c r="BB3" s="26">
        <v>500000</v>
      </c>
      <c r="BC3" s="26">
        <v>500000</v>
      </c>
      <c r="BD3" s="26">
        <v>0</v>
      </c>
      <c r="BE3" s="26">
        <v>0</v>
      </c>
      <c r="BF3" s="26">
        <v>0</v>
      </c>
      <c r="BG3" s="26">
        <v>0</v>
      </c>
      <c r="BH3" s="26">
        <v>0</v>
      </c>
      <c r="BI3" s="26">
        <v>0</v>
      </c>
      <c r="BJ3" s="26">
        <v>0</v>
      </c>
      <c r="BK3" s="26">
        <v>0</v>
      </c>
      <c r="BL3" s="26">
        <v>0</v>
      </c>
      <c r="BM3" s="26">
        <v>0</v>
      </c>
      <c r="BN3" s="26">
        <v>0</v>
      </c>
      <c r="BO3" s="26">
        <v>0</v>
      </c>
      <c r="BP3" s="26">
        <v>1200000</v>
      </c>
      <c r="BQ3" s="26">
        <v>1200000</v>
      </c>
      <c r="BR3" s="26">
        <v>1200000</v>
      </c>
      <c r="BS3" s="26">
        <v>1200000</v>
      </c>
      <c r="BT3" s="26">
        <v>1200000</v>
      </c>
      <c r="BU3" s="26">
        <v>1200000</v>
      </c>
      <c r="BV3" s="26">
        <v>1200000</v>
      </c>
      <c r="BW3" s="26">
        <v>1200000</v>
      </c>
      <c r="BX3" s="26">
        <v>1200000</v>
      </c>
      <c r="BY3" s="26">
        <v>1200000</v>
      </c>
      <c r="BZ3" s="26">
        <v>1200000</v>
      </c>
      <c r="CA3" s="26">
        <v>1200000</v>
      </c>
      <c r="CB3" s="26">
        <v>3500000</v>
      </c>
      <c r="CC3" s="26">
        <v>3500000</v>
      </c>
      <c r="CD3" s="26">
        <v>3500000</v>
      </c>
      <c r="CE3" s="26">
        <v>3500000</v>
      </c>
      <c r="CF3" s="26">
        <v>3500000</v>
      </c>
      <c r="CG3" s="26">
        <v>3500000</v>
      </c>
      <c r="CH3" s="26">
        <v>3500000</v>
      </c>
      <c r="CI3" s="26">
        <v>3500000</v>
      </c>
      <c r="CJ3" s="26">
        <v>3500000</v>
      </c>
      <c r="CK3" s="26">
        <v>3500000</v>
      </c>
      <c r="CL3" s="26">
        <v>3500000</v>
      </c>
      <c r="CM3" s="26">
        <v>3500000</v>
      </c>
      <c r="CN3" s="26">
        <v>5007600</v>
      </c>
      <c r="CO3" s="26">
        <v>23</v>
      </c>
      <c r="CP3" s="26">
        <v>5007600</v>
      </c>
      <c r="CQ3" s="26">
        <v>730000</v>
      </c>
      <c r="CR3" s="26">
        <v>500000</v>
      </c>
      <c r="CS3" s="26">
        <v>1200000</v>
      </c>
      <c r="CT3" s="26">
        <v>3500000</v>
      </c>
      <c r="CU3" s="26">
        <v>5930000</v>
      </c>
    </row>
    <row r="4" spans="1:99" x14ac:dyDescent="0.3">
      <c r="A4" s="26">
        <v>1</v>
      </c>
      <c r="B4" s="27" t="s">
        <v>9</v>
      </c>
      <c r="C4" s="27" t="s">
        <v>10</v>
      </c>
      <c r="D4" s="27" t="s">
        <v>11</v>
      </c>
      <c r="E4" s="27" t="s">
        <v>12</v>
      </c>
      <c r="F4" s="26">
        <v>8024957378</v>
      </c>
      <c r="G4" s="27" t="s">
        <v>13</v>
      </c>
      <c r="H4" s="26">
        <v>5007600</v>
      </c>
      <c r="I4" s="26">
        <v>5007600</v>
      </c>
      <c r="J4" s="26">
        <v>5007600</v>
      </c>
      <c r="K4" s="26">
        <v>5007600</v>
      </c>
      <c r="L4" s="26">
        <v>5007600</v>
      </c>
      <c r="M4" s="26">
        <v>5007600</v>
      </c>
      <c r="N4" s="26">
        <v>5007600</v>
      </c>
      <c r="O4" s="26">
        <v>5007600</v>
      </c>
      <c r="P4" s="26">
        <v>5007600</v>
      </c>
      <c r="Q4" s="26">
        <v>5007600</v>
      </c>
      <c r="R4" s="26">
        <v>5007600</v>
      </c>
      <c r="S4" s="26">
        <v>5007600</v>
      </c>
      <c r="T4" s="26">
        <v>5007600</v>
      </c>
      <c r="U4" s="26">
        <v>5007600</v>
      </c>
      <c r="V4" s="26">
        <v>5007600</v>
      </c>
      <c r="W4" s="26">
        <v>5007600</v>
      </c>
      <c r="X4" s="26">
        <v>5007600</v>
      </c>
      <c r="Y4" s="26">
        <v>5007600</v>
      </c>
      <c r="Z4" s="26">
        <v>5007600</v>
      </c>
      <c r="AA4" s="26">
        <v>5007600</v>
      </c>
      <c r="AB4" s="26">
        <v>5007600</v>
      </c>
      <c r="AC4" s="26">
        <v>5007600</v>
      </c>
      <c r="AD4" s="26">
        <v>5007600</v>
      </c>
      <c r="AE4" s="26">
        <v>5007600</v>
      </c>
      <c r="AF4" s="26">
        <v>730000</v>
      </c>
      <c r="AG4" s="26">
        <v>730000</v>
      </c>
      <c r="AH4" s="26">
        <v>730000</v>
      </c>
      <c r="AI4" s="26">
        <v>730000</v>
      </c>
      <c r="AJ4" s="26">
        <v>730000</v>
      </c>
      <c r="AK4" s="26">
        <v>730000</v>
      </c>
      <c r="AL4" s="26">
        <v>730000</v>
      </c>
      <c r="AM4" s="26">
        <v>730000</v>
      </c>
      <c r="AN4" s="26">
        <v>730000</v>
      </c>
      <c r="AO4" s="26">
        <v>730000</v>
      </c>
      <c r="AP4" s="26">
        <v>730000</v>
      </c>
      <c r="AQ4" s="26">
        <v>730000</v>
      </c>
      <c r="AR4" s="26">
        <v>500000</v>
      </c>
      <c r="AS4" s="26">
        <v>500000</v>
      </c>
      <c r="AT4" s="26">
        <v>500000</v>
      </c>
      <c r="AU4" s="26">
        <v>500000</v>
      </c>
      <c r="AV4" s="26">
        <v>500000</v>
      </c>
      <c r="AW4" s="26">
        <v>500000</v>
      </c>
      <c r="AX4" s="26">
        <v>500000</v>
      </c>
      <c r="AY4" s="26">
        <v>500000</v>
      </c>
      <c r="AZ4" s="26">
        <v>500000</v>
      </c>
      <c r="BA4" s="26">
        <v>500000</v>
      </c>
      <c r="BB4" s="26">
        <v>500000</v>
      </c>
      <c r="BC4" s="26">
        <v>500000</v>
      </c>
      <c r="BD4" s="26">
        <v>0</v>
      </c>
      <c r="BE4" s="26">
        <v>0</v>
      </c>
      <c r="BF4" s="26">
        <v>0</v>
      </c>
      <c r="BG4" s="26">
        <v>0</v>
      </c>
      <c r="BH4" s="26">
        <v>0</v>
      </c>
      <c r="BI4" s="26">
        <v>0</v>
      </c>
      <c r="BJ4" s="26">
        <v>0</v>
      </c>
      <c r="BK4" s="26">
        <v>0</v>
      </c>
      <c r="BL4" s="26">
        <v>0</v>
      </c>
      <c r="BM4" s="26">
        <v>0</v>
      </c>
      <c r="BN4" s="26">
        <v>0</v>
      </c>
      <c r="BO4" s="26">
        <v>0</v>
      </c>
      <c r="BP4" s="26">
        <v>1200000</v>
      </c>
      <c r="BQ4" s="26">
        <v>1200000</v>
      </c>
      <c r="BR4" s="26">
        <v>1200000</v>
      </c>
      <c r="BS4" s="26">
        <v>1200000</v>
      </c>
      <c r="BT4" s="26">
        <v>1200000</v>
      </c>
      <c r="BU4" s="26">
        <v>1200000</v>
      </c>
      <c r="BV4" s="26">
        <v>1200000</v>
      </c>
      <c r="BW4" s="26">
        <v>1200000</v>
      </c>
      <c r="BX4" s="26">
        <v>1200000</v>
      </c>
      <c r="BY4" s="26">
        <v>1200000</v>
      </c>
      <c r="BZ4" s="26">
        <v>1200000</v>
      </c>
      <c r="CA4" s="26">
        <v>1200000</v>
      </c>
      <c r="CB4" s="26">
        <v>3500000</v>
      </c>
      <c r="CC4" s="26">
        <v>3500000</v>
      </c>
      <c r="CD4" s="26">
        <v>3500000</v>
      </c>
      <c r="CE4" s="26">
        <v>3500000</v>
      </c>
      <c r="CF4" s="26">
        <v>3500000</v>
      </c>
      <c r="CG4" s="26">
        <v>3500000</v>
      </c>
      <c r="CH4" s="26">
        <v>3500000</v>
      </c>
      <c r="CI4" s="26">
        <v>3500000</v>
      </c>
      <c r="CJ4" s="26">
        <v>3500000</v>
      </c>
      <c r="CK4" s="26">
        <v>3500000</v>
      </c>
      <c r="CL4" s="26">
        <v>3500000</v>
      </c>
      <c r="CM4" s="26">
        <v>3500000</v>
      </c>
      <c r="CN4" s="26">
        <v>5007600</v>
      </c>
      <c r="CO4" s="26">
        <v>21</v>
      </c>
      <c r="CP4" s="26">
        <v>5007600</v>
      </c>
      <c r="CQ4" s="26">
        <v>730000</v>
      </c>
      <c r="CR4" s="26">
        <v>500000</v>
      </c>
      <c r="CS4" s="26">
        <v>1200000</v>
      </c>
      <c r="CT4" s="26">
        <v>3500000</v>
      </c>
      <c r="CU4" s="26">
        <v>5930000</v>
      </c>
    </row>
    <row r="5" spans="1:99" x14ac:dyDescent="0.3">
      <c r="A5" s="26">
        <v>1</v>
      </c>
      <c r="B5" s="27" t="s">
        <v>9</v>
      </c>
      <c r="C5" s="27" t="s">
        <v>10</v>
      </c>
      <c r="D5" s="27" t="s">
        <v>11</v>
      </c>
      <c r="E5" s="27" t="s">
        <v>12</v>
      </c>
      <c r="F5" s="26">
        <v>8024957378</v>
      </c>
      <c r="G5" s="27" t="s">
        <v>13</v>
      </c>
      <c r="H5" s="26">
        <v>5007600</v>
      </c>
      <c r="I5" s="26">
        <v>5007600</v>
      </c>
      <c r="J5" s="26">
        <v>5007600</v>
      </c>
      <c r="K5" s="26">
        <v>5007600</v>
      </c>
      <c r="L5" s="26">
        <v>5007600</v>
      </c>
      <c r="M5" s="26">
        <v>5007600</v>
      </c>
      <c r="N5" s="26">
        <v>5007600</v>
      </c>
      <c r="O5" s="26">
        <v>5007600</v>
      </c>
      <c r="P5" s="26">
        <v>5007600</v>
      </c>
      <c r="Q5" s="26">
        <v>5007600</v>
      </c>
      <c r="R5" s="26">
        <v>5007600</v>
      </c>
      <c r="S5" s="26">
        <v>5007600</v>
      </c>
      <c r="T5" s="26">
        <v>5007600</v>
      </c>
      <c r="U5" s="26">
        <v>5007600</v>
      </c>
      <c r="V5" s="26">
        <v>5007600</v>
      </c>
      <c r="W5" s="26">
        <v>5007600</v>
      </c>
      <c r="X5" s="26">
        <v>5007600</v>
      </c>
      <c r="Y5" s="26">
        <v>5007600</v>
      </c>
      <c r="Z5" s="26">
        <v>5007600</v>
      </c>
      <c r="AA5" s="26">
        <v>5007600</v>
      </c>
      <c r="AB5" s="26">
        <v>5007600</v>
      </c>
      <c r="AC5" s="26">
        <v>5007600</v>
      </c>
      <c r="AD5" s="26">
        <v>5007600</v>
      </c>
      <c r="AE5" s="26">
        <v>5007600</v>
      </c>
      <c r="AF5" s="26">
        <v>730000</v>
      </c>
      <c r="AG5" s="26">
        <v>730000</v>
      </c>
      <c r="AH5" s="26">
        <v>730000</v>
      </c>
      <c r="AI5" s="26">
        <v>730000</v>
      </c>
      <c r="AJ5" s="26">
        <v>730000</v>
      </c>
      <c r="AK5" s="26">
        <v>730000</v>
      </c>
      <c r="AL5" s="26">
        <v>730000</v>
      </c>
      <c r="AM5" s="26">
        <v>730000</v>
      </c>
      <c r="AN5" s="26">
        <v>730000</v>
      </c>
      <c r="AO5" s="26">
        <v>730000</v>
      </c>
      <c r="AP5" s="26">
        <v>730000</v>
      </c>
      <c r="AQ5" s="26">
        <v>730000</v>
      </c>
      <c r="AR5" s="26">
        <v>500000</v>
      </c>
      <c r="AS5" s="26">
        <v>500000</v>
      </c>
      <c r="AT5" s="26">
        <v>500000</v>
      </c>
      <c r="AU5" s="26">
        <v>500000</v>
      </c>
      <c r="AV5" s="26">
        <v>500000</v>
      </c>
      <c r="AW5" s="26">
        <v>500000</v>
      </c>
      <c r="AX5" s="26">
        <v>500000</v>
      </c>
      <c r="AY5" s="26">
        <v>500000</v>
      </c>
      <c r="AZ5" s="26">
        <v>500000</v>
      </c>
      <c r="BA5" s="26">
        <v>500000</v>
      </c>
      <c r="BB5" s="26">
        <v>500000</v>
      </c>
      <c r="BC5" s="26">
        <v>500000</v>
      </c>
      <c r="BD5" s="26">
        <v>0</v>
      </c>
      <c r="BE5" s="26">
        <v>0</v>
      </c>
      <c r="BF5" s="26">
        <v>0</v>
      </c>
      <c r="BG5" s="26">
        <v>0</v>
      </c>
      <c r="BH5" s="26">
        <v>0</v>
      </c>
      <c r="BI5" s="26">
        <v>0</v>
      </c>
      <c r="BJ5" s="26">
        <v>0</v>
      </c>
      <c r="BK5" s="26">
        <v>0</v>
      </c>
      <c r="BL5" s="26">
        <v>0</v>
      </c>
      <c r="BM5" s="26">
        <v>0</v>
      </c>
      <c r="BN5" s="26">
        <v>0</v>
      </c>
      <c r="BO5" s="26">
        <v>0</v>
      </c>
      <c r="BP5" s="26">
        <v>1200000</v>
      </c>
      <c r="BQ5" s="26">
        <v>1200000</v>
      </c>
      <c r="BR5" s="26">
        <v>1200000</v>
      </c>
      <c r="BS5" s="26">
        <v>1200000</v>
      </c>
      <c r="BT5" s="26">
        <v>1200000</v>
      </c>
      <c r="BU5" s="26">
        <v>1200000</v>
      </c>
      <c r="BV5" s="26">
        <v>1200000</v>
      </c>
      <c r="BW5" s="26">
        <v>1200000</v>
      </c>
      <c r="BX5" s="26">
        <v>1200000</v>
      </c>
      <c r="BY5" s="26">
        <v>1200000</v>
      </c>
      <c r="BZ5" s="26">
        <v>1200000</v>
      </c>
      <c r="CA5" s="26">
        <v>1200000</v>
      </c>
      <c r="CB5" s="26">
        <v>3500000</v>
      </c>
      <c r="CC5" s="26">
        <v>3500000</v>
      </c>
      <c r="CD5" s="26">
        <v>3500000</v>
      </c>
      <c r="CE5" s="26">
        <v>3500000</v>
      </c>
      <c r="CF5" s="26">
        <v>3500000</v>
      </c>
      <c r="CG5" s="26">
        <v>3500000</v>
      </c>
      <c r="CH5" s="26">
        <v>3500000</v>
      </c>
      <c r="CI5" s="26">
        <v>3500000</v>
      </c>
      <c r="CJ5" s="26">
        <v>3500000</v>
      </c>
      <c r="CK5" s="26">
        <v>3500000</v>
      </c>
      <c r="CL5" s="26">
        <v>3500000</v>
      </c>
      <c r="CM5" s="26">
        <v>3500000</v>
      </c>
      <c r="CN5" s="26">
        <v>5007600</v>
      </c>
      <c r="CO5" s="26">
        <v>22</v>
      </c>
      <c r="CP5" s="26">
        <v>5007600</v>
      </c>
      <c r="CQ5" s="26">
        <v>730000</v>
      </c>
      <c r="CR5" s="26">
        <v>500000</v>
      </c>
      <c r="CS5" s="26">
        <v>1200000</v>
      </c>
      <c r="CT5" s="26">
        <v>3500000</v>
      </c>
      <c r="CU5" s="26">
        <v>5930000</v>
      </c>
    </row>
    <row r="6" spans="1:99" x14ac:dyDescent="0.3">
      <c r="A6" s="26">
        <v>1</v>
      </c>
      <c r="B6" s="27" t="s">
        <v>9</v>
      </c>
      <c r="C6" s="27" t="s">
        <v>10</v>
      </c>
      <c r="D6" s="27" t="s">
        <v>11</v>
      </c>
      <c r="E6" s="27" t="s">
        <v>12</v>
      </c>
      <c r="F6" s="26">
        <v>8024957378</v>
      </c>
      <c r="G6" s="27" t="s">
        <v>13</v>
      </c>
      <c r="H6" s="26">
        <v>5007600</v>
      </c>
      <c r="I6" s="26">
        <v>5007600</v>
      </c>
      <c r="J6" s="26">
        <v>5007600</v>
      </c>
      <c r="K6" s="26">
        <v>5007600</v>
      </c>
      <c r="L6" s="26">
        <v>5007600</v>
      </c>
      <c r="M6" s="26">
        <v>5007600</v>
      </c>
      <c r="N6" s="26">
        <v>5007600</v>
      </c>
      <c r="O6" s="26">
        <v>5007600</v>
      </c>
      <c r="P6" s="26">
        <v>5007600</v>
      </c>
      <c r="Q6" s="26">
        <v>5007600</v>
      </c>
      <c r="R6" s="26">
        <v>5007600</v>
      </c>
      <c r="S6" s="26">
        <v>5007600</v>
      </c>
      <c r="T6" s="26">
        <v>5007600</v>
      </c>
      <c r="U6" s="26">
        <v>5007600</v>
      </c>
      <c r="V6" s="26">
        <v>5007600</v>
      </c>
      <c r="W6" s="26">
        <v>5007600</v>
      </c>
      <c r="X6" s="26">
        <v>5007600</v>
      </c>
      <c r="Y6" s="26">
        <v>5007600</v>
      </c>
      <c r="Z6" s="26">
        <v>5007600</v>
      </c>
      <c r="AA6" s="26">
        <v>5007600</v>
      </c>
      <c r="AB6" s="26">
        <v>5007600</v>
      </c>
      <c r="AC6" s="26">
        <v>5007600</v>
      </c>
      <c r="AD6" s="26">
        <v>5007600</v>
      </c>
      <c r="AE6" s="26">
        <v>5007600</v>
      </c>
      <c r="AF6" s="26">
        <v>730000</v>
      </c>
      <c r="AG6" s="26">
        <v>730000</v>
      </c>
      <c r="AH6" s="26">
        <v>730000</v>
      </c>
      <c r="AI6" s="26">
        <v>730000</v>
      </c>
      <c r="AJ6" s="26">
        <v>730000</v>
      </c>
      <c r="AK6" s="26">
        <v>730000</v>
      </c>
      <c r="AL6" s="26">
        <v>730000</v>
      </c>
      <c r="AM6" s="26">
        <v>730000</v>
      </c>
      <c r="AN6" s="26">
        <v>730000</v>
      </c>
      <c r="AO6" s="26">
        <v>730000</v>
      </c>
      <c r="AP6" s="26">
        <v>730000</v>
      </c>
      <c r="AQ6" s="26">
        <v>730000</v>
      </c>
      <c r="AR6" s="26">
        <v>500000</v>
      </c>
      <c r="AS6" s="26">
        <v>500000</v>
      </c>
      <c r="AT6" s="26">
        <v>500000</v>
      </c>
      <c r="AU6" s="26">
        <v>500000</v>
      </c>
      <c r="AV6" s="26">
        <v>500000</v>
      </c>
      <c r="AW6" s="26">
        <v>500000</v>
      </c>
      <c r="AX6" s="26">
        <v>500000</v>
      </c>
      <c r="AY6" s="26">
        <v>500000</v>
      </c>
      <c r="AZ6" s="26">
        <v>500000</v>
      </c>
      <c r="BA6" s="26">
        <v>500000</v>
      </c>
      <c r="BB6" s="26">
        <v>500000</v>
      </c>
      <c r="BC6" s="26">
        <v>500000</v>
      </c>
      <c r="BD6" s="26">
        <v>0</v>
      </c>
      <c r="BE6" s="26">
        <v>0</v>
      </c>
      <c r="BF6" s="26">
        <v>0</v>
      </c>
      <c r="BG6" s="26">
        <v>0</v>
      </c>
      <c r="BH6" s="26">
        <v>0</v>
      </c>
      <c r="BI6" s="26">
        <v>0</v>
      </c>
      <c r="BJ6" s="26">
        <v>0</v>
      </c>
      <c r="BK6" s="26">
        <v>0</v>
      </c>
      <c r="BL6" s="26">
        <v>0</v>
      </c>
      <c r="BM6" s="26">
        <v>0</v>
      </c>
      <c r="BN6" s="26">
        <v>0</v>
      </c>
      <c r="BO6" s="26">
        <v>0</v>
      </c>
      <c r="BP6" s="26">
        <v>1200000</v>
      </c>
      <c r="BQ6" s="26">
        <v>1200000</v>
      </c>
      <c r="BR6" s="26">
        <v>1200000</v>
      </c>
      <c r="BS6" s="26">
        <v>1200000</v>
      </c>
      <c r="BT6" s="26">
        <v>1200000</v>
      </c>
      <c r="BU6" s="26">
        <v>1200000</v>
      </c>
      <c r="BV6" s="26">
        <v>1200000</v>
      </c>
      <c r="BW6" s="26">
        <v>1200000</v>
      </c>
      <c r="BX6" s="26">
        <v>1200000</v>
      </c>
      <c r="BY6" s="26">
        <v>1200000</v>
      </c>
      <c r="BZ6" s="26">
        <v>1200000</v>
      </c>
      <c r="CA6" s="26">
        <v>1200000</v>
      </c>
      <c r="CB6" s="26">
        <v>3500000</v>
      </c>
      <c r="CC6" s="26">
        <v>3500000</v>
      </c>
      <c r="CD6" s="26">
        <v>3500000</v>
      </c>
      <c r="CE6" s="26">
        <v>3500000</v>
      </c>
      <c r="CF6" s="26">
        <v>3500000</v>
      </c>
      <c r="CG6" s="26">
        <v>3500000</v>
      </c>
      <c r="CH6" s="26">
        <v>3500000</v>
      </c>
      <c r="CI6" s="26">
        <v>3500000</v>
      </c>
      <c r="CJ6" s="26">
        <v>3500000</v>
      </c>
      <c r="CK6" s="26">
        <v>3500000</v>
      </c>
      <c r="CL6" s="26">
        <v>3500000</v>
      </c>
      <c r="CM6" s="26">
        <v>3500000</v>
      </c>
      <c r="CN6" s="26">
        <v>5007600</v>
      </c>
      <c r="CO6" s="26">
        <v>23</v>
      </c>
      <c r="CP6" s="26">
        <v>5007600</v>
      </c>
      <c r="CQ6" s="26">
        <v>730000</v>
      </c>
      <c r="CR6" s="26">
        <v>500000</v>
      </c>
      <c r="CS6" s="26">
        <v>1200000</v>
      </c>
      <c r="CT6" s="26">
        <v>3500000</v>
      </c>
      <c r="CU6" s="26">
        <v>5930000</v>
      </c>
    </row>
    <row r="7" spans="1:99" x14ac:dyDescent="0.3">
      <c r="A7" s="26">
        <v>1</v>
      </c>
      <c r="B7" s="27" t="s">
        <v>9</v>
      </c>
      <c r="C7" s="27" t="s">
        <v>10</v>
      </c>
      <c r="D7" s="27" t="s">
        <v>11</v>
      </c>
      <c r="E7" s="27" t="s">
        <v>12</v>
      </c>
      <c r="F7" s="26">
        <v>8024957378</v>
      </c>
      <c r="G7" s="27" t="s">
        <v>13</v>
      </c>
      <c r="H7" s="26">
        <v>5007600</v>
      </c>
      <c r="I7" s="26">
        <v>5007600</v>
      </c>
      <c r="J7" s="26">
        <v>5007600</v>
      </c>
      <c r="K7" s="26">
        <v>5007600</v>
      </c>
      <c r="L7" s="26">
        <v>5007600</v>
      </c>
      <c r="M7" s="26">
        <v>5007600</v>
      </c>
      <c r="N7" s="26">
        <v>5007600</v>
      </c>
      <c r="O7" s="26">
        <v>5007600</v>
      </c>
      <c r="P7" s="26">
        <v>5007600</v>
      </c>
      <c r="Q7" s="26">
        <v>5007600</v>
      </c>
      <c r="R7" s="26">
        <v>5007600</v>
      </c>
      <c r="S7" s="26">
        <v>5007600</v>
      </c>
      <c r="T7" s="26">
        <v>5007600</v>
      </c>
      <c r="U7" s="26">
        <v>5007600</v>
      </c>
      <c r="V7" s="26">
        <v>5007600</v>
      </c>
      <c r="W7" s="26">
        <v>5007600</v>
      </c>
      <c r="X7" s="26">
        <v>5007600</v>
      </c>
      <c r="Y7" s="26">
        <v>5007600</v>
      </c>
      <c r="Z7" s="26">
        <v>5007600</v>
      </c>
      <c r="AA7" s="26">
        <v>5007600</v>
      </c>
      <c r="AB7" s="26">
        <v>5007600</v>
      </c>
      <c r="AC7" s="26">
        <v>5007600</v>
      </c>
      <c r="AD7" s="26">
        <v>5007600</v>
      </c>
      <c r="AE7" s="26">
        <v>5007600</v>
      </c>
      <c r="AF7" s="26">
        <v>730000</v>
      </c>
      <c r="AG7" s="26">
        <v>730000</v>
      </c>
      <c r="AH7" s="26">
        <v>730000</v>
      </c>
      <c r="AI7" s="26">
        <v>730000</v>
      </c>
      <c r="AJ7" s="26">
        <v>730000</v>
      </c>
      <c r="AK7" s="26">
        <v>730000</v>
      </c>
      <c r="AL7" s="26">
        <v>730000</v>
      </c>
      <c r="AM7" s="26">
        <v>730000</v>
      </c>
      <c r="AN7" s="26">
        <v>730000</v>
      </c>
      <c r="AO7" s="26">
        <v>730000</v>
      </c>
      <c r="AP7" s="26">
        <v>730000</v>
      </c>
      <c r="AQ7" s="26">
        <v>730000</v>
      </c>
      <c r="AR7" s="26">
        <v>500000</v>
      </c>
      <c r="AS7" s="26">
        <v>500000</v>
      </c>
      <c r="AT7" s="26">
        <v>500000</v>
      </c>
      <c r="AU7" s="26">
        <v>500000</v>
      </c>
      <c r="AV7" s="26">
        <v>500000</v>
      </c>
      <c r="AW7" s="26">
        <v>500000</v>
      </c>
      <c r="AX7" s="26">
        <v>500000</v>
      </c>
      <c r="AY7" s="26">
        <v>500000</v>
      </c>
      <c r="AZ7" s="26">
        <v>500000</v>
      </c>
      <c r="BA7" s="26">
        <v>500000</v>
      </c>
      <c r="BB7" s="26">
        <v>500000</v>
      </c>
      <c r="BC7" s="26">
        <v>500000</v>
      </c>
      <c r="BD7" s="26">
        <v>0</v>
      </c>
      <c r="BE7" s="26">
        <v>0</v>
      </c>
      <c r="BF7" s="26">
        <v>0</v>
      </c>
      <c r="BG7" s="26">
        <v>0</v>
      </c>
      <c r="BH7" s="26">
        <v>0</v>
      </c>
      <c r="BI7" s="26">
        <v>0</v>
      </c>
      <c r="BJ7" s="26">
        <v>0</v>
      </c>
      <c r="BK7" s="26">
        <v>0</v>
      </c>
      <c r="BL7" s="26">
        <v>0</v>
      </c>
      <c r="BM7" s="26">
        <v>0</v>
      </c>
      <c r="BN7" s="26">
        <v>0</v>
      </c>
      <c r="BO7" s="26">
        <v>0</v>
      </c>
      <c r="BP7" s="26">
        <v>1200000</v>
      </c>
      <c r="BQ7" s="26">
        <v>1200000</v>
      </c>
      <c r="BR7" s="26">
        <v>1200000</v>
      </c>
      <c r="BS7" s="26">
        <v>1200000</v>
      </c>
      <c r="BT7" s="26">
        <v>1200000</v>
      </c>
      <c r="BU7" s="26">
        <v>1200000</v>
      </c>
      <c r="BV7" s="26">
        <v>1200000</v>
      </c>
      <c r="BW7" s="26">
        <v>1200000</v>
      </c>
      <c r="BX7" s="26">
        <v>1200000</v>
      </c>
      <c r="BY7" s="26">
        <v>1200000</v>
      </c>
      <c r="BZ7" s="26">
        <v>1200000</v>
      </c>
      <c r="CA7" s="26">
        <v>1200000</v>
      </c>
      <c r="CB7" s="26">
        <v>3500000</v>
      </c>
      <c r="CC7" s="26">
        <v>3500000</v>
      </c>
      <c r="CD7" s="26">
        <v>3500000</v>
      </c>
      <c r="CE7" s="26">
        <v>3500000</v>
      </c>
      <c r="CF7" s="26">
        <v>3500000</v>
      </c>
      <c r="CG7" s="26">
        <v>3500000</v>
      </c>
      <c r="CH7" s="26">
        <v>3500000</v>
      </c>
      <c r="CI7" s="26">
        <v>3500000</v>
      </c>
      <c r="CJ7" s="26">
        <v>3500000</v>
      </c>
      <c r="CK7" s="26">
        <v>3500000</v>
      </c>
      <c r="CL7" s="26">
        <v>3500000</v>
      </c>
      <c r="CM7" s="26">
        <v>3500000</v>
      </c>
      <c r="CN7" s="26">
        <v>5007600</v>
      </c>
      <c r="CO7" s="26">
        <v>20</v>
      </c>
      <c r="CP7" s="26">
        <v>5007600</v>
      </c>
      <c r="CQ7" s="26">
        <v>730000</v>
      </c>
      <c r="CR7" s="26">
        <v>500000</v>
      </c>
      <c r="CS7" s="26">
        <v>1200000</v>
      </c>
      <c r="CT7" s="26">
        <v>3500000</v>
      </c>
      <c r="CU7" s="26">
        <v>5930000</v>
      </c>
    </row>
    <row r="8" spans="1:99" x14ac:dyDescent="0.3">
      <c r="A8" s="26">
        <v>1</v>
      </c>
      <c r="B8" s="27" t="s">
        <v>9</v>
      </c>
      <c r="C8" s="27" t="s">
        <v>10</v>
      </c>
      <c r="D8" s="27" t="s">
        <v>11</v>
      </c>
      <c r="E8" s="27" t="s">
        <v>12</v>
      </c>
      <c r="F8" s="26">
        <v>8024957378</v>
      </c>
      <c r="G8" s="27" t="s">
        <v>13</v>
      </c>
      <c r="H8" s="26">
        <v>5007600</v>
      </c>
      <c r="I8" s="26">
        <v>5007600</v>
      </c>
      <c r="J8" s="26">
        <v>5007600</v>
      </c>
      <c r="K8" s="26">
        <v>5007600</v>
      </c>
      <c r="L8" s="26">
        <v>5007600</v>
      </c>
      <c r="M8" s="26">
        <v>5007600</v>
      </c>
      <c r="N8" s="26">
        <v>5007600</v>
      </c>
      <c r="O8" s="26">
        <v>5007600</v>
      </c>
      <c r="P8" s="26">
        <v>5007600</v>
      </c>
      <c r="Q8" s="26">
        <v>5007600</v>
      </c>
      <c r="R8" s="26">
        <v>5007600</v>
      </c>
      <c r="S8" s="26">
        <v>5007600</v>
      </c>
      <c r="T8" s="26">
        <v>5007600</v>
      </c>
      <c r="U8" s="26">
        <v>5007600</v>
      </c>
      <c r="V8" s="26">
        <v>5007600</v>
      </c>
      <c r="W8" s="26">
        <v>5007600</v>
      </c>
      <c r="X8" s="26">
        <v>5007600</v>
      </c>
      <c r="Y8" s="26">
        <v>5007600</v>
      </c>
      <c r="Z8" s="26">
        <v>5007600</v>
      </c>
      <c r="AA8" s="26">
        <v>5007600</v>
      </c>
      <c r="AB8" s="26">
        <v>5007600</v>
      </c>
      <c r="AC8" s="26">
        <v>5007600</v>
      </c>
      <c r="AD8" s="26">
        <v>5007600</v>
      </c>
      <c r="AE8" s="26">
        <v>5007600</v>
      </c>
      <c r="AF8" s="26">
        <v>730000</v>
      </c>
      <c r="AG8" s="26">
        <v>730000</v>
      </c>
      <c r="AH8" s="26">
        <v>730000</v>
      </c>
      <c r="AI8" s="26">
        <v>730000</v>
      </c>
      <c r="AJ8" s="26">
        <v>730000</v>
      </c>
      <c r="AK8" s="26">
        <v>730000</v>
      </c>
      <c r="AL8" s="26">
        <v>730000</v>
      </c>
      <c r="AM8" s="26">
        <v>730000</v>
      </c>
      <c r="AN8" s="26">
        <v>730000</v>
      </c>
      <c r="AO8" s="26">
        <v>730000</v>
      </c>
      <c r="AP8" s="26">
        <v>730000</v>
      </c>
      <c r="AQ8" s="26">
        <v>730000</v>
      </c>
      <c r="AR8" s="26">
        <v>500000</v>
      </c>
      <c r="AS8" s="26">
        <v>500000</v>
      </c>
      <c r="AT8" s="26">
        <v>500000</v>
      </c>
      <c r="AU8" s="26">
        <v>500000</v>
      </c>
      <c r="AV8" s="26">
        <v>500000</v>
      </c>
      <c r="AW8" s="26">
        <v>500000</v>
      </c>
      <c r="AX8" s="26">
        <v>500000</v>
      </c>
      <c r="AY8" s="26">
        <v>500000</v>
      </c>
      <c r="AZ8" s="26">
        <v>500000</v>
      </c>
      <c r="BA8" s="26">
        <v>500000</v>
      </c>
      <c r="BB8" s="26">
        <v>500000</v>
      </c>
      <c r="BC8" s="26">
        <v>500000</v>
      </c>
      <c r="BD8" s="26">
        <v>0</v>
      </c>
      <c r="BE8" s="26">
        <v>0</v>
      </c>
      <c r="BF8" s="26">
        <v>0</v>
      </c>
      <c r="BG8" s="26">
        <v>0</v>
      </c>
      <c r="BH8" s="26">
        <v>0</v>
      </c>
      <c r="BI8" s="26">
        <v>0</v>
      </c>
      <c r="BJ8" s="26">
        <v>0</v>
      </c>
      <c r="BK8" s="26">
        <v>0</v>
      </c>
      <c r="BL8" s="26">
        <v>0</v>
      </c>
      <c r="BM8" s="26">
        <v>0</v>
      </c>
      <c r="BN8" s="26">
        <v>0</v>
      </c>
      <c r="BO8" s="26">
        <v>0</v>
      </c>
      <c r="BP8" s="26">
        <v>1200000</v>
      </c>
      <c r="BQ8" s="26">
        <v>1200000</v>
      </c>
      <c r="BR8" s="26">
        <v>1200000</v>
      </c>
      <c r="BS8" s="26">
        <v>1200000</v>
      </c>
      <c r="BT8" s="26">
        <v>1200000</v>
      </c>
      <c r="BU8" s="26">
        <v>1200000</v>
      </c>
      <c r="BV8" s="26">
        <v>1200000</v>
      </c>
      <c r="BW8" s="26">
        <v>1200000</v>
      </c>
      <c r="BX8" s="26">
        <v>1200000</v>
      </c>
      <c r="BY8" s="26">
        <v>1200000</v>
      </c>
      <c r="BZ8" s="26">
        <v>1200000</v>
      </c>
      <c r="CA8" s="26">
        <v>1200000</v>
      </c>
      <c r="CB8" s="26">
        <v>3500000</v>
      </c>
      <c r="CC8" s="26">
        <v>3500000</v>
      </c>
      <c r="CD8" s="26">
        <v>3500000</v>
      </c>
      <c r="CE8" s="26">
        <v>3500000</v>
      </c>
      <c r="CF8" s="26">
        <v>3500000</v>
      </c>
      <c r="CG8" s="26">
        <v>3500000</v>
      </c>
      <c r="CH8" s="26">
        <v>3500000</v>
      </c>
      <c r="CI8" s="26">
        <v>3500000</v>
      </c>
      <c r="CJ8" s="26">
        <v>3500000</v>
      </c>
      <c r="CK8" s="26">
        <v>3500000</v>
      </c>
      <c r="CL8" s="26">
        <v>3500000</v>
      </c>
      <c r="CM8" s="26">
        <v>3500000</v>
      </c>
      <c r="CN8" s="26">
        <v>5007600</v>
      </c>
      <c r="CO8" s="26">
        <v>22</v>
      </c>
      <c r="CP8" s="26">
        <v>5007600</v>
      </c>
      <c r="CQ8" s="26">
        <v>730000</v>
      </c>
      <c r="CR8" s="26">
        <v>500000</v>
      </c>
      <c r="CS8" s="26">
        <v>1200000</v>
      </c>
      <c r="CT8" s="26">
        <v>3500000</v>
      </c>
      <c r="CU8" s="26">
        <v>5930000</v>
      </c>
    </row>
    <row r="9" spans="1:99" x14ac:dyDescent="0.3">
      <c r="A9" s="26">
        <v>1</v>
      </c>
      <c r="B9" s="27" t="s">
        <v>9</v>
      </c>
      <c r="C9" s="27" t="s">
        <v>10</v>
      </c>
      <c r="D9" s="27" t="s">
        <v>11</v>
      </c>
      <c r="E9" s="27" t="s">
        <v>12</v>
      </c>
      <c r="F9" s="26">
        <v>8024957378</v>
      </c>
      <c r="G9" s="27" t="s">
        <v>13</v>
      </c>
      <c r="H9" s="26">
        <v>5007600</v>
      </c>
      <c r="I9" s="26">
        <v>5007600</v>
      </c>
      <c r="J9" s="26">
        <v>5007600</v>
      </c>
      <c r="K9" s="26">
        <v>5007600</v>
      </c>
      <c r="L9" s="26">
        <v>5007600</v>
      </c>
      <c r="M9" s="26">
        <v>5007600</v>
      </c>
      <c r="N9" s="26">
        <v>5007600</v>
      </c>
      <c r="O9" s="26">
        <v>5007600</v>
      </c>
      <c r="P9" s="26">
        <v>5007600</v>
      </c>
      <c r="Q9" s="26">
        <v>5007600</v>
      </c>
      <c r="R9" s="26">
        <v>5007600</v>
      </c>
      <c r="S9" s="26">
        <v>5007600</v>
      </c>
      <c r="T9" s="26">
        <v>5007600</v>
      </c>
      <c r="U9" s="26">
        <v>5007600</v>
      </c>
      <c r="V9" s="26">
        <v>5007600</v>
      </c>
      <c r="W9" s="26">
        <v>5007600</v>
      </c>
      <c r="X9" s="26">
        <v>5007600</v>
      </c>
      <c r="Y9" s="26">
        <v>5007600</v>
      </c>
      <c r="Z9" s="26">
        <v>5007600</v>
      </c>
      <c r="AA9" s="26">
        <v>5007600</v>
      </c>
      <c r="AB9" s="26">
        <v>5007600</v>
      </c>
      <c r="AC9" s="26">
        <v>5007600</v>
      </c>
      <c r="AD9" s="26">
        <v>5007600</v>
      </c>
      <c r="AE9" s="26">
        <v>5007600</v>
      </c>
      <c r="AF9" s="26">
        <v>730000</v>
      </c>
      <c r="AG9" s="26">
        <v>730000</v>
      </c>
      <c r="AH9" s="26">
        <v>730000</v>
      </c>
      <c r="AI9" s="26">
        <v>730000</v>
      </c>
      <c r="AJ9" s="26">
        <v>730000</v>
      </c>
      <c r="AK9" s="26">
        <v>730000</v>
      </c>
      <c r="AL9" s="26">
        <v>730000</v>
      </c>
      <c r="AM9" s="26">
        <v>730000</v>
      </c>
      <c r="AN9" s="26">
        <v>730000</v>
      </c>
      <c r="AO9" s="26">
        <v>730000</v>
      </c>
      <c r="AP9" s="26">
        <v>730000</v>
      </c>
      <c r="AQ9" s="26">
        <v>730000</v>
      </c>
      <c r="AR9" s="26">
        <v>500000</v>
      </c>
      <c r="AS9" s="26">
        <v>500000</v>
      </c>
      <c r="AT9" s="26">
        <v>500000</v>
      </c>
      <c r="AU9" s="26">
        <v>500000</v>
      </c>
      <c r="AV9" s="26">
        <v>500000</v>
      </c>
      <c r="AW9" s="26">
        <v>500000</v>
      </c>
      <c r="AX9" s="26">
        <v>500000</v>
      </c>
      <c r="AY9" s="26">
        <v>500000</v>
      </c>
      <c r="AZ9" s="26">
        <v>500000</v>
      </c>
      <c r="BA9" s="26">
        <v>500000</v>
      </c>
      <c r="BB9" s="26">
        <v>500000</v>
      </c>
      <c r="BC9" s="26">
        <v>500000</v>
      </c>
      <c r="BD9" s="26">
        <v>0</v>
      </c>
      <c r="BE9" s="26">
        <v>0</v>
      </c>
      <c r="BF9" s="26">
        <v>0</v>
      </c>
      <c r="BG9" s="26">
        <v>0</v>
      </c>
      <c r="BH9" s="26">
        <v>0</v>
      </c>
      <c r="BI9" s="26">
        <v>0</v>
      </c>
      <c r="BJ9" s="26">
        <v>0</v>
      </c>
      <c r="BK9" s="26">
        <v>0</v>
      </c>
      <c r="BL9" s="26">
        <v>0</v>
      </c>
      <c r="BM9" s="26">
        <v>0</v>
      </c>
      <c r="BN9" s="26">
        <v>0</v>
      </c>
      <c r="BO9" s="26">
        <v>0</v>
      </c>
      <c r="BP9" s="26">
        <v>1200000</v>
      </c>
      <c r="BQ9" s="26">
        <v>1200000</v>
      </c>
      <c r="BR9" s="26">
        <v>1200000</v>
      </c>
      <c r="BS9" s="26">
        <v>1200000</v>
      </c>
      <c r="BT9" s="26">
        <v>1200000</v>
      </c>
      <c r="BU9" s="26">
        <v>1200000</v>
      </c>
      <c r="BV9" s="26">
        <v>1200000</v>
      </c>
      <c r="BW9" s="26">
        <v>1200000</v>
      </c>
      <c r="BX9" s="26">
        <v>1200000</v>
      </c>
      <c r="BY9" s="26">
        <v>1200000</v>
      </c>
      <c r="BZ9" s="26">
        <v>1200000</v>
      </c>
      <c r="CA9" s="26">
        <v>1200000</v>
      </c>
      <c r="CB9" s="26">
        <v>3500000</v>
      </c>
      <c r="CC9" s="26">
        <v>3500000</v>
      </c>
      <c r="CD9" s="26">
        <v>3500000</v>
      </c>
      <c r="CE9" s="26">
        <v>3500000</v>
      </c>
      <c r="CF9" s="26">
        <v>3500000</v>
      </c>
      <c r="CG9" s="26">
        <v>3500000</v>
      </c>
      <c r="CH9" s="26">
        <v>3500000</v>
      </c>
      <c r="CI9" s="26">
        <v>3500000</v>
      </c>
      <c r="CJ9" s="26">
        <v>3500000</v>
      </c>
      <c r="CK9" s="26">
        <v>3500000</v>
      </c>
      <c r="CL9" s="26">
        <v>3500000</v>
      </c>
      <c r="CM9" s="26">
        <v>3500000</v>
      </c>
      <c r="CN9" s="26">
        <v>5007600</v>
      </c>
      <c r="CO9" s="26">
        <v>22</v>
      </c>
      <c r="CP9" s="26">
        <v>5007600</v>
      </c>
      <c r="CQ9" s="26">
        <v>730000</v>
      </c>
      <c r="CR9" s="26">
        <v>500000</v>
      </c>
      <c r="CS9" s="26">
        <v>1200000</v>
      </c>
      <c r="CT9" s="26">
        <v>3500000</v>
      </c>
      <c r="CU9" s="26">
        <v>5930000</v>
      </c>
    </row>
    <row r="10" spans="1:99" x14ac:dyDescent="0.3">
      <c r="A10" s="26">
        <v>1</v>
      </c>
      <c r="B10" s="27" t="s">
        <v>9</v>
      </c>
      <c r="C10" s="27" t="s">
        <v>10</v>
      </c>
      <c r="D10" s="27" t="s">
        <v>11</v>
      </c>
      <c r="E10" s="27" t="s">
        <v>12</v>
      </c>
      <c r="F10" s="26">
        <v>8024957378</v>
      </c>
      <c r="G10" s="27" t="s">
        <v>13</v>
      </c>
      <c r="H10" s="26">
        <v>5007600</v>
      </c>
      <c r="I10" s="26">
        <v>5007600</v>
      </c>
      <c r="J10" s="26">
        <v>5007600</v>
      </c>
      <c r="K10" s="26">
        <v>5007600</v>
      </c>
      <c r="L10" s="26">
        <v>5007600</v>
      </c>
      <c r="M10" s="26">
        <v>5007600</v>
      </c>
      <c r="N10" s="26">
        <v>5007600</v>
      </c>
      <c r="O10" s="26">
        <v>5007600</v>
      </c>
      <c r="P10" s="26">
        <v>5007600</v>
      </c>
      <c r="Q10" s="26">
        <v>5007600</v>
      </c>
      <c r="R10" s="26">
        <v>5007600</v>
      </c>
      <c r="S10" s="26">
        <v>5007600</v>
      </c>
      <c r="T10" s="26">
        <v>5007600</v>
      </c>
      <c r="U10" s="26">
        <v>5007600</v>
      </c>
      <c r="V10" s="26">
        <v>5007600</v>
      </c>
      <c r="W10" s="26">
        <v>5007600</v>
      </c>
      <c r="X10" s="26">
        <v>5007600</v>
      </c>
      <c r="Y10" s="26">
        <v>5007600</v>
      </c>
      <c r="Z10" s="26">
        <v>5007600</v>
      </c>
      <c r="AA10" s="26">
        <v>5007600</v>
      </c>
      <c r="AB10" s="26">
        <v>5007600</v>
      </c>
      <c r="AC10" s="26">
        <v>5007600</v>
      </c>
      <c r="AD10" s="26">
        <v>5007600</v>
      </c>
      <c r="AE10" s="26">
        <v>5007600</v>
      </c>
      <c r="AF10" s="26">
        <v>730000</v>
      </c>
      <c r="AG10" s="26">
        <v>730000</v>
      </c>
      <c r="AH10" s="26">
        <v>730000</v>
      </c>
      <c r="AI10" s="26">
        <v>730000</v>
      </c>
      <c r="AJ10" s="26">
        <v>730000</v>
      </c>
      <c r="AK10" s="26">
        <v>730000</v>
      </c>
      <c r="AL10" s="26">
        <v>730000</v>
      </c>
      <c r="AM10" s="26">
        <v>730000</v>
      </c>
      <c r="AN10" s="26">
        <v>730000</v>
      </c>
      <c r="AO10" s="26">
        <v>730000</v>
      </c>
      <c r="AP10" s="26">
        <v>730000</v>
      </c>
      <c r="AQ10" s="26">
        <v>730000</v>
      </c>
      <c r="AR10" s="26">
        <v>500000</v>
      </c>
      <c r="AS10" s="26">
        <v>500000</v>
      </c>
      <c r="AT10" s="26">
        <v>500000</v>
      </c>
      <c r="AU10" s="26">
        <v>500000</v>
      </c>
      <c r="AV10" s="26">
        <v>500000</v>
      </c>
      <c r="AW10" s="26">
        <v>500000</v>
      </c>
      <c r="AX10" s="26">
        <v>500000</v>
      </c>
      <c r="AY10" s="26">
        <v>500000</v>
      </c>
      <c r="AZ10" s="26">
        <v>500000</v>
      </c>
      <c r="BA10" s="26">
        <v>500000</v>
      </c>
      <c r="BB10" s="26">
        <v>500000</v>
      </c>
      <c r="BC10" s="26">
        <v>500000</v>
      </c>
      <c r="BD10" s="26">
        <v>0</v>
      </c>
      <c r="BE10" s="26">
        <v>0</v>
      </c>
      <c r="BF10" s="26">
        <v>0</v>
      </c>
      <c r="BG10" s="26">
        <v>0</v>
      </c>
      <c r="BH10" s="26">
        <v>0</v>
      </c>
      <c r="BI10" s="26">
        <v>0</v>
      </c>
      <c r="BJ10" s="26">
        <v>0</v>
      </c>
      <c r="BK10" s="26">
        <v>0</v>
      </c>
      <c r="BL10" s="26">
        <v>0</v>
      </c>
      <c r="BM10" s="26">
        <v>0</v>
      </c>
      <c r="BN10" s="26">
        <v>0</v>
      </c>
      <c r="BO10" s="26">
        <v>0</v>
      </c>
      <c r="BP10" s="26">
        <v>1200000</v>
      </c>
      <c r="BQ10" s="26">
        <v>1200000</v>
      </c>
      <c r="BR10" s="26">
        <v>1200000</v>
      </c>
      <c r="BS10" s="26">
        <v>1200000</v>
      </c>
      <c r="BT10" s="26">
        <v>1200000</v>
      </c>
      <c r="BU10" s="26">
        <v>1200000</v>
      </c>
      <c r="BV10" s="26">
        <v>1200000</v>
      </c>
      <c r="BW10" s="26">
        <v>1200000</v>
      </c>
      <c r="BX10" s="26">
        <v>1200000</v>
      </c>
      <c r="BY10" s="26">
        <v>1200000</v>
      </c>
      <c r="BZ10" s="26">
        <v>1200000</v>
      </c>
      <c r="CA10" s="26">
        <v>1200000</v>
      </c>
      <c r="CB10" s="26">
        <v>3500000</v>
      </c>
      <c r="CC10" s="26">
        <v>3500000</v>
      </c>
      <c r="CD10" s="26">
        <v>3500000</v>
      </c>
      <c r="CE10" s="26">
        <v>3500000</v>
      </c>
      <c r="CF10" s="26">
        <v>3500000</v>
      </c>
      <c r="CG10" s="26">
        <v>3500000</v>
      </c>
      <c r="CH10" s="26">
        <v>3500000</v>
      </c>
      <c r="CI10" s="26">
        <v>3500000</v>
      </c>
      <c r="CJ10" s="26">
        <v>3500000</v>
      </c>
      <c r="CK10" s="26">
        <v>3500000</v>
      </c>
      <c r="CL10" s="26">
        <v>3500000</v>
      </c>
      <c r="CM10" s="26">
        <v>3500000</v>
      </c>
      <c r="CN10" s="26">
        <v>5007600</v>
      </c>
      <c r="CO10" s="26">
        <v>22</v>
      </c>
      <c r="CP10" s="26">
        <v>5007600</v>
      </c>
      <c r="CQ10" s="26">
        <v>730000</v>
      </c>
      <c r="CR10" s="26">
        <v>500000</v>
      </c>
      <c r="CS10" s="26">
        <v>1200000</v>
      </c>
      <c r="CT10" s="26">
        <v>3500000</v>
      </c>
      <c r="CU10" s="26">
        <v>5930000</v>
      </c>
    </row>
    <row r="11" spans="1:99" x14ac:dyDescent="0.3">
      <c r="A11" s="26">
        <v>1</v>
      </c>
      <c r="B11" s="27" t="s">
        <v>9</v>
      </c>
      <c r="C11" s="27" t="s">
        <v>10</v>
      </c>
      <c r="D11" s="27" t="s">
        <v>11</v>
      </c>
      <c r="E11" s="27" t="s">
        <v>12</v>
      </c>
      <c r="F11" s="26">
        <v>8024957378</v>
      </c>
      <c r="G11" s="27" t="s">
        <v>13</v>
      </c>
      <c r="H11" s="26">
        <v>5007600</v>
      </c>
      <c r="I11" s="26">
        <v>5007600</v>
      </c>
      <c r="J11" s="26">
        <v>5007600</v>
      </c>
      <c r="K11" s="26">
        <v>5007600</v>
      </c>
      <c r="L11" s="26">
        <v>5007600</v>
      </c>
      <c r="M11" s="26">
        <v>5007600</v>
      </c>
      <c r="N11" s="26">
        <v>5007600</v>
      </c>
      <c r="O11" s="26">
        <v>5007600</v>
      </c>
      <c r="P11" s="26">
        <v>5007600</v>
      </c>
      <c r="Q11" s="26">
        <v>5007600</v>
      </c>
      <c r="R11" s="26">
        <v>5007600</v>
      </c>
      <c r="S11" s="26">
        <v>5007600</v>
      </c>
      <c r="T11" s="26">
        <v>5007600</v>
      </c>
      <c r="U11" s="26">
        <v>5007600</v>
      </c>
      <c r="V11" s="26">
        <v>5007600</v>
      </c>
      <c r="W11" s="26">
        <v>5007600</v>
      </c>
      <c r="X11" s="26">
        <v>5007600</v>
      </c>
      <c r="Y11" s="26">
        <v>5007600</v>
      </c>
      <c r="Z11" s="26">
        <v>5007600</v>
      </c>
      <c r="AA11" s="26">
        <v>5007600</v>
      </c>
      <c r="AB11" s="26">
        <v>5007600</v>
      </c>
      <c r="AC11" s="26">
        <v>5007600</v>
      </c>
      <c r="AD11" s="26">
        <v>5007600</v>
      </c>
      <c r="AE11" s="26">
        <v>5007600</v>
      </c>
      <c r="AF11" s="26">
        <v>730000</v>
      </c>
      <c r="AG11" s="26">
        <v>730000</v>
      </c>
      <c r="AH11" s="26">
        <v>730000</v>
      </c>
      <c r="AI11" s="26">
        <v>730000</v>
      </c>
      <c r="AJ11" s="26">
        <v>730000</v>
      </c>
      <c r="AK11" s="26">
        <v>730000</v>
      </c>
      <c r="AL11" s="26">
        <v>730000</v>
      </c>
      <c r="AM11" s="26">
        <v>730000</v>
      </c>
      <c r="AN11" s="26">
        <v>730000</v>
      </c>
      <c r="AO11" s="26">
        <v>730000</v>
      </c>
      <c r="AP11" s="26">
        <v>730000</v>
      </c>
      <c r="AQ11" s="26">
        <v>730000</v>
      </c>
      <c r="AR11" s="26">
        <v>500000</v>
      </c>
      <c r="AS11" s="26">
        <v>500000</v>
      </c>
      <c r="AT11" s="26">
        <v>500000</v>
      </c>
      <c r="AU11" s="26">
        <v>500000</v>
      </c>
      <c r="AV11" s="26">
        <v>500000</v>
      </c>
      <c r="AW11" s="26">
        <v>500000</v>
      </c>
      <c r="AX11" s="26">
        <v>500000</v>
      </c>
      <c r="AY11" s="26">
        <v>500000</v>
      </c>
      <c r="AZ11" s="26">
        <v>500000</v>
      </c>
      <c r="BA11" s="26">
        <v>500000</v>
      </c>
      <c r="BB11" s="26">
        <v>500000</v>
      </c>
      <c r="BC11" s="26">
        <v>500000</v>
      </c>
      <c r="BD11" s="26">
        <v>0</v>
      </c>
      <c r="BE11" s="26">
        <v>0</v>
      </c>
      <c r="BF11" s="26">
        <v>0</v>
      </c>
      <c r="BG11" s="26">
        <v>0</v>
      </c>
      <c r="BH11" s="26">
        <v>0</v>
      </c>
      <c r="BI11" s="26">
        <v>0</v>
      </c>
      <c r="BJ11" s="26">
        <v>0</v>
      </c>
      <c r="BK11" s="26">
        <v>0</v>
      </c>
      <c r="BL11" s="26">
        <v>0</v>
      </c>
      <c r="BM11" s="26">
        <v>0</v>
      </c>
      <c r="BN11" s="26">
        <v>0</v>
      </c>
      <c r="BO11" s="26">
        <v>0</v>
      </c>
      <c r="BP11" s="26">
        <v>1200000</v>
      </c>
      <c r="BQ11" s="26">
        <v>1200000</v>
      </c>
      <c r="BR11" s="26">
        <v>1200000</v>
      </c>
      <c r="BS11" s="26">
        <v>1200000</v>
      </c>
      <c r="BT11" s="26">
        <v>1200000</v>
      </c>
      <c r="BU11" s="26">
        <v>1200000</v>
      </c>
      <c r="BV11" s="26">
        <v>1200000</v>
      </c>
      <c r="BW11" s="26">
        <v>1200000</v>
      </c>
      <c r="BX11" s="26">
        <v>1200000</v>
      </c>
      <c r="BY11" s="26">
        <v>1200000</v>
      </c>
      <c r="BZ11" s="26">
        <v>1200000</v>
      </c>
      <c r="CA11" s="26">
        <v>1200000</v>
      </c>
      <c r="CB11" s="26">
        <v>3500000</v>
      </c>
      <c r="CC11" s="26">
        <v>3500000</v>
      </c>
      <c r="CD11" s="26">
        <v>3500000</v>
      </c>
      <c r="CE11" s="26">
        <v>3500000</v>
      </c>
      <c r="CF11" s="26">
        <v>3500000</v>
      </c>
      <c r="CG11" s="26">
        <v>3500000</v>
      </c>
      <c r="CH11" s="26">
        <v>3500000</v>
      </c>
      <c r="CI11" s="26">
        <v>3500000</v>
      </c>
      <c r="CJ11" s="26">
        <v>3500000</v>
      </c>
      <c r="CK11" s="26">
        <v>3500000</v>
      </c>
      <c r="CL11" s="26">
        <v>3500000</v>
      </c>
      <c r="CM11" s="26">
        <v>3500000</v>
      </c>
      <c r="CN11" s="26">
        <v>5007600</v>
      </c>
      <c r="CO11" s="26">
        <v>21</v>
      </c>
      <c r="CP11" s="26">
        <v>5007600</v>
      </c>
      <c r="CQ11" s="26">
        <v>730000</v>
      </c>
      <c r="CR11" s="26">
        <v>500000</v>
      </c>
      <c r="CS11" s="26">
        <v>1200000</v>
      </c>
      <c r="CT11" s="26">
        <v>3500000</v>
      </c>
      <c r="CU11" s="26">
        <v>5930000</v>
      </c>
    </row>
    <row r="12" spans="1:99" x14ac:dyDescent="0.3">
      <c r="A12" s="26">
        <v>1</v>
      </c>
      <c r="B12" s="27" t="s">
        <v>9</v>
      </c>
      <c r="C12" s="27" t="s">
        <v>10</v>
      </c>
      <c r="D12" s="27" t="s">
        <v>11</v>
      </c>
      <c r="E12" s="27" t="s">
        <v>12</v>
      </c>
      <c r="F12" s="26">
        <v>8024957378</v>
      </c>
      <c r="G12" s="27" t="s">
        <v>13</v>
      </c>
      <c r="H12" s="26">
        <v>5007600</v>
      </c>
      <c r="I12" s="26">
        <v>5007600</v>
      </c>
      <c r="J12" s="26">
        <v>5007600</v>
      </c>
      <c r="K12" s="26">
        <v>5007600</v>
      </c>
      <c r="L12" s="26">
        <v>5007600</v>
      </c>
      <c r="M12" s="26">
        <v>5007600</v>
      </c>
      <c r="N12" s="26">
        <v>5007600</v>
      </c>
      <c r="O12" s="26">
        <v>5007600</v>
      </c>
      <c r="P12" s="26">
        <v>5007600</v>
      </c>
      <c r="Q12" s="26">
        <v>5007600</v>
      </c>
      <c r="R12" s="26">
        <v>5007600</v>
      </c>
      <c r="S12" s="26">
        <v>5007600</v>
      </c>
      <c r="T12" s="26">
        <v>5007600</v>
      </c>
      <c r="U12" s="26">
        <v>5007600</v>
      </c>
      <c r="V12" s="26">
        <v>5007600</v>
      </c>
      <c r="W12" s="26">
        <v>5007600</v>
      </c>
      <c r="X12" s="26">
        <v>5007600</v>
      </c>
      <c r="Y12" s="26">
        <v>5007600</v>
      </c>
      <c r="Z12" s="26">
        <v>5007600</v>
      </c>
      <c r="AA12" s="26">
        <v>5007600</v>
      </c>
      <c r="AB12" s="26">
        <v>5007600</v>
      </c>
      <c r="AC12" s="26">
        <v>5007600</v>
      </c>
      <c r="AD12" s="26">
        <v>5007600</v>
      </c>
      <c r="AE12" s="26">
        <v>5007600</v>
      </c>
      <c r="AF12" s="26">
        <v>730000</v>
      </c>
      <c r="AG12" s="26">
        <v>730000</v>
      </c>
      <c r="AH12" s="26">
        <v>730000</v>
      </c>
      <c r="AI12" s="26">
        <v>730000</v>
      </c>
      <c r="AJ12" s="26">
        <v>730000</v>
      </c>
      <c r="AK12" s="26">
        <v>730000</v>
      </c>
      <c r="AL12" s="26">
        <v>730000</v>
      </c>
      <c r="AM12" s="26">
        <v>730000</v>
      </c>
      <c r="AN12" s="26">
        <v>730000</v>
      </c>
      <c r="AO12" s="26">
        <v>730000</v>
      </c>
      <c r="AP12" s="26">
        <v>730000</v>
      </c>
      <c r="AQ12" s="26">
        <v>730000</v>
      </c>
      <c r="AR12" s="26">
        <v>500000</v>
      </c>
      <c r="AS12" s="26">
        <v>500000</v>
      </c>
      <c r="AT12" s="26">
        <v>500000</v>
      </c>
      <c r="AU12" s="26">
        <v>500000</v>
      </c>
      <c r="AV12" s="26">
        <v>500000</v>
      </c>
      <c r="AW12" s="26">
        <v>500000</v>
      </c>
      <c r="AX12" s="26">
        <v>500000</v>
      </c>
      <c r="AY12" s="26">
        <v>500000</v>
      </c>
      <c r="AZ12" s="26">
        <v>500000</v>
      </c>
      <c r="BA12" s="26">
        <v>500000</v>
      </c>
      <c r="BB12" s="26">
        <v>500000</v>
      </c>
      <c r="BC12" s="26">
        <v>500000</v>
      </c>
      <c r="BD12" s="26">
        <v>0</v>
      </c>
      <c r="BE12" s="26">
        <v>0</v>
      </c>
      <c r="BF12" s="26">
        <v>0</v>
      </c>
      <c r="BG12" s="26">
        <v>0</v>
      </c>
      <c r="BH12" s="26">
        <v>0</v>
      </c>
      <c r="BI12" s="26">
        <v>0</v>
      </c>
      <c r="BJ12" s="26">
        <v>0</v>
      </c>
      <c r="BK12" s="26">
        <v>0</v>
      </c>
      <c r="BL12" s="26">
        <v>0</v>
      </c>
      <c r="BM12" s="26">
        <v>0</v>
      </c>
      <c r="BN12" s="26">
        <v>0</v>
      </c>
      <c r="BO12" s="26">
        <v>0</v>
      </c>
      <c r="BP12" s="26">
        <v>1200000</v>
      </c>
      <c r="BQ12" s="26">
        <v>1200000</v>
      </c>
      <c r="BR12" s="26">
        <v>1200000</v>
      </c>
      <c r="BS12" s="26">
        <v>1200000</v>
      </c>
      <c r="BT12" s="26">
        <v>1200000</v>
      </c>
      <c r="BU12" s="26">
        <v>1200000</v>
      </c>
      <c r="BV12" s="26">
        <v>1200000</v>
      </c>
      <c r="BW12" s="26">
        <v>1200000</v>
      </c>
      <c r="BX12" s="26">
        <v>1200000</v>
      </c>
      <c r="BY12" s="26">
        <v>1200000</v>
      </c>
      <c r="BZ12" s="26">
        <v>1200000</v>
      </c>
      <c r="CA12" s="26">
        <v>1200000</v>
      </c>
      <c r="CB12" s="26">
        <v>3500000</v>
      </c>
      <c r="CC12" s="26">
        <v>3500000</v>
      </c>
      <c r="CD12" s="26">
        <v>3500000</v>
      </c>
      <c r="CE12" s="26">
        <v>3500000</v>
      </c>
      <c r="CF12" s="26">
        <v>3500000</v>
      </c>
      <c r="CG12" s="26">
        <v>3500000</v>
      </c>
      <c r="CH12" s="26">
        <v>3500000</v>
      </c>
      <c r="CI12" s="26">
        <v>3500000</v>
      </c>
      <c r="CJ12" s="26">
        <v>3500000</v>
      </c>
      <c r="CK12" s="26">
        <v>3500000</v>
      </c>
      <c r="CL12" s="26">
        <v>3500000</v>
      </c>
      <c r="CM12" s="26">
        <v>3500000</v>
      </c>
      <c r="CN12" s="26">
        <v>5007600</v>
      </c>
      <c r="CO12" s="26">
        <v>20</v>
      </c>
      <c r="CP12" s="26">
        <v>5007600</v>
      </c>
      <c r="CQ12" s="26">
        <v>730000</v>
      </c>
      <c r="CR12" s="26">
        <v>500000</v>
      </c>
      <c r="CS12" s="26">
        <v>1200000</v>
      </c>
      <c r="CT12" s="26">
        <v>3500000</v>
      </c>
      <c r="CU12" s="26">
        <v>5930000</v>
      </c>
    </row>
    <row r="13" spans="1:99" x14ac:dyDescent="0.3">
      <c r="A13" s="26">
        <v>1</v>
      </c>
      <c r="B13" s="27" t="s">
        <v>9</v>
      </c>
      <c r="C13" s="27" t="s">
        <v>10</v>
      </c>
      <c r="D13" s="27" t="s">
        <v>11</v>
      </c>
      <c r="E13" s="27" t="s">
        <v>12</v>
      </c>
      <c r="F13" s="26">
        <v>8024957378</v>
      </c>
      <c r="G13" s="27" t="s">
        <v>13</v>
      </c>
      <c r="H13" s="26">
        <v>5007600</v>
      </c>
      <c r="I13" s="26">
        <v>5007600</v>
      </c>
      <c r="J13" s="26">
        <v>5007600</v>
      </c>
      <c r="K13" s="26">
        <v>5007600</v>
      </c>
      <c r="L13" s="26">
        <v>5007600</v>
      </c>
      <c r="M13" s="26">
        <v>5007600</v>
      </c>
      <c r="N13" s="26">
        <v>5007600</v>
      </c>
      <c r="O13" s="26">
        <v>5007600</v>
      </c>
      <c r="P13" s="26">
        <v>5007600</v>
      </c>
      <c r="Q13" s="26">
        <v>5007600</v>
      </c>
      <c r="R13" s="26">
        <v>5007600</v>
      </c>
      <c r="S13" s="26">
        <v>5007600</v>
      </c>
      <c r="T13" s="26">
        <v>5007600</v>
      </c>
      <c r="U13" s="26">
        <v>5007600</v>
      </c>
      <c r="V13" s="26">
        <v>5007600</v>
      </c>
      <c r="W13" s="26">
        <v>5007600</v>
      </c>
      <c r="X13" s="26">
        <v>5007600</v>
      </c>
      <c r="Y13" s="26">
        <v>5007600</v>
      </c>
      <c r="Z13" s="26">
        <v>5007600</v>
      </c>
      <c r="AA13" s="26">
        <v>5007600</v>
      </c>
      <c r="AB13" s="26">
        <v>5007600</v>
      </c>
      <c r="AC13" s="26">
        <v>5007600</v>
      </c>
      <c r="AD13" s="26">
        <v>5007600</v>
      </c>
      <c r="AE13" s="26">
        <v>5007600</v>
      </c>
      <c r="AF13" s="26">
        <v>730000</v>
      </c>
      <c r="AG13" s="26">
        <v>730000</v>
      </c>
      <c r="AH13" s="26">
        <v>730000</v>
      </c>
      <c r="AI13" s="26">
        <v>730000</v>
      </c>
      <c r="AJ13" s="26">
        <v>730000</v>
      </c>
      <c r="AK13" s="26">
        <v>730000</v>
      </c>
      <c r="AL13" s="26">
        <v>730000</v>
      </c>
      <c r="AM13" s="26">
        <v>730000</v>
      </c>
      <c r="AN13" s="26">
        <v>730000</v>
      </c>
      <c r="AO13" s="26">
        <v>730000</v>
      </c>
      <c r="AP13" s="26">
        <v>730000</v>
      </c>
      <c r="AQ13" s="26">
        <v>730000</v>
      </c>
      <c r="AR13" s="26">
        <v>500000</v>
      </c>
      <c r="AS13" s="26">
        <v>500000</v>
      </c>
      <c r="AT13" s="26">
        <v>500000</v>
      </c>
      <c r="AU13" s="26">
        <v>500000</v>
      </c>
      <c r="AV13" s="26">
        <v>500000</v>
      </c>
      <c r="AW13" s="26">
        <v>500000</v>
      </c>
      <c r="AX13" s="26">
        <v>500000</v>
      </c>
      <c r="AY13" s="26">
        <v>500000</v>
      </c>
      <c r="AZ13" s="26">
        <v>500000</v>
      </c>
      <c r="BA13" s="26">
        <v>500000</v>
      </c>
      <c r="BB13" s="26">
        <v>500000</v>
      </c>
      <c r="BC13" s="26">
        <v>500000</v>
      </c>
      <c r="BD13" s="26">
        <v>0</v>
      </c>
      <c r="BE13" s="26">
        <v>0</v>
      </c>
      <c r="BF13" s="26">
        <v>0</v>
      </c>
      <c r="BG13" s="26">
        <v>0</v>
      </c>
      <c r="BH13" s="26">
        <v>0</v>
      </c>
      <c r="BI13" s="26">
        <v>0</v>
      </c>
      <c r="BJ13" s="26">
        <v>0</v>
      </c>
      <c r="BK13" s="26">
        <v>0</v>
      </c>
      <c r="BL13" s="26">
        <v>0</v>
      </c>
      <c r="BM13" s="26">
        <v>0</v>
      </c>
      <c r="BN13" s="26">
        <v>0</v>
      </c>
      <c r="BO13" s="26">
        <v>0</v>
      </c>
      <c r="BP13" s="26">
        <v>1200000</v>
      </c>
      <c r="BQ13" s="26">
        <v>1200000</v>
      </c>
      <c r="BR13" s="26">
        <v>1200000</v>
      </c>
      <c r="BS13" s="26">
        <v>1200000</v>
      </c>
      <c r="BT13" s="26">
        <v>1200000</v>
      </c>
      <c r="BU13" s="26">
        <v>1200000</v>
      </c>
      <c r="BV13" s="26">
        <v>1200000</v>
      </c>
      <c r="BW13" s="26">
        <v>1200000</v>
      </c>
      <c r="BX13" s="26">
        <v>1200000</v>
      </c>
      <c r="BY13" s="26">
        <v>1200000</v>
      </c>
      <c r="BZ13" s="26">
        <v>1200000</v>
      </c>
      <c r="CA13" s="26">
        <v>1200000</v>
      </c>
      <c r="CB13" s="26">
        <v>3500000</v>
      </c>
      <c r="CC13" s="26">
        <v>3500000</v>
      </c>
      <c r="CD13" s="26">
        <v>3500000</v>
      </c>
      <c r="CE13" s="26">
        <v>3500000</v>
      </c>
      <c r="CF13" s="26">
        <v>3500000</v>
      </c>
      <c r="CG13" s="26">
        <v>3500000</v>
      </c>
      <c r="CH13" s="26">
        <v>3500000</v>
      </c>
      <c r="CI13" s="26">
        <v>3500000</v>
      </c>
      <c r="CJ13" s="26">
        <v>3500000</v>
      </c>
      <c r="CK13" s="26">
        <v>3500000</v>
      </c>
      <c r="CL13" s="26">
        <v>3500000</v>
      </c>
      <c r="CM13" s="26">
        <v>3500000</v>
      </c>
      <c r="CN13" s="26">
        <v>5007600</v>
      </c>
      <c r="CO13" s="26">
        <v>21</v>
      </c>
      <c r="CP13" s="26">
        <v>5007600</v>
      </c>
      <c r="CQ13" s="26">
        <v>730000</v>
      </c>
      <c r="CR13" s="26">
        <v>500000</v>
      </c>
      <c r="CS13" s="26">
        <v>1200000</v>
      </c>
      <c r="CT13" s="26">
        <v>3500000</v>
      </c>
      <c r="CU13" s="26">
        <v>5930000</v>
      </c>
    </row>
    <row r="14" spans="1:99" x14ac:dyDescent="0.3">
      <c r="A14" s="26">
        <v>2</v>
      </c>
      <c r="B14" s="27" t="s">
        <v>14</v>
      </c>
      <c r="C14" s="27" t="s">
        <v>15</v>
      </c>
      <c r="D14" s="27" t="s">
        <v>16</v>
      </c>
      <c r="E14" s="27" t="s">
        <v>17</v>
      </c>
      <c r="F14" s="26">
        <v>8130701561</v>
      </c>
      <c r="G14" s="27" t="s">
        <v>18</v>
      </c>
      <c r="H14" s="26">
        <v>5007600</v>
      </c>
      <c r="I14" s="26">
        <v>5007600</v>
      </c>
      <c r="J14" s="26">
        <v>5007600</v>
      </c>
      <c r="K14" s="26">
        <v>5007600</v>
      </c>
      <c r="L14" s="26">
        <v>5007600</v>
      </c>
      <c r="M14" s="26">
        <v>5007600</v>
      </c>
      <c r="N14" s="26">
        <v>5007600</v>
      </c>
      <c r="O14" s="26">
        <v>5007600</v>
      </c>
      <c r="P14" s="26">
        <v>5007600</v>
      </c>
      <c r="Q14" s="26">
        <v>5007600</v>
      </c>
      <c r="R14" s="26">
        <v>5007600</v>
      </c>
      <c r="S14" s="26">
        <v>5007600</v>
      </c>
      <c r="T14" s="26">
        <v>5007600</v>
      </c>
      <c r="U14" s="26">
        <v>5007600</v>
      </c>
      <c r="V14" s="26">
        <v>5007600</v>
      </c>
      <c r="W14" s="26">
        <v>5007600</v>
      </c>
      <c r="X14" s="26">
        <v>5007600</v>
      </c>
      <c r="Y14" s="26">
        <v>5007600</v>
      </c>
      <c r="Z14" s="26">
        <v>5007600</v>
      </c>
      <c r="AA14" s="26">
        <v>5007600</v>
      </c>
      <c r="AB14" s="26">
        <v>5007600</v>
      </c>
      <c r="AC14" s="26">
        <v>5007600</v>
      </c>
      <c r="AD14" s="26">
        <v>5007600</v>
      </c>
      <c r="AE14" s="26">
        <v>5007600</v>
      </c>
      <c r="AF14" s="26">
        <v>730000</v>
      </c>
      <c r="AG14" s="26">
        <v>730000</v>
      </c>
      <c r="AH14" s="26">
        <v>730000</v>
      </c>
      <c r="AI14" s="26">
        <v>730000</v>
      </c>
      <c r="AJ14" s="26">
        <v>730000</v>
      </c>
      <c r="AK14" s="26">
        <v>730000</v>
      </c>
      <c r="AL14" s="26">
        <v>730000</v>
      </c>
      <c r="AM14" s="26">
        <v>730000</v>
      </c>
      <c r="AN14" s="26">
        <v>730000</v>
      </c>
      <c r="AO14" s="26">
        <v>730000</v>
      </c>
      <c r="AP14" s="26">
        <v>730000</v>
      </c>
      <c r="AQ14" s="26">
        <v>730000</v>
      </c>
      <c r="AR14" s="26">
        <v>500000</v>
      </c>
      <c r="AS14" s="26">
        <v>500000</v>
      </c>
      <c r="AT14" s="26">
        <v>500000</v>
      </c>
      <c r="AU14" s="26">
        <v>500000</v>
      </c>
      <c r="AV14" s="26">
        <v>500000</v>
      </c>
      <c r="AW14" s="26">
        <v>500000</v>
      </c>
      <c r="AX14" s="26">
        <v>500000</v>
      </c>
      <c r="AY14" s="26">
        <v>500000</v>
      </c>
      <c r="AZ14" s="26">
        <v>500000</v>
      </c>
      <c r="BA14" s="26">
        <v>500000</v>
      </c>
      <c r="BB14" s="26">
        <v>500000</v>
      </c>
      <c r="BC14" s="26">
        <v>500000</v>
      </c>
      <c r="BD14" s="26">
        <v>0</v>
      </c>
      <c r="BE14" s="26">
        <v>0</v>
      </c>
      <c r="BF14" s="26">
        <v>0</v>
      </c>
      <c r="BG14" s="26">
        <v>0</v>
      </c>
      <c r="BH14" s="26">
        <v>0</v>
      </c>
      <c r="BI14" s="26">
        <v>0</v>
      </c>
      <c r="BJ14" s="26">
        <v>0</v>
      </c>
      <c r="BK14" s="26">
        <v>0</v>
      </c>
      <c r="BL14" s="26">
        <v>0</v>
      </c>
      <c r="BM14" s="26">
        <v>0</v>
      </c>
      <c r="BN14" s="26">
        <v>0</v>
      </c>
      <c r="BO14" s="26">
        <v>0</v>
      </c>
      <c r="BP14" s="26">
        <v>1200000</v>
      </c>
      <c r="BQ14" s="26">
        <v>1200000</v>
      </c>
      <c r="BR14" s="26">
        <v>1200000</v>
      </c>
      <c r="BS14" s="26">
        <v>1200000</v>
      </c>
      <c r="BT14" s="26">
        <v>1200000</v>
      </c>
      <c r="BU14" s="26">
        <v>1200000</v>
      </c>
      <c r="BV14" s="26">
        <v>1200000</v>
      </c>
      <c r="BW14" s="26">
        <v>1200000</v>
      </c>
      <c r="BX14" s="26">
        <v>1200000</v>
      </c>
      <c r="BY14" s="26">
        <v>1200000</v>
      </c>
      <c r="BZ14" s="26">
        <v>1200000</v>
      </c>
      <c r="CA14" s="26">
        <v>1200000</v>
      </c>
      <c r="CB14" s="26">
        <v>3500000</v>
      </c>
      <c r="CC14" s="26">
        <v>3500000</v>
      </c>
      <c r="CD14" s="26">
        <v>3500000</v>
      </c>
      <c r="CE14" s="26">
        <v>3500000</v>
      </c>
      <c r="CF14" s="26">
        <v>3500000</v>
      </c>
      <c r="CG14" s="26">
        <v>3500000</v>
      </c>
      <c r="CH14" s="26">
        <v>3500000</v>
      </c>
      <c r="CI14" s="26">
        <v>3500000</v>
      </c>
      <c r="CJ14" s="26">
        <v>3500000</v>
      </c>
      <c r="CK14" s="26">
        <v>3500000</v>
      </c>
      <c r="CL14" s="26">
        <v>3500000</v>
      </c>
      <c r="CM14" s="26">
        <v>3500000</v>
      </c>
      <c r="CN14" s="26">
        <v>5007600</v>
      </c>
      <c r="CO14" s="26">
        <v>22</v>
      </c>
      <c r="CP14" s="26">
        <v>5007600</v>
      </c>
      <c r="CQ14" s="26">
        <v>730000</v>
      </c>
      <c r="CR14" s="26">
        <v>500000</v>
      </c>
      <c r="CS14" s="26">
        <v>1200000</v>
      </c>
      <c r="CT14" s="26">
        <v>3500000</v>
      </c>
      <c r="CU14" s="26">
        <v>5930000</v>
      </c>
    </row>
    <row r="15" spans="1:99" x14ac:dyDescent="0.3">
      <c r="A15" s="26">
        <v>2</v>
      </c>
      <c r="B15" s="27" t="s">
        <v>14</v>
      </c>
      <c r="C15" s="27" t="s">
        <v>15</v>
      </c>
      <c r="D15" s="27" t="s">
        <v>16</v>
      </c>
      <c r="E15" s="27" t="s">
        <v>17</v>
      </c>
      <c r="F15" s="26">
        <v>8130701561</v>
      </c>
      <c r="G15" s="27" t="s">
        <v>18</v>
      </c>
      <c r="H15" s="26">
        <v>5007600</v>
      </c>
      <c r="I15" s="26">
        <v>5007600</v>
      </c>
      <c r="J15" s="26">
        <v>5007600</v>
      </c>
      <c r="K15" s="26">
        <v>5007600</v>
      </c>
      <c r="L15" s="26">
        <v>5007600</v>
      </c>
      <c r="M15" s="26">
        <v>5007600</v>
      </c>
      <c r="N15" s="26">
        <v>5007600</v>
      </c>
      <c r="O15" s="26">
        <v>5007600</v>
      </c>
      <c r="P15" s="26">
        <v>5007600</v>
      </c>
      <c r="Q15" s="26">
        <v>5007600</v>
      </c>
      <c r="R15" s="26">
        <v>5007600</v>
      </c>
      <c r="S15" s="26">
        <v>5007600</v>
      </c>
      <c r="T15" s="26">
        <v>5007600</v>
      </c>
      <c r="U15" s="26">
        <v>5007600</v>
      </c>
      <c r="V15" s="26">
        <v>5007600</v>
      </c>
      <c r="W15" s="26">
        <v>5007600</v>
      </c>
      <c r="X15" s="26">
        <v>5007600</v>
      </c>
      <c r="Y15" s="26">
        <v>5007600</v>
      </c>
      <c r="Z15" s="26">
        <v>5007600</v>
      </c>
      <c r="AA15" s="26">
        <v>5007600</v>
      </c>
      <c r="AB15" s="26">
        <v>5007600</v>
      </c>
      <c r="AC15" s="26">
        <v>5007600</v>
      </c>
      <c r="AD15" s="26">
        <v>5007600</v>
      </c>
      <c r="AE15" s="26">
        <v>5007600</v>
      </c>
      <c r="AF15" s="26">
        <v>730000</v>
      </c>
      <c r="AG15" s="26">
        <v>730000</v>
      </c>
      <c r="AH15" s="26">
        <v>730000</v>
      </c>
      <c r="AI15" s="26">
        <v>730000</v>
      </c>
      <c r="AJ15" s="26">
        <v>730000</v>
      </c>
      <c r="AK15" s="26">
        <v>730000</v>
      </c>
      <c r="AL15" s="26">
        <v>730000</v>
      </c>
      <c r="AM15" s="26">
        <v>730000</v>
      </c>
      <c r="AN15" s="26">
        <v>730000</v>
      </c>
      <c r="AO15" s="26">
        <v>730000</v>
      </c>
      <c r="AP15" s="26">
        <v>730000</v>
      </c>
      <c r="AQ15" s="26">
        <v>730000</v>
      </c>
      <c r="AR15" s="26">
        <v>500000</v>
      </c>
      <c r="AS15" s="26">
        <v>500000</v>
      </c>
      <c r="AT15" s="26">
        <v>500000</v>
      </c>
      <c r="AU15" s="26">
        <v>500000</v>
      </c>
      <c r="AV15" s="26">
        <v>500000</v>
      </c>
      <c r="AW15" s="26">
        <v>500000</v>
      </c>
      <c r="AX15" s="26">
        <v>500000</v>
      </c>
      <c r="AY15" s="26">
        <v>500000</v>
      </c>
      <c r="AZ15" s="26">
        <v>500000</v>
      </c>
      <c r="BA15" s="26">
        <v>500000</v>
      </c>
      <c r="BB15" s="26">
        <v>500000</v>
      </c>
      <c r="BC15" s="26">
        <v>500000</v>
      </c>
      <c r="BD15" s="26">
        <v>0</v>
      </c>
      <c r="BE15" s="26">
        <v>0</v>
      </c>
      <c r="BF15" s="26">
        <v>0</v>
      </c>
      <c r="BG15" s="26">
        <v>0</v>
      </c>
      <c r="BH15" s="26">
        <v>0</v>
      </c>
      <c r="BI15" s="26">
        <v>0</v>
      </c>
      <c r="BJ15" s="26">
        <v>0</v>
      </c>
      <c r="BK15" s="26">
        <v>0</v>
      </c>
      <c r="BL15" s="26">
        <v>0</v>
      </c>
      <c r="BM15" s="26">
        <v>0</v>
      </c>
      <c r="BN15" s="26">
        <v>0</v>
      </c>
      <c r="BO15" s="26">
        <v>0</v>
      </c>
      <c r="BP15" s="26">
        <v>1200000</v>
      </c>
      <c r="BQ15" s="26">
        <v>1200000</v>
      </c>
      <c r="BR15" s="26">
        <v>1200000</v>
      </c>
      <c r="BS15" s="26">
        <v>1200000</v>
      </c>
      <c r="BT15" s="26">
        <v>1200000</v>
      </c>
      <c r="BU15" s="26">
        <v>1200000</v>
      </c>
      <c r="BV15" s="26">
        <v>1200000</v>
      </c>
      <c r="BW15" s="26">
        <v>1200000</v>
      </c>
      <c r="BX15" s="26">
        <v>1200000</v>
      </c>
      <c r="BY15" s="26">
        <v>1200000</v>
      </c>
      <c r="BZ15" s="26">
        <v>1200000</v>
      </c>
      <c r="CA15" s="26">
        <v>1200000</v>
      </c>
      <c r="CB15" s="26">
        <v>3500000</v>
      </c>
      <c r="CC15" s="26">
        <v>3500000</v>
      </c>
      <c r="CD15" s="26">
        <v>3500000</v>
      </c>
      <c r="CE15" s="26">
        <v>3500000</v>
      </c>
      <c r="CF15" s="26">
        <v>3500000</v>
      </c>
      <c r="CG15" s="26">
        <v>3500000</v>
      </c>
      <c r="CH15" s="26">
        <v>3500000</v>
      </c>
      <c r="CI15" s="26">
        <v>3500000</v>
      </c>
      <c r="CJ15" s="26">
        <v>3500000</v>
      </c>
      <c r="CK15" s="26">
        <v>3500000</v>
      </c>
      <c r="CL15" s="26">
        <v>3500000</v>
      </c>
      <c r="CM15" s="26">
        <v>3500000</v>
      </c>
      <c r="CN15" s="26">
        <v>5007600</v>
      </c>
      <c r="CO15" s="26">
        <v>20</v>
      </c>
      <c r="CP15" s="26">
        <v>5007600</v>
      </c>
      <c r="CQ15" s="26">
        <v>730000</v>
      </c>
      <c r="CR15" s="26">
        <v>500000</v>
      </c>
      <c r="CS15" s="26">
        <v>1200000</v>
      </c>
      <c r="CT15" s="26">
        <v>3500000</v>
      </c>
      <c r="CU15" s="26">
        <v>5930000</v>
      </c>
    </row>
    <row r="16" spans="1:99" x14ac:dyDescent="0.3">
      <c r="A16" s="26">
        <v>2</v>
      </c>
      <c r="B16" s="27" t="s">
        <v>14</v>
      </c>
      <c r="C16" s="27" t="s">
        <v>15</v>
      </c>
      <c r="D16" s="27" t="s">
        <v>16</v>
      </c>
      <c r="E16" s="27" t="s">
        <v>17</v>
      </c>
      <c r="F16" s="26">
        <v>8130701561</v>
      </c>
      <c r="G16" s="27" t="s">
        <v>18</v>
      </c>
      <c r="H16" s="26">
        <v>5007600</v>
      </c>
      <c r="I16" s="26">
        <v>5007600</v>
      </c>
      <c r="J16" s="26">
        <v>5007600</v>
      </c>
      <c r="K16" s="26">
        <v>5007600</v>
      </c>
      <c r="L16" s="26">
        <v>5007600</v>
      </c>
      <c r="M16" s="26">
        <v>5007600</v>
      </c>
      <c r="N16" s="26">
        <v>5007600</v>
      </c>
      <c r="O16" s="26">
        <v>5007600</v>
      </c>
      <c r="P16" s="26">
        <v>5007600</v>
      </c>
      <c r="Q16" s="26">
        <v>5007600</v>
      </c>
      <c r="R16" s="26">
        <v>5007600</v>
      </c>
      <c r="S16" s="26">
        <v>5007600</v>
      </c>
      <c r="T16" s="26">
        <v>5007600</v>
      </c>
      <c r="U16" s="26">
        <v>5007600</v>
      </c>
      <c r="V16" s="26">
        <v>5007600</v>
      </c>
      <c r="W16" s="26">
        <v>5007600</v>
      </c>
      <c r="X16" s="26">
        <v>5007600</v>
      </c>
      <c r="Y16" s="26">
        <v>5007600</v>
      </c>
      <c r="Z16" s="26">
        <v>5007600</v>
      </c>
      <c r="AA16" s="26">
        <v>5007600</v>
      </c>
      <c r="AB16" s="26">
        <v>5007600</v>
      </c>
      <c r="AC16" s="26">
        <v>5007600</v>
      </c>
      <c r="AD16" s="26">
        <v>5007600</v>
      </c>
      <c r="AE16" s="26">
        <v>5007600</v>
      </c>
      <c r="AF16" s="26">
        <v>730000</v>
      </c>
      <c r="AG16" s="26">
        <v>730000</v>
      </c>
      <c r="AH16" s="26">
        <v>730000</v>
      </c>
      <c r="AI16" s="26">
        <v>730000</v>
      </c>
      <c r="AJ16" s="26">
        <v>730000</v>
      </c>
      <c r="AK16" s="26">
        <v>730000</v>
      </c>
      <c r="AL16" s="26">
        <v>730000</v>
      </c>
      <c r="AM16" s="26">
        <v>730000</v>
      </c>
      <c r="AN16" s="26">
        <v>730000</v>
      </c>
      <c r="AO16" s="26">
        <v>730000</v>
      </c>
      <c r="AP16" s="26">
        <v>730000</v>
      </c>
      <c r="AQ16" s="26">
        <v>730000</v>
      </c>
      <c r="AR16" s="26">
        <v>500000</v>
      </c>
      <c r="AS16" s="26">
        <v>500000</v>
      </c>
      <c r="AT16" s="26">
        <v>500000</v>
      </c>
      <c r="AU16" s="26">
        <v>500000</v>
      </c>
      <c r="AV16" s="26">
        <v>500000</v>
      </c>
      <c r="AW16" s="26">
        <v>500000</v>
      </c>
      <c r="AX16" s="26">
        <v>500000</v>
      </c>
      <c r="AY16" s="26">
        <v>500000</v>
      </c>
      <c r="AZ16" s="26">
        <v>500000</v>
      </c>
      <c r="BA16" s="26">
        <v>500000</v>
      </c>
      <c r="BB16" s="26">
        <v>500000</v>
      </c>
      <c r="BC16" s="26">
        <v>500000</v>
      </c>
      <c r="BD16" s="26">
        <v>0</v>
      </c>
      <c r="BE16" s="26">
        <v>0</v>
      </c>
      <c r="BF16" s="26">
        <v>0</v>
      </c>
      <c r="BG16" s="26">
        <v>0</v>
      </c>
      <c r="BH16" s="26">
        <v>0</v>
      </c>
      <c r="BI16" s="26">
        <v>0</v>
      </c>
      <c r="BJ16" s="26">
        <v>0</v>
      </c>
      <c r="BK16" s="26">
        <v>0</v>
      </c>
      <c r="BL16" s="26">
        <v>0</v>
      </c>
      <c r="BM16" s="26">
        <v>0</v>
      </c>
      <c r="BN16" s="26">
        <v>0</v>
      </c>
      <c r="BO16" s="26">
        <v>0</v>
      </c>
      <c r="BP16" s="26">
        <v>1200000</v>
      </c>
      <c r="BQ16" s="26">
        <v>1200000</v>
      </c>
      <c r="BR16" s="26">
        <v>1200000</v>
      </c>
      <c r="BS16" s="26">
        <v>1200000</v>
      </c>
      <c r="BT16" s="26">
        <v>1200000</v>
      </c>
      <c r="BU16" s="26">
        <v>1200000</v>
      </c>
      <c r="BV16" s="26">
        <v>1200000</v>
      </c>
      <c r="BW16" s="26">
        <v>1200000</v>
      </c>
      <c r="BX16" s="26">
        <v>1200000</v>
      </c>
      <c r="BY16" s="26">
        <v>1200000</v>
      </c>
      <c r="BZ16" s="26">
        <v>1200000</v>
      </c>
      <c r="CA16" s="26">
        <v>1200000</v>
      </c>
      <c r="CB16" s="26">
        <v>3500000</v>
      </c>
      <c r="CC16" s="26">
        <v>3500000</v>
      </c>
      <c r="CD16" s="26">
        <v>3500000</v>
      </c>
      <c r="CE16" s="26">
        <v>3500000</v>
      </c>
      <c r="CF16" s="26">
        <v>3500000</v>
      </c>
      <c r="CG16" s="26">
        <v>3500000</v>
      </c>
      <c r="CH16" s="26">
        <v>3500000</v>
      </c>
      <c r="CI16" s="26">
        <v>3500000</v>
      </c>
      <c r="CJ16" s="26">
        <v>3500000</v>
      </c>
      <c r="CK16" s="26">
        <v>3500000</v>
      </c>
      <c r="CL16" s="26">
        <v>3500000</v>
      </c>
      <c r="CM16" s="26">
        <v>3500000</v>
      </c>
      <c r="CN16" s="26">
        <v>5007600</v>
      </c>
      <c r="CO16" s="26">
        <v>22</v>
      </c>
      <c r="CP16" s="26">
        <v>5007600</v>
      </c>
      <c r="CQ16" s="26">
        <v>730000</v>
      </c>
      <c r="CR16" s="26">
        <v>500000</v>
      </c>
      <c r="CS16" s="26">
        <v>1200000</v>
      </c>
      <c r="CT16" s="26">
        <v>3500000</v>
      </c>
      <c r="CU16" s="26">
        <v>5930000</v>
      </c>
    </row>
    <row r="17" spans="1:99" x14ac:dyDescent="0.3">
      <c r="A17" s="26">
        <v>2</v>
      </c>
      <c r="B17" s="27" t="s">
        <v>14</v>
      </c>
      <c r="C17" s="27" t="s">
        <v>15</v>
      </c>
      <c r="D17" s="27" t="s">
        <v>16</v>
      </c>
      <c r="E17" s="27" t="s">
        <v>17</v>
      </c>
      <c r="F17" s="26">
        <v>8130701561</v>
      </c>
      <c r="G17" s="27" t="s">
        <v>18</v>
      </c>
      <c r="H17" s="26">
        <v>5007600</v>
      </c>
      <c r="I17" s="26">
        <v>5007600</v>
      </c>
      <c r="J17" s="26">
        <v>5007600</v>
      </c>
      <c r="K17" s="26">
        <v>5007600</v>
      </c>
      <c r="L17" s="26">
        <v>5007600</v>
      </c>
      <c r="M17" s="26">
        <v>5007600</v>
      </c>
      <c r="N17" s="26">
        <v>5007600</v>
      </c>
      <c r="O17" s="26">
        <v>5007600</v>
      </c>
      <c r="P17" s="26">
        <v>5007600</v>
      </c>
      <c r="Q17" s="26">
        <v>5007600</v>
      </c>
      <c r="R17" s="26">
        <v>5007600</v>
      </c>
      <c r="S17" s="26">
        <v>5007600</v>
      </c>
      <c r="T17" s="26">
        <v>5007600</v>
      </c>
      <c r="U17" s="26">
        <v>5007600</v>
      </c>
      <c r="V17" s="26">
        <v>5007600</v>
      </c>
      <c r="W17" s="26">
        <v>5007600</v>
      </c>
      <c r="X17" s="26">
        <v>5007600</v>
      </c>
      <c r="Y17" s="26">
        <v>5007600</v>
      </c>
      <c r="Z17" s="26">
        <v>5007600</v>
      </c>
      <c r="AA17" s="26">
        <v>5007600</v>
      </c>
      <c r="AB17" s="26">
        <v>5007600</v>
      </c>
      <c r="AC17" s="26">
        <v>5007600</v>
      </c>
      <c r="AD17" s="26">
        <v>5007600</v>
      </c>
      <c r="AE17" s="26">
        <v>5007600</v>
      </c>
      <c r="AF17" s="26">
        <v>730000</v>
      </c>
      <c r="AG17" s="26">
        <v>730000</v>
      </c>
      <c r="AH17" s="26">
        <v>730000</v>
      </c>
      <c r="AI17" s="26">
        <v>730000</v>
      </c>
      <c r="AJ17" s="26">
        <v>730000</v>
      </c>
      <c r="AK17" s="26">
        <v>730000</v>
      </c>
      <c r="AL17" s="26">
        <v>730000</v>
      </c>
      <c r="AM17" s="26">
        <v>730000</v>
      </c>
      <c r="AN17" s="26">
        <v>730000</v>
      </c>
      <c r="AO17" s="26">
        <v>730000</v>
      </c>
      <c r="AP17" s="26">
        <v>730000</v>
      </c>
      <c r="AQ17" s="26">
        <v>730000</v>
      </c>
      <c r="AR17" s="26">
        <v>500000</v>
      </c>
      <c r="AS17" s="26">
        <v>500000</v>
      </c>
      <c r="AT17" s="26">
        <v>500000</v>
      </c>
      <c r="AU17" s="26">
        <v>500000</v>
      </c>
      <c r="AV17" s="26">
        <v>500000</v>
      </c>
      <c r="AW17" s="26">
        <v>500000</v>
      </c>
      <c r="AX17" s="26">
        <v>500000</v>
      </c>
      <c r="AY17" s="26">
        <v>500000</v>
      </c>
      <c r="AZ17" s="26">
        <v>500000</v>
      </c>
      <c r="BA17" s="26">
        <v>500000</v>
      </c>
      <c r="BB17" s="26">
        <v>500000</v>
      </c>
      <c r="BC17" s="26">
        <v>500000</v>
      </c>
      <c r="BD17" s="26">
        <v>0</v>
      </c>
      <c r="BE17" s="26">
        <v>0</v>
      </c>
      <c r="BF17" s="26">
        <v>0</v>
      </c>
      <c r="BG17" s="26">
        <v>0</v>
      </c>
      <c r="BH17" s="26">
        <v>0</v>
      </c>
      <c r="BI17" s="26">
        <v>0</v>
      </c>
      <c r="BJ17" s="26">
        <v>0</v>
      </c>
      <c r="BK17" s="26">
        <v>0</v>
      </c>
      <c r="BL17" s="26">
        <v>0</v>
      </c>
      <c r="BM17" s="26">
        <v>0</v>
      </c>
      <c r="BN17" s="26">
        <v>0</v>
      </c>
      <c r="BO17" s="26">
        <v>0</v>
      </c>
      <c r="BP17" s="26">
        <v>1200000</v>
      </c>
      <c r="BQ17" s="26">
        <v>1200000</v>
      </c>
      <c r="BR17" s="26">
        <v>1200000</v>
      </c>
      <c r="BS17" s="26">
        <v>1200000</v>
      </c>
      <c r="BT17" s="26">
        <v>1200000</v>
      </c>
      <c r="BU17" s="26">
        <v>1200000</v>
      </c>
      <c r="BV17" s="26">
        <v>1200000</v>
      </c>
      <c r="BW17" s="26">
        <v>1200000</v>
      </c>
      <c r="BX17" s="26">
        <v>1200000</v>
      </c>
      <c r="BY17" s="26">
        <v>1200000</v>
      </c>
      <c r="BZ17" s="26">
        <v>1200000</v>
      </c>
      <c r="CA17" s="26">
        <v>1200000</v>
      </c>
      <c r="CB17" s="26">
        <v>3500000</v>
      </c>
      <c r="CC17" s="26">
        <v>3500000</v>
      </c>
      <c r="CD17" s="26">
        <v>3500000</v>
      </c>
      <c r="CE17" s="26">
        <v>3500000</v>
      </c>
      <c r="CF17" s="26">
        <v>3500000</v>
      </c>
      <c r="CG17" s="26">
        <v>3500000</v>
      </c>
      <c r="CH17" s="26">
        <v>3500000</v>
      </c>
      <c r="CI17" s="26">
        <v>3500000</v>
      </c>
      <c r="CJ17" s="26">
        <v>3500000</v>
      </c>
      <c r="CK17" s="26">
        <v>3500000</v>
      </c>
      <c r="CL17" s="26">
        <v>3500000</v>
      </c>
      <c r="CM17" s="26">
        <v>3500000</v>
      </c>
      <c r="CN17" s="26">
        <v>5007600</v>
      </c>
      <c r="CO17" s="26">
        <v>21</v>
      </c>
      <c r="CP17" s="26">
        <v>5007600</v>
      </c>
      <c r="CQ17" s="26">
        <v>730000</v>
      </c>
      <c r="CR17" s="26">
        <v>500000</v>
      </c>
      <c r="CS17" s="26">
        <v>1200000</v>
      </c>
      <c r="CT17" s="26">
        <v>3500000</v>
      </c>
      <c r="CU17" s="26">
        <v>5930000</v>
      </c>
    </row>
    <row r="18" spans="1:99" x14ac:dyDescent="0.3">
      <c r="A18" s="26">
        <v>2</v>
      </c>
      <c r="B18" s="27" t="s">
        <v>14</v>
      </c>
      <c r="C18" s="27" t="s">
        <v>15</v>
      </c>
      <c r="D18" s="27" t="s">
        <v>16</v>
      </c>
      <c r="E18" s="27" t="s">
        <v>17</v>
      </c>
      <c r="F18" s="26">
        <v>8130701561</v>
      </c>
      <c r="G18" s="27" t="s">
        <v>18</v>
      </c>
      <c r="H18" s="26">
        <v>5007600</v>
      </c>
      <c r="I18" s="26">
        <v>5007600</v>
      </c>
      <c r="J18" s="26">
        <v>5007600</v>
      </c>
      <c r="K18" s="26">
        <v>5007600</v>
      </c>
      <c r="L18" s="26">
        <v>5007600</v>
      </c>
      <c r="M18" s="26">
        <v>5007600</v>
      </c>
      <c r="N18" s="26">
        <v>5007600</v>
      </c>
      <c r="O18" s="26">
        <v>5007600</v>
      </c>
      <c r="P18" s="26">
        <v>5007600</v>
      </c>
      <c r="Q18" s="26">
        <v>5007600</v>
      </c>
      <c r="R18" s="26">
        <v>5007600</v>
      </c>
      <c r="S18" s="26">
        <v>5007600</v>
      </c>
      <c r="T18" s="26">
        <v>5007600</v>
      </c>
      <c r="U18" s="26">
        <v>5007600</v>
      </c>
      <c r="V18" s="26">
        <v>5007600</v>
      </c>
      <c r="W18" s="26">
        <v>5007600</v>
      </c>
      <c r="X18" s="26">
        <v>5007600</v>
      </c>
      <c r="Y18" s="26">
        <v>5007600</v>
      </c>
      <c r="Z18" s="26">
        <v>5007600</v>
      </c>
      <c r="AA18" s="26">
        <v>5007600</v>
      </c>
      <c r="AB18" s="26">
        <v>5007600</v>
      </c>
      <c r="AC18" s="26">
        <v>5007600</v>
      </c>
      <c r="AD18" s="26">
        <v>5007600</v>
      </c>
      <c r="AE18" s="26">
        <v>5007600</v>
      </c>
      <c r="AF18" s="26">
        <v>730000</v>
      </c>
      <c r="AG18" s="26">
        <v>730000</v>
      </c>
      <c r="AH18" s="26">
        <v>730000</v>
      </c>
      <c r="AI18" s="26">
        <v>730000</v>
      </c>
      <c r="AJ18" s="26">
        <v>730000</v>
      </c>
      <c r="AK18" s="26">
        <v>730000</v>
      </c>
      <c r="AL18" s="26">
        <v>730000</v>
      </c>
      <c r="AM18" s="26">
        <v>730000</v>
      </c>
      <c r="AN18" s="26">
        <v>730000</v>
      </c>
      <c r="AO18" s="26">
        <v>730000</v>
      </c>
      <c r="AP18" s="26">
        <v>730000</v>
      </c>
      <c r="AQ18" s="26">
        <v>730000</v>
      </c>
      <c r="AR18" s="26">
        <v>500000</v>
      </c>
      <c r="AS18" s="26">
        <v>500000</v>
      </c>
      <c r="AT18" s="26">
        <v>500000</v>
      </c>
      <c r="AU18" s="26">
        <v>500000</v>
      </c>
      <c r="AV18" s="26">
        <v>500000</v>
      </c>
      <c r="AW18" s="26">
        <v>500000</v>
      </c>
      <c r="AX18" s="26">
        <v>500000</v>
      </c>
      <c r="AY18" s="26">
        <v>500000</v>
      </c>
      <c r="AZ18" s="26">
        <v>500000</v>
      </c>
      <c r="BA18" s="26">
        <v>500000</v>
      </c>
      <c r="BB18" s="26">
        <v>500000</v>
      </c>
      <c r="BC18" s="26">
        <v>500000</v>
      </c>
      <c r="BD18" s="26">
        <v>0</v>
      </c>
      <c r="BE18" s="26">
        <v>0</v>
      </c>
      <c r="BF18" s="26">
        <v>0</v>
      </c>
      <c r="BG18" s="26">
        <v>0</v>
      </c>
      <c r="BH18" s="26">
        <v>0</v>
      </c>
      <c r="BI18" s="26">
        <v>0</v>
      </c>
      <c r="BJ18" s="26">
        <v>0</v>
      </c>
      <c r="BK18" s="26">
        <v>0</v>
      </c>
      <c r="BL18" s="26">
        <v>0</v>
      </c>
      <c r="BM18" s="26">
        <v>0</v>
      </c>
      <c r="BN18" s="26">
        <v>0</v>
      </c>
      <c r="BO18" s="26">
        <v>0</v>
      </c>
      <c r="BP18" s="26">
        <v>1200000</v>
      </c>
      <c r="BQ18" s="26">
        <v>1200000</v>
      </c>
      <c r="BR18" s="26">
        <v>1200000</v>
      </c>
      <c r="BS18" s="26">
        <v>1200000</v>
      </c>
      <c r="BT18" s="26">
        <v>1200000</v>
      </c>
      <c r="BU18" s="26">
        <v>1200000</v>
      </c>
      <c r="BV18" s="26">
        <v>1200000</v>
      </c>
      <c r="BW18" s="26">
        <v>1200000</v>
      </c>
      <c r="BX18" s="26">
        <v>1200000</v>
      </c>
      <c r="BY18" s="26">
        <v>1200000</v>
      </c>
      <c r="BZ18" s="26">
        <v>1200000</v>
      </c>
      <c r="CA18" s="26">
        <v>1200000</v>
      </c>
      <c r="CB18" s="26">
        <v>3500000</v>
      </c>
      <c r="CC18" s="26">
        <v>3500000</v>
      </c>
      <c r="CD18" s="26">
        <v>3500000</v>
      </c>
      <c r="CE18" s="26">
        <v>3500000</v>
      </c>
      <c r="CF18" s="26">
        <v>3500000</v>
      </c>
      <c r="CG18" s="26">
        <v>3500000</v>
      </c>
      <c r="CH18" s="26">
        <v>3500000</v>
      </c>
      <c r="CI18" s="26">
        <v>3500000</v>
      </c>
      <c r="CJ18" s="26">
        <v>3500000</v>
      </c>
      <c r="CK18" s="26">
        <v>3500000</v>
      </c>
      <c r="CL18" s="26">
        <v>3500000</v>
      </c>
      <c r="CM18" s="26">
        <v>3500000</v>
      </c>
      <c r="CN18" s="26">
        <v>5007600</v>
      </c>
      <c r="CO18" s="26">
        <v>23</v>
      </c>
      <c r="CP18" s="26">
        <v>5007600</v>
      </c>
      <c r="CQ18" s="26">
        <v>730000</v>
      </c>
      <c r="CR18" s="26">
        <v>500000</v>
      </c>
      <c r="CS18" s="26">
        <v>1200000</v>
      </c>
      <c r="CT18" s="26">
        <v>3500000</v>
      </c>
      <c r="CU18" s="26">
        <v>5930000</v>
      </c>
    </row>
    <row r="19" spans="1:99" x14ac:dyDescent="0.3">
      <c r="A19" s="26">
        <v>2</v>
      </c>
      <c r="B19" s="27" t="s">
        <v>14</v>
      </c>
      <c r="C19" s="27" t="s">
        <v>15</v>
      </c>
      <c r="D19" s="27" t="s">
        <v>16</v>
      </c>
      <c r="E19" s="27" t="s">
        <v>17</v>
      </c>
      <c r="F19" s="26">
        <v>8130701561</v>
      </c>
      <c r="G19" s="27" t="s">
        <v>18</v>
      </c>
      <c r="H19" s="26">
        <v>5007600</v>
      </c>
      <c r="I19" s="26">
        <v>5007600</v>
      </c>
      <c r="J19" s="26">
        <v>5007600</v>
      </c>
      <c r="K19" s="26">
        <v>5007600</v>
      </c>
      <c r="L19" s="26">
        <v>5007600</v>
      </c>
      <c r="M19" s="26">
        <v>5007600</v>
      </c>
      <c r="N19" s="26">
        <v>5007600</v>
      </c>
      <c r="O19" s="26">
        <v>5007600</v>
      </c>
      <c r="P19" s="26">
        <v>5007600</v>
      </c>
      <c r="Q19" s="26">
        <v>5007600</v>
      </c>
      <c r="R19" s="26">
        <v>5007600</v>
      </c>
      <c r="S19" s="26">
        <v>5007600</v>
      </c>
      <c r="T19" s="26">
        <v>5007600</v>
      </c>
      <c r="U19" s="26">
        <v>5007600</v>
      </c>
      <c r="V19" s="26">
        <v>5007600</v>
      </c>
      <c r="W19" s="26">
        <v>5007600</v>
      </c>
      <c r="X19" s="26">
        <v>5007600</v>
      </c>
      <c r="Y19" s="26">
        <v>5007600</v>
      </c>
      <c r="Z19" s="26">
        <v>5007600</v>
      </c>
      <c r="AA19" s="26">
        <v>5007600</v>
      </c>
      <c r="AB19" s="26">
        <v>5007600</v>
      </c>
      <c r="AC19" s="26">
        <v>5007600</v>
      </c>
      <c r="AD19" s="26">
        <v>5007600</v>
      </c>
      <c r="AE19" s="26">
        <v>5007600</v>
      </c>
      <c r="AF19" s="26">
        <v>730000</v>
      </c>
      <c r="AG19" s="26">
        <v>730000</v>
      </c>
      <c r="AH19" s="26">
        <v>730000</v>
      </c>
      <c r="AI19" s="26">
        <v>730000</v>
      </c>
      <c r="AJ19" s="26">
        <v>730000</v>
      </c>
      <c r="AK19" s="26">
        <v>730000</v>
      </c>
      <c r="AL19" s="26">
        <v>730000</v>
      </c>
      <c r="AM19" s="26">
        <v>730000</v>
      </c>
      <c r="AN19" s="26">
        <v>730000</v>
      </c>
      <c r="AO19" s="26">
        <v>730000</v>
      </c>
      <c r="AP19" s="26">
        <v>730000</v>
      </c>
      <c r="AQ19" s="26">
        <v>730000</v>
      </c>
      <c r="AR19" s="26">
        <v>500000</v>
      </c>
      <c r="AS19" s="26">
        <v>500000</v>
      </c>
      <c r="AT19" s="26">
        <v>500000</v>
      </c>
      <c r="AU19" s="26">
        <v>500000</v>
      </c>
      <c r="AV19" s="26">
        <v>500000</v>
      </c>
      <c r="AW19" s="26">
        <v>500000</v>
      </c>
      <c r="AX19" s="26">
        <v>500000</v>
      </c>
      <c r="AY19" s="26">
        <v>500000</v>
      </c>
      <c r="AZ19" s="26">
        <v>500000</v>
      </c>
      <c r="BA19" s="26">
        <v>500000</v>
      </c>
      <c r="BB19" s="26">
        <v>500000</v>
      </c>
      <c r="BC19" s="26">
        <v>500000</v>
      </c>
      <c r="BD19" s="26">
        <v>0</v>
      </c>
      <c r="BE19" s="26">
        <v>0</v>
      </c>
      <c r="BF19" s="26">
        <v>0</v>
      </c>
      <c r="BG19" s="26">
        <v>0</v>
      </c>
      <c r="BH19" s="26">
        <v>0</v>
      </c>
      <c r="BI19" s="26">
        <v>0</v>
      </c>
      <c r="BJ19" s="26">
        <v>0</v>
      </c>
      <c r="BK19" s="26">
        <v>0</v>
      </c>
      <c r="BL19" s="26">
        <v>0</v>
      </c>
      <c r="BM19" s="26">
        <v>0</v>
      </c>
      <c r="BN19" s="26">
        <v>0</v>
      </c>
      <c r="BO19" s="26">
        <v>0</v>
      </c>
      <c r="BP19" s="26">
        <v>1200000</v>
      </c>
      <c r="BQ19" s="26">
        <v>1200000</v>
      </c>
      <c r="BR19" s="26">
        <v>1200000</v>
      </c>
      <c r="BS19" s="26">
        <v>1200000</v>
      </c>
      <c r="BT19" s="26">
        <v>1200000</v>
      </c>
      <c r="BU19" s="26">
        <v>1200000</v>
      </c>
      <c r="BV19" s="26">
        <v>1200000</v>
      </c>
      <c r="BW19" s="26">
        <v>1200000</v>
      </c>
      <c r="BX19" s="26">
        <v>1200000</v>
      </c>
      <c r="BY19" s="26">
        <v>1200000</v>
      </c>
      <c r="BZ19" s="26">
        <v>1200000</v>
      </c>
      <c r="CA19" s="26">
        <v>1200000</v>
      </c>
      <c r="CB19" s="26">
        <v>3500000</v>
      </c>
      <c r="CC19" s="26">
        <v>3500000</v>
      </c>
      <c r="CD19" s="26">
        <v>3500000</v>
      </c>
      <c r="CE19" s="26">
        <v>3500000</v>
      </c>
      <c r="CF19" s="26">
        <v>3500000</v>
      </c>
      <c r="CG19" s="26">
        <v>3500000</v>
      </c>
      <c r="CH19" s="26">
        <v>3500000</v>
      </c>
      <c r="CI19" s="26">
        <v>3500000</v>
      </c>
      <c r="CJ19" s="26">
        <v>3500000</v>
      </c>
      <c r="CK19" s="26">
        <v>3500000</v>
      </c>
      <c r="CL19" s="26">
        <v>3500000</v>
      </c>
      <c r="CM19" s="26">
        <v>3500000</v>
      </c>
      <c r="CN19" s="26">
        <v>5007600</v>
      </c>
      <c r="CO19" s="26">
        <v>23</v>
      </c>
      <c r="CP19" s="26">
        <v>5007600</v>
      </c>
      <c r="CQ19" s="26">
        <v>730000</v>
      </c>
      <c r="CR19" s="26">
        <v>500000</v>
      </c>
      <c r="CS19" s="26">
        <v>1200000</v>
      </c>
      <c r="CT19" s="26">
        <v>3500000</v>
      </c>
      <c r="CU19" s="26">
        <v>5930000</v>
      </c>
    </row>
    <row r="20" spans="1:99" x14ac:dyDescent="0.3">
      <c r="A20" s="26">
        <v>2</v>
      </c>
      <c r="B20" s="27" t="s">
        <v>14</v>
      </c>
      <c r="C20" s="27" t="s">
        <v>15</v>
      </c>
      <c r="D20" s="27" t="s">
        <v>16</v>
      </c>
      <c r="E20" s="27" t="s">
        <v>17</v>
      </c>
      <c r="F20" s="26">
        <v>8130701561</v>
      </c>
      <c r="G20" s="27" t="s">
        <v>18</v>
      </c>
      <c r="H20" s="26">
        <v>5007600</v>
      </c>
      <c r="I20" s="26">
        <v>5007600</v>
      </c>
      <c r="J20" s="26">
        <v>5007600</v>
      </c>
      <c r="K20" s="26">
        <v>5007600</v>
      </c>
      <c r="L20" s="26">
        <v>5007600</v>
      </c>
      <c r="M20" s="26">
        <v>5007600</v>
      </c>
      <c r="N20" s="26">
        <v>5007600</v>
      </c>
      <c r="O20" s="26">
        <v>5007600</v>
      </c>
      <c r="P20" s="26">
        <v>5007600</v>
      </c>
      <c r="Q20" s="26">
        <v>5007600</v>
      </c>
      <c r="R20" s="26">
        <v>5007600</v>
      </c>
      <c r="S20" s="26">
        <v>5007600</v>
      </c>
      <c r="T20" s="26">
        <v>5007600</v>
      </c>
      <c r="U20" s="26">
        <v>5007600</v>
      </c>
      <c r="V20" s="26">
        <v>5007600</v>
      </c>
      <c r="W20" s="26">
        <v>5007600</v>
      </c>
      <c r="X20" s="26">
        <v>5007600</v>
      </c>
      <c r="Y20" s="26">
        <v>5007600</v>
      </c>
      <c r="Z20" s="26">
        <v>5007600</v>
      </c>
      <c r="AA20" s="26">
        <v>5007600</v>
      </c>
      <c r="AB20" s="26">
        <v>5007600</v>
      </c>
      <c r="AC20" s="26">
        <v>5007600</v>
      </c>
      <c r="AD20" s="26">
        <v>5007600</v>
      </c>
      <c r="AE20" s="26">
        <v>5007600</v>
      </c>
      <c r="AF20" s="26">
        <v>730000</v>
      </c>
      <c r="AG20" s="26">
        <v>730000</v>
      </c>
      <c r="AH20" s="26">
        <v>730000</v>
      </c>
      <c r="AI20" s="26">
        <v>730000</v>
      </c>
      <c r="AJ20" s="26">
        <v>730000</v>
      </c>
      <c r="AK20" s="26">
        <v>730000</v>
      </c>
      <c r="AL20" s="26">
        <v>730000</v>
      </c>
      <c r="AM20" s="26">
        <v>730000</v>
      </c>
      <c r="AN20" s="26">
        <v>730000</v>
      </c>
      <c r="AO20" s="26">
        <v>730000</v>
      </c>
      <c r="AP20" s="26">
        <v>730000</v>
      </c>
      <c r="AQ20" s="26">
        <v>730000</v>
      </c>
      <c r="AR20" s="26">
        <v>500000</v>
      </c>
      <c r="AS20" s="26">
        <v>500000</v>
      </c>
      <c r="AT20" s="26">
        <v>500000</v>
      </c>
      <c r="AU20" s="26">
        <v>500000</v>
      </c>
      <c r="AV20" s="26">
        <v>500000</v>
      </c>
      <c r="AW20" s="26">
        <v>500000</v>
      </c>
      <c r="AX20" s="26">
        <v>500000</v>
      </c>
      <c r="AY20" s="26">
        <v>500000</v>
      </c>
      <c r="AZ20" s="26">
        <v>500000</v>
      </c>
      <c r="BA20" s="26">
        <v>500000</v>
      </c>
      <c r="BB20" s="26">
        <v>500000</v>
      </c>
      <c r="BC20" s="26">
        <v>500000</v>
      </c>
      <c r="BD20" s="26">
        <v>0</v>
      </c>
      <c r="BE20" s="26">
        <v>0</v>
      </c>
      <c r="BF20" s="26">
        <v>0</v>
      </c>
      <c r="BG20" s="26">
        <v>0</v>
      </c>
      <c r="BH20" s="26">
        <v>0</v>
      </c>
      <c r="BI20" s="26">
        <v>0</v>
      </c>
      <c r="BJ20" s="26">
        <v>0</v>
      </c>
      <c r="BK20" s="26">
        <v>0</v>
      </c>
      <c r="BL20" s="26">
        <v>0</v>
      </c>
      <c r="BM20" s="26">
        <v>0</v>
      </c>
      <c r="BN20" s="26">
        <v>0</v>
      </c>
      <c r="BO20" s="26">
        <v>0</v>
      </c>
      <c r="BP20" s="26">
        <v>1200000</v>
      </c>
      <c r="BQ20" s="26">
        <v>1200000</v>
      </c>
      <c r="BR20" s="26">
        <v>1200000</v>
      </c>
      <c r="BS20" s="26">
        <v>1200000</v>
      </c>
      <c r="BT20" s="26">
        <v>1200000</v>
      </c>
      <c r="BU20" s="26">
        <v>1200000</v>
      </c>
      <c r="BV20" s="26">
        <v>1200000</v>
      </c>
      <c r="BW20" s="26">
        <v>1200000</v>
      </c>
      <c r="BX20" s="26">
        <v>1200000</v>
      </c>
      <c r="BY20" s="26">
        <v>1200000</v>
      </c>
      <c r="BZ20" s="26">
        <v>1200000</v>
      </c>
      <c r="CA20" s="26">
        <v>1200000</v>
      </c>
      <c r="CB20" s="26">
        <v>3500000</v>
      </c>
      <c r="CC20" s="26">
        <v>3500000</v>
      </c>
      <c r="CD20" s="26">
        <v>3500000</v>
      </c>
      <c r="CE20" s="26">
        <v>3500000</v>
      </c>
      <c r="CF20" s="26">
        <v>3500000</v>
      </c>
      <c r="CG20" s="26">
        <v>3500000</v>
      </c>
      <c r="CH20" s="26">
        <v>3500000</v>
      </c>
      <c r="CI20" s="26">
        <v>3500000</v>
      </c>
      <c r="CJ20" s="26">
        <v>3500000</v>
      </c>
      <c r="CK20" s="26">
        <v>3500000</v>
      </c>
      <c r="CL20" s="26">
        <v>3500000</v>
      </c>
      <c r="CM20" s="26">
        <v>3500000</v>
      </c>
      <c r="CN20" s="26">
        <v>5007600</v>
      </c>
      <c r="CO20" s="26">
        <v>20</v>
      </c>
      <c r="CP20" s="26">
        <v>5007600</v>
      </c>
      <c r="CQ20" s="26">
        <v>730000</v>
      </c>
      <c r="CR20" s="26">
        <v>500000</v>
      </c>
      <c r="CS20" s="26">
        <v>1200000</v>
      </c>
      <c r="CT20" s="26">
        <v>3500000</v>
      </c>
      <c r="CU20" s="26">
        <v>5930000</v>
      </c>
    </row>
    <row r="21" spans="1:99" x14ac:dyDescent="0.3">
      <c r="A21" s="26">
        <v>2</v>
      </c>
      <c r="B21" s="27" t="s">
        <v>14</v>
      </c>
      <c r="C21" s="27" t="s">
        <v>15</v>
      </c>
      <c r="D21" s="27" t="s">
        <v>16</v>
      </c>
      <c r="E21" s="27" t="s">
        <v>17</v>
      </c>
      <c r="F21" s="26">
        <v>8130701561</v>
      </c>
      <c r="G21" s="27" t="s">
        <v>18</v>
      </c>
      <c r="H21" s="26">
        <v>5007600</v>
      </c>
      <c r="I21" s="26">
        <v>5007600</v>
      </c>
      <c r="J21" s="26">
        <v>5007600</v>
      </c>
      <c r="K21" s="26">
        <v>5007600</v>
      </c>
      <c r="L21" s="26">
        <v>5007600</v>
      </c>
      <c r="M21" s="26">
        <v>5007600</v>
      </c>
      <c r="N21" s="26">
        <v>5007600</v>
      </c>
      <c r="O21" s="26">
        <v>5007600</v>
      </c>
      <c r="P21" s="26">
        <v>5007600</v>
      </c>
      <c r="Q21" s="26">
        <v>5007600</v>
      </c>
      <c r="R21" s="26">
        <v>5007600</v>
      </c>
      <c r="S21" s="26">
        <v>5007600</v>
      </c>
      <c r="T21" s="26">
        <v>5007600</v>
      </c>
      <c r="U21" s="26">
        <v>5007600</v>
      </c>
      <c r="V21" s="26">
        <v>5007600</v>
      </c>
      <c r="W21" s="26">
        <v>5007600</v>
      </c>
      <c r="X21" s="26">
        <v>5007600</v>
      </c>
      <c r="Y21" s="26">
        <v>5007600</v>
      </c>
      <c r="Z21" s="26">
        <v>5007600</v>
      </c>
      <c r="AA21" s="26">
        <v>5007600</v>
      </c>
      <c r="AB21" s="26">
        <v>5007600</v>
      </c>
      <c r="AC21" s="26">
        <v>5007600</v>
      </c>
      <c r="AD21" s="26">
        <v>5007600</v>
      </c>
      <c r="AE21" s="26">
        <v>5007600</v>
      </c>
      <c r="AF21" s="26">
        <v>730000</v>
      </c>
      <c r="AG21" s="26">
        <v>730000</v>
      </c>
      <c r="AH21" s="26">
        <v>730000</v>
      </c>
      <c r="AI21" s="26">
        <v>730000</v>
      </c>
      <c r="AJ21" s="26">
        <v>730000</v>
      </c>
      <c r="AK21" s="26">
        <v>730000</v>
      </c>
      <c r="AL21" s="26">
        <v>730000</v>
      </c>
      <c r="AM21" s="26">
        <v>730000</v>
      </c>
      <c r="AN21" s="26">
        <v>730000</v>
      </c>
      <c r="AO21" s="26">
        <v>730000</v>
      </c>
      <c r="AP21" s="26">
        <v>730000</v>
      </c>
      <c r="AQ21" s="26">
        <v>730000</v>
      </c>
      <c r="AR21" s="26">
        <v>500000</v>
      </c>
      <c r="AS21" s="26">
        <v>500000</v>
      </c>
      <c r="AT21" s="26">
        <v>500000</v>
      </c>
      <c r="AU21" s="26">
        <v>500000</v>
      </c>
      <c r="AV21" s="26">
        <v>500000</v>
      </c>
      <c r="AW21" s="26">
        <v>500000</v>
      </c>
      <c r="AX21" s="26">
        <v>500000</v>
      </c>
      <c r="AY21" s="26">
        <v>500000</v>
      </c>
      <c r="AZ21" s="26">
        <v>500000</v>
      </c>
      <c r="BA21" s="26">
        <v>500000</v>
      </c>
      <c r="BB21" s="26">
        <v>500000</v>
      </c>
      <c r="BC21" s="26">
        <v>500000</v>
      </c>
      <c r="BD21" s="26">
        <v>0</v>
      </c>
      <c r="BE21" s="26">
        <v>0</v>
      </c>
      <c r="BF21" s="26">
        <v>0</v>
      </c>
      <c r="BG21" s="26">
        <v>0</v>
      </c>
      <c r="BH21" s="26">
        <v>0</v>
      </c>
      <c r="BI21" s="26">
        <v>0</v>
      </c>
      <c r="BJ21" s="26">
        <v>0</v>
      </c>
      <c r="BK21" s="26">
        <v>0</v>
      </c>
      <c r="BL21" s="26">
        <v>0</v>
      </c>
      <c r="BM21" s="26">
        <v>0</v>
      </c>
      <c r="BN21" s="26">
        <v>0</v>
      </c>
      <c r="BO21" s="26">
        <v>0</v>
      </c>
      <c r="BP21" s="26">
        <v>1200000</v>
      </c>
      <c r="BQ21" s="26">
        <v>1200000</v>
      </c>
      <c r="BR21" s="26">
        <v>1200000</v>
      </c>
      <c r="BS21" s="26">
        <v>1200000</v>
      </c>
      <c r="BT21" s="26">
        <v>1200000</v>
      </c>
      <c r="BU21" s="26">
        <v>1200000</v>
      </c>
      <c r="BV21" s="26">
        <v>1200000</v>
      </c>
      <c r="BW21" s="26">
        <v>1200000</v>
      </c>
      <c r="BX21" s="26">
        <v>1200000</v>
      </c>
      <c r="BY21" s="26">
        <v>1200000</v>
      </c>
      <c r="BZ21" s="26">
        <v>1200000</v>
      </c>
      <c r="CA21" s="26">
        <v>1200000</v>
      </c>
      <c r="CB21" s="26">
        <v>3500000</v>
      </c>
      <c r="CC21" s="26">
        <v>3500000</v>
      </c>
      <c r="CD21" s="26">
        <v>3500000</v>
      </c>
      <c r="CE21" s="26">
        <v>3500000</v>
      </c>
      <c r="CF21" s="26">
        <v>3500000</v>
      </c>
      <c r="CG21" s="26">
        <v>3500000</v>
      </c>
      <c r="CH21" s="26">
        <v>3500000</v>
      </c>
      <c r="CI21" s="26">
        <v>3500000</v>
      </c>
      <c r="CJ21" s="26">
        <v>3500000</v>
      </c>
      <c r="CK21" s="26">
        <v>3500000</v>
      </c>
      <c r="CL21" s="26">
        <v>3500000</v>
      </c>
      <c r="CM21" s="26">
        <v>3500000</v>
      </c>
      <c r="CN21" s="26">
        <v>5007600</v>
      </c>
      <c r="CO21" s="26">
        <v>21</v>
      </c>
      <c r="CP21" s="26">
        <v>5007600</v>
      </c>
      <c r="CQ21" s="26">
        <v>730000</v>
      </c>
      <c r="CR21" s="26">
        <v>500000</v>
      </c>
      <c r="CS21" s="26">
        <v>1200000</v>
      </c>
      <c r="CT21" s="26">
        <v>3500000</v>
      </c>
      <c r="CU21" s="26">
        <v>5930000</v>
      </c>
    </row>
    <row r="22" spans="1:99" x14ac:dyDescent="0.3">
      <c r="A22" s="26">
        <v>2</v>
      </c>
      <c r="B22" s="27" t="s">
        <v>14</v>
      </c>
      <c r="C22" s="27" t="s">
        <v>15</v>
      </c>
      <c r="D22" s="27" t="s">
        <v>16</v>
      </c>
      <c r="E22" s="27" t="s">
        <v>17</v>
      </c>
      <c r="F22" s="26">
        <v>8130701561</v>
      </c>
      <c r="G22" s="27" t="s">
        <v>18</v>
      </c>
      <c r="H22" s="26">
        <v>5007600</v>
      </c>
      <c r="I22" s="26">
        <v>5007600</v>
      </c>
      <c r="J22" s="26">
        <v>5007600</v>
      </c>
      <c r="K22" s="26">
        <v>5007600</v>
      </c>
      <c r="L22" s="26">
        <v>5007600</v>
      </c>
      <c r="M22" s="26">
        <v>5007600</v>
      </c>
      <c r="N22" s="26">
        <v>5007600</v>
      </c>
      <c r="O22" s="26">
        <v>5007600</v>
      </c>
      <c r="P22" s="26">
        <v>5007600</v>
      </c>
      <c r="Q22" s="26">
        <v>5007600</v>
      </c>
      <c r="R22" s="26">
        <v>5007600</v>
      </c>
      <c r="S22" s="26">
        <v>5007600</v>
      </c>
      <c r="T22" s="26">
        <v>5007600</v>
      </c>
      <c r="U22" s="26">
        <v>5007600</v>
      </c>
      <c r="V22" s="26">
        <v>5007600</v>
      </c>
      <c r="W22" s="26">
        <v>5007600</v>
      </c>
      <c r="X22" s="26">
        <v>5007600</v>
      </c>
      <c r="Y22" s="26">
        <v>5007600</v>
      </c>
      <c r="Z22" s="26">
        <v>5007600</v>
      </c>
      <c r="AA22" s="26">
        <v>5007600</v>
      </c>
      <c r="AB22" s="26">
        <v>5007600</v>
      </c>
      <c r="AC22" s="26">
        <v>5007600</v>
      </c>
      <c r="AD22" s="26">
        <v>5007600</v>
      </c>
      <c r="AE22" s="26">
        <v>5007600</v>
      </c>
      <c r="AF22" s="26">
        <v>730000</v>
      </c>
      <c r="AG22" s="26">
        <v>730000</v>
      </c>
      <c r="AH22" s="26">
        <v>730000</v>
      </c>
      <c r="AI22" s="26">
        <v>730000</v>
      </c>
      <c r="AJ22" s="26">
        <v>730000</v>
      </c>
      <c r="AK22" s="26">
        <v>730000</v>
      </c>
      <c r="AL22" s="26">
        <v>730000</v>
      </c>
      <c r="AM22" s="26">
        <v>730000</v>
      </c>
      <c r="AN22" s="26">
        <v>730000</v>
      </c>
      <c r="AO22" s="26">
        <v>730000</v>
      </c>
      <c r="AP22" s="26">
        <v>730000</v>
      </c>
      <c r="AQ22" s="26">
        <v>730000</v>
      </c>
      <c r="AR22" s="26">
        <v>500000</v>
      </c>
      <c r="AS22" s="26">
        <v>500000</v>
      </c>
      <c r="AT22" s="26">
        <v>500000</v>
      </c>
      <c r="AU22" s="26">
        <v>500000</v>
      </c>
      <c r="AV22" s="26">
        <v>500000</v>
      </c>
      <c r="AW22" s="26">
        <v>500000</v>
      </c>
      <c r="AX22" s="26">
        <v>500000</v>
      </c>
      <c r="AY22" s="26">
        <v>500000</v>
      </c>
      <c r="AZ22" s="26">
        <v>500000</v>
      </c>
      <c r="BA22" s="26">
        <v>500000</v>
      </c>
      <c r="BB22" s="26">
        <v>500000</v>
      </c>
      <c r="BC22" s="26">
        <v>500000</v>
      </c>
      <c r="BD22" s="26">
        <v>0</v>
      </c>
      <c r="BE22" s="26">
        <v>0</v>
      </c>
      <c r="BF22" s="26">
        <v>0</v>
      </c>
      <c r="BG22" s="26">
        <v>0</v>
      </c>
      <c r="BH22" s="26">
        <v>0</v>
      </c>
      <c r="BI22" s="26">
        <v>0</v>
      </c>
      <c r="BJ22" s="26">
        <v>0</v>
      </c>
      <c r="BK22" s="26">
        <v>0</v>
      </c>
      <c r="BL22" s="26">
        <v>0</v>
      </c>
      <c r="BM22" s="26">
        <v>0</v>
      </c>
      <c r="BN22" s="26">
        <v>0</v>
      </c>
      <c r="BO22" s="26">
        <v>0</v>
      </c>
      <c r="BP22" s="26">
        <v>1200000</v>
      </c>
      <c r="BQ22" s="26">
        <v>1200000</v>
      </c>
      <c r="BR22" s="26">
        <v>1200000</v>
      </c>
      <c r="BS22" s="26">
        <v>1200000</v>
      </c>
      <c r="BT22" s="26">
        <v>1200000</v>
      </c>
      <c r="BU22" s="26">
        <v>1200000</v>
      </c>
      <c r="BV22" s="26">
        <v>1200000</v>
      </c>
      <c r="BW22" s="26">
        <v>1200000</v>
      </c>
      <c r="BX22" s="26">
        <v>1200000</v>
      </c>
      <c r="BY22" s="26">
        <v>1200000</v>
      </c>
      <c r="BZ22" s="26">
        <v>1200000</v>
      </c>
      <c r="CA22" s="26">
        <v>1200000</v>
      </c>
      <c r="CB22" s="26">
        <v>3500000</v>
      </c>
      <c r="CC22" s="26">
        <v>3500000</v>
      </c>
      <c r="CD22" s="26">
        <v>3500000</v>
      </c>
      <c r="CE22" s="26">
        <v>3500000</v>
      </c>
      <c r="CF22" s="26">
        <v>3500000</v>
      </c>
      <c r="CG22" s="26">
        <v>3500000</v>
      </c>
      <c r="CH22" s="26">
        <v>3500000</v>
      </c>
      <c r="CI22" s="26">
        <v>3500000</v>
      </c>
      <c r="CJ22" s="26">
        <v>3500000</v>
      </c>
      <c r="CK22" s="26">
        <v>3500000</v>
      </c>
      <c r="CL22" s="26">
        <v>3500000</v>
      </c>
      <c r="CM22" s="26">
        <v>3500000</v>
      </c>
      <c r="CN22" s="26">
        <v>5007600</v>
      </c>
      <c r="CO22" s="26">
        <v>23</v>
      </c>
      <c r="CP22" s="26">
        <v>5007600</v>
      </c>
      <c r="CQ22" s="26">
        <v>730000</v>
      </c>
      <c r="CR22" s="26">
        <v>500000</v>
      </c>
      <c r="CS22" s="26">
        <v>1200000</v>
      </c>
      <c r="CT22" s="26">
        <v>3500000</v>
      </c>
      <c r="CU22" s="26">
        <v>5930000</v>
      </c>
    </row>
    <row r="23" spans="1:99" x14ac:dyDescent="0.3">
      <c r="A23" s="26">
        <v>2</v>
      </c>
      <c r="B23" s="27" t="s">
        <v>14</v>
      </c>
      <c r="C23" s="27" t="s">
        <v>15</v>
      </c>
      <c r="D23" s="27" t="s">
        <v>16</v>
      </c>
      <c r="E23" s="27" t="s">
        <v>17</v>
      </c>
      <c r="F23" s="26">
        <v>8130701561</v>
      </c>
      <c r="G23" s="27" t="s">
        <v>18</v>
      </c>
      <c r="H23" s="26">
        <v>5007600</v>
      </c>
      <c r="I23" s="26">
        <v>5007600</v>
      </c>
      <c r="J23" s="26">
        <v>5007600</v>
      </c>
      <c r="K23" s="26">
        <v>5007600</v>
      </c>
      <c r="L23" s="26">
        <v>5007600</v>
      </c>
      <c r="M23" s="26">
        <v>5007600</v>
      </c>
      <c r="N23" s="26">
        <v>5007600</v>
      </c>
      <c r="O23" s="26">
        <v>5007600</v>
      </c>
      <c r="P23" s="26">
        <v>5007600</v>
      </c>
      <c r="Q23" s="26">
        <v>5007600</v>
      </c>
      <c r="R23" s="26">
        <v>5007600</v>
      </c>
      <c r="S23" s="26">
        <v>5007600</v>
      </c>
      <c r="T23" s="26">
        <v>5007600</v>
      </c>
      <c r="U23" s="26">
        <v>5007600</v>
      </c>
      <c r="V23" s="26">
        <v>5007600</v>
      </c>
      <c r="W23" s="26">
        <v>5007600</v>
      </c>
      <c r="X23" s="26">
        <v>5007600</v>
      </c>
      <c r="Y23" s="26">
        <v>5007600</v>
      </c>
      <c r="Z23" s="26">
        <v>5007600</v>
      </c>
      <c r="AA23" s="26">
        <v>5007600</v>
      </c>
      <c r="AB23" s="26">
        <v>5007600</v>
      </c>
      <c r="AC23" s="26">
        <v>5007600</v>
      </c>
      <c r="AD23" s="26">
        <v>5007600</v>
      </c>
      <c r="AE23" s="26">
        <v>5007600</v>
      </c>
      <c r="AF23" s="26">
        <v>730000</v>
      </c>
      <c r="AG23" s="26">
        <v>730000</v>
      </c>
      <c r="AH23" s="26">
        <v>730000</v>
      </c>
      <c r="AI23" s="26">
        <v>730000</v>
      </c>
      <c r="AJ23" s="26">
        <v>730000</v>
      </c>
      <c r="AK23" s="26">
        <v>730000</v>
      </c>
      <c r="AL23" s="26">
        <v>730000</v>
      </c>
      <c r="AM23" s="26">
        <v>730000</v>
      </c>
      <c r="AN23" s="26">
        <v>730000</v>
      </c>
      <c r="AO23" s="26">
        <v>730000</v>
      </c>
      <c r="AP23" s="26">
        <v>730000</v>
      </c>
      <c r="AQ23" s="26">
        <v>730000</v>
      </c>
      <c r="AR23" s="26">
        <v>500000</v>
      </c>
      <c r="AS23" s="26">
        <v>500000</v>
      </c>
      <c r="AT23" s="26">
        <v>500000</v>
      </c>
      <c r="AU23" s="26">
        <v>500000</v>
      </c>
      <c r="AV23" s="26">
        <v>500000</v>
      </c>
      <c r="AW23" s="26">
        <v>500000</v>
      </c>
      <c r="AX23" s="26">
        <v>500000</v>
      </c>
      <c r="AY23" s="26">
        <v>500000</v>
      </c>
      <c r="AZ23" s="26">
        <v>500000</v>
      </c>
      <c r="BA23" s="26">
        <v>500000</v>
      </c>
      <c r="BB23" s="26">
        <v>500000</v>
      </c>
      <c r="BC23" s="26">
        <v>500000</v>
      </c>
      <c r="BD23" s="26">
        <v>0</v>
      </c>
      <c r="BE23" s="26">
        <v>0</v>
      </c>
      <c r="BF23" s="26">
        <v>0</v>
      </c>
      <c r="BG23" s="26">
        <v>0</v>
      </c>
      <c r="BH23" s="26">
        <v>0</v>
      </c>
      <c r="BI23" s="26">
        <v>0</v>
      </c>
      <c r="BJ23" s="26">
        <v>0</v>
      </c>
      <c r="BK23" s="26">
        <v>0</v>
      </c>
      <c r="BL23" s="26">
        <v>0</v>
      </c>
      <c r="BM23" s="26">
        <v>0</v>
      </c>
      <c r="BN23" s="26">
        <v>0</v>
      </c>
      <c r="BO23" s="26">
        <v>0</v>
      </c>
      <c r="BP23" s="26">
        <v>1200000</v>
      </c>
      <c r="BQ23" s="26">
        <v>1200000</v>
      </c>
      <c r="BR23" s="26">
        <v>1200000</v>
      </c>
      <c r="BS23" s="26">
        <v>1200000</v>
      </c>
      <c r="BT23" s="26">
        <v>1200000</v>
      </c>
      <c r="BU23" s="26">
        <v>1200000</v>
      </c>
      <c r="BV23" s="26">
        <v>1200000</v>
      </c>
      <c r="BW23" s="26">
        <v>1200000</v>
      </c>
      <c r="BX23" s="26">
        <v>1200000</v>
      </c>
      <c r="BY23" s="26">
        <v>1200000</v>
      </c>
      <c r="BZ23" s="26">
        <v>1200000</v>
      </c>
      <c r="CA23" s="26">
        <v>1200000</v>
      </c>
      <c r="CB23" s="26">
        <v>3500000</v>
      </c>
      <c r="CC23" s="26">
        <v>3500000</v>
      </c>
      <c r="CD23" s="26">
        <v>3500000</v>
      </c>
      <c r="CE23" s="26">
        <v>3500000</v>
      </c>
      <c r="CF23" s="26">
        <v>3500000</v>
      </c>
      <c r="CG23" s="26">
        <v>3500000</v>
      </c>
      <c r="CH23" s="26">
        <v>3500000</v>
      </c>
      <c r="CI23" s="26">
        <v>3500000</v>
      </c>
      <c r="CJ23" s="26">
        <v>3500000</v>
      </c>
      <c r="CK23" s="26">
        <v>3500000</v>
      </c>
      <c r="CL23" s="26">
        <v>3500000</v>
      </c>
      <c r="CM23" s="26">
        <v>3500000</v>
      </c>
      <c r="CN23" s="26">
        <v>5007600</v>
      </c>
      <c r="CO23" s="26">
        <v>22</v>
      </c>
      <c r="CP23" s="26">
        <v>5007600</v>
      </c>
      <c r="CQ23" s="26">
        <v>730000</v>
      </c>
      <c r="CR23" s="26">
        <v>500000</v>
      </c>
      <c r="CS23" s="26">
        <v>1200000</v>
      </c>
      <c r="CT23" s="26">
        <v>3500000</v>
      </c>
      <c r="CU23" s="26">
        <v>5930000</v>
      </c>
    </row>
    <row r="24" spans="1:99" x14ac:dyDescent="0.3">
      <c r="A24" s="26">
        <v>2</v>
      </c>
      <c r="B24" s="27" t="s">
        <v>14</v>
      </c>
      <c r="C24" s="27" t="s">
        <v>15</v>
      </c>
      <c r="D24" s="27" t="s">
        <v>16</v>
      </c>
      <c r="E24" s="27" t="s">
        <v>17</v>
      </c>
      <c r="F24" s="26">
        <v>8130701561</v>
      </c>
      <c r="G24" s="27" t="s">
        <v>18</v>
      </c>
      <c r="H24" s="26">
        <v>5007600</v>
      </c>
      <c r="I24" s="26">
        <v>5007600</v>
      </c>
      <c r="J24" s="26">
        <v>5007600</v>
      </c>
      <c r="K24" s="26">
        <v>5007600</v>
      </c>
      <c r="L24" s="26">
        <v>5007600</v>
      </c>
      <c r="M24" s="26">
        <v>5007600</v>
      </c>
      <c r="N24" s="26">
        <v>5007600</v>
      </c>
      <c r="O24" s="26">
        <v>5007600</v>
      </c>
      <c r="P24" s="26">
        <v>5007600</v>
      </c>
      <c r="Q24" s="26">
        <v>5007600</v>
      </c>
      <c r="R24" s="26">
        <v>5007600</v>
      </c>
      <c r="S24" s="26">
        <v>5007600</v>
      </c>
      <c r="T24" s="26">
        <v>5007600</v>
      </c>
      <c r="U24" s="26">
        <v>5007600</v>
      </c>
      <c r="V24" s="26">
        <v>5007600</v>
      </c>
      <c r="W24" s="26">
        <v>5007600</v>
      </c>
      <c r="X24" s="26">
        <v>5007600</v>
      </c>
      <c r="Y24" s="26">
        <v>5007600</v>
      </c>
      <c r="Z24" s="26">
        <v>5007600</v>
      </c>
      <c r="AA24" s="26">
        <v>5007600</v>
      </c>
      <c r="AB24" s="26">
        <v>5007600</v>
      </c>
      <c r="AC24" s="26">
        <v>5007600</v>
      </c>
      <c r="AD24" s="26">
        <v>5007600</v>
      </c>
      <c r="AE24" s="26">
        <v>5007600</v>
      </c>
      <c r="AF24" s="26">
        <v>730000</v>
      </c>
      <c r="AG24" s="26">
        <v>730000</v>
      </c>
      <c r="AH24" s="26">
        <v>730000</v>
      </c>
      <c r="AI24" s="26">
        <v>730000</v>
      </c>
      <c r="AJ24" s="26">
        <v>730000</v>
      </c>
      <c r="AK24" s="26">
        <v>730000</v>
      </c>
      <c r="AL24" s="26">
        <v>730000</v>
      </c>
      <c r="AM24" s="26">
        <v>730000</v>
      </c>
      <c r="AN24" s="26">
        <v>730000</v>
      </c>
      <c r="AO24" s="26">
        <v>730000</v>
      </c>
      <c r="AP24" s="26">
        <v>730000</v>
      </c>
      <c r="AQ24" s="26">
        <v>730000</v>
      </c>
      <c r="AR24" s="26">
        <v>500000</v>
      </c>
      <c r="AS24" s="26">
        <v>500000</v>
      </c>
      <c r="AT24" s="26">
        <v>500000</v>
      </c>
      <c r="AU24" s="26">
        <v>500000</v>
      </c>
      <c r="AV24" s="26">
        <v>500000</v>
      </c>
      <c r="AW24" s="26">
        <v>500000</v>
      </c>
      <c r="AX24" s="26">
        <v>500000</v>
      </c>
      <c r="AY24" s="26">
        <v>500000</v>
      </c>
      <c r="AZ24" s="26">
        <v>500000</v>
      </c>
      <c r="BA24" s="26">
        <v>500000</v>
      </c>
      <c r="BB24" s="26">
        <v>500000</v>
      </c>
      <c r="BC24" s="26">
        <v>500000</v>
      </c>
      <c r="BD24" s="26">
        <v>0</v>
      </c>
      <c r="BE24" s="26">
        <v>0</v>
      </c>
      <c r="BF24" s="26">
        <v>0</v>
      </c>
      <c r="BG24" s="26">
        <v>0</v>
      </c>
      <c r="BH24" s="26">
        <v>0</v>
      </c>
      <c r="BI24" s="26">
        <v>0</v>
      </c>
      <c r="BJ24" s="26">
        <v>0</v>
      </c>
      <c r="BK24" s="26">
        <v>0</v>
      </c>
      <c r="BL24" s="26">
        <v>0</v>
      </c>
      <c r="BM24" s="26">
        <v>0</v>
      </c>
      <c r="BN24" s="26">
        <v>0</v>
      </c>
      <c r="BO24" s="26">
        <v>0</v>
      </c>
      <c r="BP24" s="26">
        <v>1200000</v>
      </c>
      <c r="BQ24" s="26">
        <v>1200000</v>
      </c>
      <c r="BR24" s="26">
        <v>1200000</v>
      </c>
      <c r="BS24" s="26">
        <v>1200000</v>
      </c>
      <c r="BT24" s="26">
        <v>1200000</v>
      </c>
      <c r="BU24" s="26">
        <v>1200000</v>
      </c>
      <c r="BV24" s="26">
        <v>1200000</v>
      </c>
      <c r="BW24" s="26">
        <v>1200000</v>
      </c>
      <c r="BX24" s="26">
        <v>1200000</v>
      </c>
      <c r="BY24" s="26">
        <v>1200000</v>
      </c>
      <c r="BZ24" s="26">
        <v>1200000</v>
      </c>
      <c r="CA24" s="26">
        <v>1200000</v>
      </c>
      <c r="CB24" s="26">
        <v>3500000</v>
      </c>
      <c r="CC24" s="26">
        <v>3500000</v>
      </c>
      <c r="CD24" s="26">
        <v>3500000</v>
      </c>
      <c r="CE24" s="26">
        <v>3500000</v>
      </c>
      <c r="CF24" s="26">
        <v>3500000</v>
      </c>
      <c r="CG24" s="26">
        <v>3500000</v>
      </c>
      <c r="CH24" s="26">
        <v>3500000</v>
      </c>
      <c r="CI24" s="26">
        <v>3500000</v>
      </c>
      <c r="CJ24" s="26">
        <v>3500000</v>
      </c>
      <c r="CK24" s="26">
        <v>3500000</v>
      </c>
      <c r="CL24" s="26">
        <v>3500000</v>
      </c>
      <c r="CM24" s="26">
        <v>3500000</v>
      </c>
      <c r="CN24" s="26">
        <v>5007600</v>
      </c>
      <c r="CO24" s="26">
        <v>21</v>
      </c>
      <c r="CP24" s="26">
        <v>5007600</v>
      </c>
      <c r="CQ24" s="26">
        <v>730000</v>
      </c>
      <c r="CR24" s="26">
        <v>500000</v>
      </c>
      <c r="CS24" s="26">
        <v>1200000</v>
      </c>
      <c r="CT24" s="26">
        <v>3500000</v>
      </c>
      <c r="CU24" s="26">
        <v>5930000</v>
      </c>
    </row>
    <row r="25" spans="1:99" x14ac:dyDescent="0.3">
      <c r="A25" s="26">
        <v>2</v>
      </c>
      <c r="B25" s="27" t="s">
        <v>14</v>
      </c>
      <c r="C25" s="27" t="s">
        <v>15</v>
      </c>
      <c r="D25" s="27" t="s">
        <v>16</v>
      </c>
      <c r="E25" s="27" t="s">
        <v>17</v>
      </c>
      <c r="F25" s="26">
        <v>8130701561</v>
      </c>
      <c r="G25" s="27" t="s">
        <v>18</v>
      </c>
      <c r="H25" s="26">
        <v>5007600</v>
      </c>
      <c r="I25" s="26">
        <v>5007600</v>
      </c>
      <c r="J25" s="26">
        <v>5007600</v>
      </c>
      <c r="K25" s="26">
        <v>5007600</v>
      </c>
      <c r="L25" s="26">
        <v>5007600</v>
      </c>
      <c r="M25" s="26">
        <v>5007600</v>
      </c>
      <c r="N25" s="26">
        <v>5007600</v>
      </c>
      <c r="O25" s="26">
        <v>5007600</v>
      </c>
      <c r="P25" s="26">
        <v>5007600</v>
      </c>
      <c r="Q25" s="26">
        <v>5007600</v>
      </c>
      <c r="R25" s="26">
        <v>5007600</v>
      </c>
      <c r="S25" s="26">
        <v>5007600</v>
      </c>
      <c r="T25" s="26">
        <v>5007600</v>
      </c>
      <c r="U25" s="26">
        <v>5007600</v>
      </c>
      <c r="V25" s="26">
        <v>5007600</v>
      </c>
      <c r="W25" s="26">
        <v>5007600</v>
      </c>
      <c r="X25" s="26">
        <v>5007600</v>
      </c>
      <c r="Y25" s="26">
        <v>5007600</v>
      </c>
      <c r="Z25" s="26">
        <v>5007600</v>
      </c>
      <c r="AA25" s="26">
        <v>5007600</v>
      </c>
      <c r="AB25" s="26">
        <v>5007600</v>
      </c>
      <c r="AC25" s="26">
        <v>5007600</v>
      </c>
      <c r="AD25" s="26">
        <v>5007600</v>
      </c>
      <c r="AE25" s="26">
        <v>5007600</v>
      </c>
      <c r="AF25" s="26">
        <v>730000</v>
      </c>
      <c r="AG25" s="26">
        <v>730000</v>
      </c>
      <c r="AH25" s="26">
        <v>730000</v>
      </c>
      <c r="AI25" s="26">
        <v>730000</v>
      </c>
      <c r="AJ25" s="26">
        <v>730000</v>
      </c>
      <c r="AK25" s="26">
        <v>730000</v>
      </c>
      <c r="AL25" s="26">
        <v>730000</v>
      </c>
      <c r="AM25" s="26">
        <v>730000</v>
      </c>
      <c r="AN25" s="26">
        <v>730000</v>
      </c>
      <c r="AO25" s="26">
        <v>730000</v>
      </c>
      <c r="AP25" s="26">
        <v>730000</v>
      </c>
      <c r="AQ25" s="26">
        <v>730000</v>
      </c>
      <c r="AR25" s="26">
        <v>500000</v>
      </c>
      <c r="AS25" s="26">
        <v>500000</v>
      </c>
      <c r="AT25" s="26">
        <v>500000</v>
      </c>
      <c r="AU25" s="26">
        <v>500000</v>
      </c>
      <c r="AV25" s="26">
        <v>500000</v>
      </c>
      <c r="AW25" s="26">
        <v>500000</v>
      </c>
      <c r="AX25" s="26">
        <v>500000</v>
      </c>
      <c r="AY25" s="26">
        <v>500000</v>
      </c>
      <c r="AZ25" s="26">
        <v>500000</v>
      </c>
      <c r="BA25" s="26">
        <v>500000</v>
      </c>
      <c r="BB25" s="26">
        <v>500000</v>
      </c>
      <c r="BC25" s="26">
        <v>500000</v>
      </c>
      <c r="BD25" s="26">
        <v>0</v>
      </c>
      <c r="BE25" s="26">
        <v>0</v>
      </c>
      <c r="BF25" s="26">
        <v>0</v>
      </c>
      <c r="BG25" s="26">
        <v>0</v>
      </c>
      <c r="BH25" s="26">
        <v>0</v>
      </c>
      <c r="BI25" s="26">
        <v>0</v>
      </c>
      <c r="BJ25" s="26">
        <v>0</v>
      </c>
      <c r="BK25" s="26">
        <v>0</v>
      </c>
      <c r="BL25" s="26">
        <v>0</v>
      </c>
      <c r="BM25" s="26">
        <v>0</v>
      </c>
      <c r="BN25" s="26">
        <v>0</v>
      </c>
      <c r="BO25" s="26">
        <v>0</v>
      </c>
      <c r="BP25" s="26">
        <v>1200000</v>
      </c>
      <c r="BQ25" s="26">
        <v>1200000</v>
      </c>
      <c r="BR25" s="26">
        <v>1200000</v>
      </c>
      <c r="BS25" s="26">
        <v>1200000</v>
      </c>
      <c r="BT25" s="26">
        <v>1200000</v>
      </c>
      <c r="BU25" s="26">
        <v>1200000</v>
      </c>
      <c r="BV25" s="26">
        <v>1200000</v>
      </c>
      <c r="BW25" s="26">
        <v>1200000</v>
      </c>
      <c r="BX25" s="26">
        <v>1200000</v>
      </c>
      <c r="BY25" s="26">
        <v>1200000</v>
      </c>
      <c r="BZ25" s="26">
        <v>1200000</v>
      </c>
      <c r="CA25" s="26">
        <v>1200000</v>
      </c>
      <c r="CB25" s="26">
        <v>3500000</v>
      </c>
      <c r="CC25" s="26">
        <v>3500000</v>
      </c>
      <c r="CD25" s="26">
        <v>3500000</v>
      </c>
      <c r="CE25" s="26">
        <v>3500000</v>
      </c>
      <c r="CF25" s="26">
        <v>3500000</v>
      </c>
      <c r="CG25" s="26">
        <v>3500000</v>
      </c>
      <c r="CH25" s="26">
        <v>3500000</v>
      </c>
      <c r="CI25" s="26">
        <v>3500000</v>
      </c>
      <c r="CJ25" s="26">
        <v>3500000</v>
      </c>
      <c r="CK25" s="26">
        <v>3500000</v>
      </c>
      <c r="CL25" s="26">
        <v>3500000</v>
      </c>
      <c r="CM25" s="26">
        <v>3500000</v>
      </c>
      <c r="CN25" s="26">
        <v>5007600</v>
      </c>
      <c r="CO25" s="26">
        <v>22</v>
      </c>
      <c r="CP25" s="26">
        <v>5007600</v>
      </c>
      <c r="CQ25" s="26">
        <v>730000</v>
      </c>
      <c r="CR25" s="26">
        <v>500000</v>
      </c>
      <c r="CS25" s="26">
        <v>1200000</v>
      </c>
      <c r="CT25" s="26">
        <v>3500000</v>
      </c>
      <c r="CU25" s="26">
        <v>5930000</v>
      </c>
    </row>
    <row r="26" spans="1:99" x14ac:dyDescent="0.3">
      <c r="A26" s="26">
        <v>3</v>
      </c>
      <c r="B26" s="27" t="s">
        <v>19</v>
      </c>
      <c r="C26" s="27" t="s">
        <v>20</v>
      </c>
      <c r="D26" s="27" t="s">
        <v>21</v>
      </c>
      <c r="E26" s="27" t="s">
        <v>22</v>
      </c>
      <c r="F26" s="26">
        <v>8083172501</v>
      </c>
      <c r="G26" s="27" t="s">
        <v>23</v>
      </c>
      <c r="H26" s="26">
        <v>5007600</v>
      </c>
      <c r="I26" s="26">
        <v>5007600</v>
      </c>
      <c r="J26" s="26">
        <v>5007600</v>
      </c>
      <c r="K26" s="26">
        <v>5007600</v>
      </c>
      <c r="L26" s="26">
        <v>5007600</v>
      </c>
      <c r="M26" s="26">
        <v>5007600</v>
      </c>
      <c r="N26" s="26">
        <v>5007600</v>
      </c>
      <c r="O26" s="26">
        <v>5007600</v>
      </c>
      <c r="P26" s="26">
        <v>5007600</v>
      </c>
      <c r="Q26" s="26">
        <v>5007600</v>
      </c>
      <c r="R26" s="26">
        <v>5007600</v>
      </c>
      <c r="S26" s="26">
        <v>5007600</v>
      </c>
      <c r="T26" s="26">
        <v>5007600</v>
      </c>
      <c r="U26" s="26">
        <v>5007600</v>
      </c>
      <c r="V26" s="26">
        <v>5007600</v>
      </c>
      <c r="W26" s="26">
        <v>5007600</v>
      </c>
      <c r="X26" s="26">
        <v>5007600</v>
      </c>
      <c r="Y26" s="26">
        <v>5007600</v>
      </c>
      <c r="Z26" s="26">
        <v>5007600</v>
      </c>
      <c r="AA26" s="26">
        <v>5007600</v>
      </c>
      <c r="AB26" s="26">
        <v>5007600</v>
      </c>
      <c r="AC26" s="26">
        <v>5007600</v>
      </c>
      <c r="AD26" s="26">
        <v>5007600</v>
      </c>
      <c r="AE26" s="26">
        <v>5007600</v>
      </c>
      <c r="AF26" s="26">
        <v>730000</v>
      </c>
      <c r="AG26" s="26">
        <v>730000</v>
      </c>
      <c r="AH26" s="26">
        <v>730000</v>
      </c>
      <c r="AI26" s="26">
        <v>730000</v>
      </c>
      <c r="AJ26" s="26">
        <v>730000</v>
      </c>
      <c r="AK26" s="26">
        <v>730000</v>
      </c>
      <c r="AL26" s="26">
        <v>730000</v>
      </c>
      <c r="AM26" s="26">
        <v>730000</v>
      </c>
      <c r="AN26" s="26">
        <v>730000</v>
      </c>
      <c r="AO26" s="26">
        <v>730000</v>
      </c>
      <c r="AP26" s="26">
        <v>730000</v>
      </c>
      <c r="AQ26" s="26">
        <v>730000</v>
      </c>
      <c r="AR26" s="26">
        <v>500000</v>
      </c>
      <c r="AS26" s="26">
        <v>500000</v>
      </c>
      <c r="AT26" s="26">
        <v>500000</v>
      </c>
      <c r="AU26" s="26">
        <v>500000</v>
      </c>
      <c r="AV26" s="26">
        <v>500000</v>
      </c>
      <c r="AW26" s="26">
        <v>500000</v>
      </c>
      <c r="AX26" s="26">
        <v>500000</v>
      </c>
      <c r="AY26" s="26">
        <v>500000</v>
      </c>
      <c r="AZ26" s="26">
        <v>500000</v>
      </c>
      <c r="BA26" s="26">
        <v>500000</v>
      </c>
      <c r="BB26" s="26">
        <v>500000</v>
      </c>
      <c r="BC26" s="26">
        <v>500000</v>
      </c>
      <c r="BD26" s="26">
        <v>0</v>
      </c>
      <c r="BE26" s="26">
        <v>0</v>
      </c>
      <c r="BF26" s="26">
        <v>0</v>
      </c>
      <c r="BG26" s="26">
        <v>0</v>
      </c>
      <c r="BH26" s="26">
        <v>0</v>
      </c>
      <c r="BI26" s="26">
        <v>0</v>
      </c>
      <c r="BJ26" s="26">
        <v>0</v>
      </c>
      <c r="BK26" s="26">
        <v>0</v>
      </c>
      <c r="BL26" s="26">
        <v>0</v>
      </c>
      <c r="BM26" s="26">
        <v>0</v>
      </c>
      <c r="BN26" s="26">
        <v>0</v>
      </c>
      <c r="BO26" s="26">
        <v>0</v>
      </c>
      <c r="BP26" s="26">
        <v>1200000</v>
      </c>
      <c r="BQ26" s="26">
        <v>1200000</v>
      </c>
      <c r="BR26" s="26">
        <v>1200000</v>
      </c>
      <c r="BS26" s="26">
        <v>1200000</v>
      </c>
      <c r="BT26" s="26">
        <v>1200000</v>
      </c>
      <c r="BU26" s="26">
        <v>1200000</v>
      </c>
      <c r="BV26" s="26">
        <v>1200000</v>
      </c>
      <c r="BW26" s="26">
        <v>1200000</v>
      </c>
      <c r="BX26" s="26">
        <v>1200000</v>
      </c>
      <c r="BY26" s="26">
        <v>1200000</v>
      </c>
      <c r="BZ26" s="26">
        <v>1200000</v>
      </c>
      <c r="CA26" s="26">
        <v>1200000</v>
      </c>
      <c r="CB26" s="26">
        <v>3500000</v>
      </c>
      <c r="CC26" s="26">
        <v>3500000</v>
      </c>
      <c r="CD26" s="26">
        <v>3500000</v>
      </c>
      <c r="CE26" s="26">
        <v>3500000</v>
      </c>
      <c r="CF26" s="26">
        <v>3500000</v>
      </c>
      <c r="CG26" s="26">
        <v>3500000</v>
      </c>
      <c r="CH26" s="26">
        <v>3500000</v>
      </c>
      <c r="CI26" s="26">
        <v>3500000</v>
      </c>
      <c r="CJ26" s="26">
        <v>3500000</v>
      </c>
      <c r="CK26" s="26">
        <v>3500000</v>
      </c>
      <c r="CL26" s="26">
        <v>3500000</v>
      </c>
      <c r="CM26" s="26">
        <v>3500000</v>
      </c>
      <c r="CN26" s="26">
        <v>5007600</v>
      </c>
      <c r="CO26" s="26">
        <v>21</v>
      </c>
      <c r="CP26" s="26">
        <v>5007600</v>
      </c>
      <c r="CQ26" s="26">
        <v>730000</v>
      </c>
      <c r="CR26" s="26">
        <v>500000</v>
      </c>
      <c r="CS26" s="26">
        <v>1200000</v>
      </c>
      <c r="CT26" s="26">
        <v>3500000</v>
      </c>
      <c r="CU26" s="26">
        <v>5930000</v>
      </c>
    </row>
    <row r="27" spans="1:99" x14ac:dyDescent="0.3">
      <c r="A27" s="26">
        <v>3</v>
      </c>
      <c r="B27" s="27" t="s">
        <v>19</v>
      </c>
      <c r="C27" s="27" t="s">
        <v>20</v>
      </c>
      <c r="D27" s="27" t="s">
        <v>21</v>
      </c>
      <c r="E27" s="27" t="s">
        <v>22</v>
      </c>
      <c r="F27" s="26">
        <v>8083172501</v>
      </c>
      <c r="G27" s="27" t="s">
        <v>23</v>
      </c>
      <c r="H27" s="26">
        <v>5007600</v>
      </c>
      <c r="I27" s="26">
        <v>5007600</v>
      </c>
      <c r="J27" s="26">
        <v>5007600</v>
      </c>
      <c r="K27" s="26">
        <v>5007600</v>
      </c>
      <c r="L27" s="26">
        <v>5007600</v>
      </c>
      <c r="M27" s="26">
        <v>5007600</v>
      </c>
      <c r="N27" s="26">
        <v>5007600</v>
      </c>
      <c r="O27" s="26">
        <v>5007600</v>
      </c>
      <c r="P27" s="26">
        <v>5007600</v>
      </c>
      <c r="Q27" s="26">
        <v>5007600</v>
      </c>
      <c r="R27" s="26">
        <v>5007600</v>
      </c>
      <c r="S27" s="26">
        <v>5007600</v>
      </c>
      <c r="T27" s="26">
        <v>5007600</v>
      </c>
      <c r="U27" s="26">
        <v>5007600</v>
      </c>
      <c r="V27" s="26">
        <v>5007600</v>
      </c>
      <c r="W27" s="26">
        <v>5007600</v>
      </c>
      <c r="X27" s="26">
        <v>5007600</v>
      </c>
      <c r="Y27" s="26">
        <v>5007600</v>
      </c>
      <c r="Z27" s="26">
        <v>5007600</v>
      </c>
      <c r="AA27" s="26">
        <v>5007600</v>
      </c>
      <c r="AB27" s="26">
        <v>5007600</v>
      </c>
      <c r="AC27" s="26">
        <v>5007600</v>
      </c>
      <c r="AD27" s="26">
        <v>5007600</v>
      </c>
      <c r="AE27" s="26">
        <v>5007600</v>
      </c>
      <c r="AF27" s="26">
        <v>730000</v>
      </c>
      <c r="AG27" s="26">
        <v>730000</v>
      </c>
      <c r="AH27" s="26">
        <v>730000</v>
      </c>
      <c r="AI27" s="26">
        <v>730000</v>
      </c>
      <c r="AJ27" s="26">
        <v>730000</v>
      </c>
      <c r="AK27" s="26">
        <v>730000</v>
      </c>
      <c r="AL27" s="26">
        <v>730000</v>
      </c>
      <c r="AM27" s="26">
        <v>730000</v>
      </c>
      <c r="AN27" s="26">
        <v>730000</v>
      </c>
      <c r="AO27" s="26">
        <v>730000</v>
      </c>
      <c r="AP27" s="26">
        <v>730000</v>
      </c>
      <c r="AQ27" s="26">
        <v>730000</v>
      </c>
      <c r="AR27" s="26">
        <v>500000</v>
      </c>
      <c r="AS27" s="26">
        <v>500000</v>
      </c>
      <c r="AT27" s="26">
        <v>500000</v>
      </c>
      <c r="AU27" s="26">
        <v>500000</v>
      </c>
      <c r="AV27" s="26">
        <v>500000</v>
      </c>
      <c r="AW27" s="26">
        <v>500000</v>
      </c>
      <c r="AX27" s="26">
        <v>500000</v>
      </c>
      <c r="AY27" s="26">
        <v>500000</v>
      </c>
      <c r="AZ27" s="26">
        <v>500000</v>
      </c>
      <c r="BA27" s="26">
        <v>500000</v>
      </c>
      <c r="BB27" s="26">
        <v>500000</v>
      </c>
      <c r="BC27" s="26">
        <v>500000</v>
      </c>
      <c r="BD27" s="26">
        <v>0</v>
      </c>
      <c r="BE27" s="26">
        <v>0</v>
      </c>
      <c r="BF27" s="26">
        <v>0</v>
      </c>
      <c r="BG27" s="26">
        <v>0</v>
      </c>
      <c r="BH27" s="26">
        <v>0</v>
      </c>
      <c r="BI27" s="26">
        <v>0</v>
      </c>
      <c r="BJ27" s="26">
        <v>0</v>
      </c>
      <c r="BK27" s="26">
        <v>0</v>
      </c>
      <c r="BL27" s="26">
        <v>0</v>
      </c>
      <c r="BM27" s="26">
        <v>0</v>
      </c>
      <c r="BN27" s="26">
        <v>0</v>
      </c>
      <c r="BO27" s="26">
        <v>0</v>
      </c>
      <c r="BP27" s="26">
        <v>1200000</v>
      </c>
      <c r="BQ27" s="26">
        <v>1200000</v>
      </c>
      <c r="BR27" s="26">
        <v>1200000</v>
      </c>
      <c r="BS27" s="26">
        <v>1200000</v>
      </c>
      <c r="BT27" s="26">
        <v>1200000</v>
      </c>
      <c r="BU27" s="26">
        <v>1200000</v>
      </c>
      <c r="BV27" s="26">
        <v>1200000</v>
      </c>
      <c r="BW27" s="26">
        <v>1200000</v>
      </c>
      <c r="BX27" s="26">
        <v>1200000</v>
      </c>
      <c r="BY27" s="26">
        <v>1200000</v>
      </c>
      <c r="BZ27" s="26">
        <v>1200000</v>
      </c>
      <c r="CA27" s="26">
        <v>1200000</v>
      </c>
      <c r="CB27" s="26">
        <v>3500000</v>
      </c>
      <c r="CC27" s="26">
        <v>3500000</v>
      </c>
      <c r="CD27" s="26">
        <v>3500000</v>
      </c>
      <c r="CE27" s="26">
        <v>3500000</v>
      </c>
      <c r="CF27" s="26">
        <v>3500000</v>
      </c>
      <c r="CG27" s="26">
        <v>3500000</v>
      </c>
      <c r="CH27" s="26">
        <v>3500000</v>
      </c>
      <c r="CI27" s="26">
        <v>3500000</v>
      </c>
      <c r="CJ27" s="26">
        <v>3500000</v>
      </c>
      <c r="CK27" s="26">
        <v>3500000</v>
      </c>
      <c r="CL27" s="26">
        <v>3500000</v>
      </c>
      <c r="CM27" s="26">
        <v>3500000</v>
      </c>
      <c r="CN27" s="26">
        <v>5007600</v>
      </c>
      <c r="CO27" s="26">
        <v>20</v>
      </c>
      <c r="CP27" s="26">
        <v>5007600</v>
      </c>
      <c r="CQ27" s="26">
        <v>730000</v>
      </c>
      <c r="CR27" s="26">
        <v>500000</v>
      </c>
      <c r="CS27" s="26">
        <v>1200000</v>
      </c>
      <c r="CT27" s="26">
        <v>3500000</v>
      </c>
      <c r="CU27" s="26">
        <v>5930000</v>
      </c>
    </row>
    <row r="28" spans="1:99" x14ac:dyDescent="0.3">
      <c r="A28" s="26">
        <v>3</v>
      </c>
      <c r="B28" s="27" t="s">
        <v>19</v>
      </c>
      <c r="C28" s="27" t="s">
        <v>20</v>
      </c>
      <c r="D28" s="27" t="s">
        <v>21</v>
      </c>
      <c r="E28" s="27" t="s">
        <v>22</v>
      </c>
      <c r="F28" s="26">
        <v>8083172501</v>
      </c>
      <c r="G28" s="27" t="s">
        <v>23</v>
      </c>
      <c r="H28" s="26">
        <v>5007600</v>
      </c>
      <c r="I28" s="26">
        <v>5007600</v>
      </c>
      <c r="J28" s="26">
        <v>5007600</v>
      </c>
      <c r="K28" s="26">
        <v>5007600</v>
      </c>
      <c r="L28" s="26">
        <v>5007600</v>
      </c>
      <c r="M28" s="26">
        <v>5007600</v>
      </c>
      <c r="N28" s="26">
        <v>5007600</v>
      </c>
      <c r="O28" s="26">
        <v>5007600</v>
      </c>
      <c r="P28" s="26">
        <v>5007600</v>
      </c>
      <c r="Q28" s="26">
        <v>5007600</v>
      </c>
      <c r="R28" s="26">
        <v>5007600</v>
      </c>
      <c r="S28" s="26">
        <v>5007600</v>
      </c>
      <c r="T28" s="26">
        <v>5007600</v>
      </c>
      <c r="U28" s="26">
        <v>5007600</v>
      </c>
      <c r="V28" s="26">
        <v>5007600</v>
      </c>
      <c r="W28" s="26">
        <v>5007600</v>
      </c>
      <c r="X28" s="26">
        <v>5007600</v>
      </c>
      <c r="Y28" s="26">
        <v>5007600</v>
      </c>
      <c r="Z28" s="26">
        <v>5007600</v>
      </c>
      <c r="AA28" s="26">
        <v>5007600</v>
      </c>
      <c r="AB28" s="26">
        <v>5007600</v>
      </c>
      <c r="AC28" s="26">
        <v>5007600</v>
      </c>
      <c r="AD28" s="26">
        <v>5007600</v>
      </c>
      <c r="AE28" s="26">
        <v>5007600</v>
      </c>
      <c r="AF28" s="26">
        <v>730000</v>
      </c>
      <c r="AG28" s="26">
        <v>730000</v>
      </c>
      <c r="AH28" s="26">
        <v>730000</v>
      </c>
      <c r="AI28" s="26">
        <v>730000</v>
      </c>
      <c r="AJ28" s="26">
        <v>730000</v>
      </c>
      <c r="AK28" s="26">
        <v>730000</v>
      </c>
      <c r="AL28" s="26">
        <v>730000</v>
      </c>
      <c r="AM28" s="26">
        <v>730000</v>
      </c>
      <c r="AN28" s="26">
        <v>730000</v>
      </c>
      <c r="AO28" s="26">
        <v>730000</v>
      </c>
      <c r="AP28" s="26">
        <v>730000</v>
      </c>
      <c r="AQ28" s="26">
        <v>730000</v>
      </c>
      <c r="AR28" s="26">
        <v>500000</v>
      </c>
      <c r="AS28" s="26">
        <v>500000</v>
      </c>
      <c r="AT28" s="26">
        <v>500000</v>
      </c>
      <c r="AU28" s="26">
        <v>500000</v>
      </c>
      <c r="AV28" s="26">
        <v>500000</v>
      </c>
      <c r="AW28" s="26">
        <v>500000</v>
      </c>
      <c r="AX28" s="26">
        <v>500000</v>
      </c>
      <c r="AY28" s="26">
        <v>500000</v>
      </c>
      <c r="AZ28" s="26">
        <v>500000</v>
      </c>
      <c r="BA28" s="26">
        <v>500000</v>
      </c>
      <c r="BB28" s="26">
        <v>500000</v>
      </c>
      <c r="BC28" s="26">
        <v>500000</v>
      </c>
      <c r="BD28" s="26">
        <v>0</v>
      </c>
      <c r="BE28" s="26">
        <v>0</v>
      </c>
      <c r="BF28" s="26">
        <v>0</v>
      </c>
      <c r="BG28" s="26">
        <v>0</v>
      </c>
      <c r="BH28" s="26">
        <v>0</v>
      </c>
      <c r="BI28" s="26">
        <v>0</v>
      </c>
      <c r="BJ28" s="26">
        <v>0</v>
      </c>
      <c r="BK28" s="26">
        <v>0</v>
      </c>
      <c r="BL28" s="26">
        <v>0</v>
      </c>
      <c r="BM28" s="26">
        <v>0</v>
      </c>
      <c r="BN28" s="26">
        <v>0</v>
      </c>
      <c r="BO28" s="26">
        <v>0</v>
      </c>
      <c r="BP28" s="26">
        <v>1200000</v>
      </c>
      <c r="BQ28" s="26">
        <v>1200000</v>
      </c>
      <c r="BR28" s="26">
        <v>1200000</v>
      </c>
      <c r="BS28" s="26">
        <v>1200000</v>
      </c>
      <c r="BT28" s="26">
        <v>1200000</v>
      </c>
      <c r="BU28" s="26">
        <v>1200000</v>
      </c>
      <c r="BV28" s="26">
        <v>1200000</v>
      </c>
      <c r="BW28" s="26">
        <v>1200000</v>
      </c>
      <c r="BX28" s="26">
        <v>1200000</v>
      </c>
      <c r="BY28" s="26">
        <v>1200000</v>
      </c>
      <c r="BZ28" s="26">
        <v>1200000</v>
      </c>
      <c r="CA28" s="26">
        <v>1200000</v>
      </c>
      <c r="CB28" s="26">
        <v>3500000</v>
      </c>
      <c r="CC28" s="26">
        <v>3500000</v>
      </c>
      <c r="CD28" s="26">
        <v>3500000</v>
      </c>
      <c r="CE28" s="26">
        <v>3500000</v>
      </c>
      <c r="CF28" s="26">
        <v>3500000</v>
      </c>
      <c r="CG28" s="26">
        <v>3500000</v>
      </c>
      <c r="CH28" s="26">
        <v>3500000</v>
      </c>
      <c r="CI28" s="26">
        <v>3500000</v>
      </c>
      <c r="CJ28" s="26">
        <v>3500000</v>
      </c>
      <c r="CK28" s="26">
        <v>3500000</v>
      </c>
      <c r="CL28" s="26">
        <v>3500000</v>
      </c>
      <c r="CM28" s="26">
        <v>3500000</v>
      </c>
      <c r="CN28" s="26">
        <v>5007600</v>
      </c>
      <c r="CO28" s="26">
        <v>20</v>
      </c>
      <c r="CP28" s="26">
        <v>5007600</v>
      </c>
      <c r="CQ28" s="26">
        <v>730000</v>
      </c>
      <c r="CR28" s="26">
        <v>500000</v>
      </c>
      <c r="CS28" s="26">
        <v>1200000</v>
      </c>
      <c r="CT28" s="26">
        <v>3500000</v>
      </c>
      <c r="CU28" s="26">
        <v>5930000</v>
      </c>
    </row>
    <row r="29" spans="1:99" x14ac:dyDescent="0.3">
      <c r="A29" s="26">
        <v>3</v>
      </c>
      <c r="B29" s="27" t="s">
        <v>19</v>
      </c>
      <c r="C29" s="27" t="s">
        <v>20</v>
      </c>
      <c r="D29" s="27" t="s">
        <v>21</v>
      </c>
      <c r="E29" s="27" t="s">
        <v>22</v>
      </c>
      <c r="F29" s="26">
        <v>8083172501</v>
      </c>
      <c r="G29" s="27" t="s">
        <v>23</v>
      </c>
      <c r="H29" s="26">
        <v>5007600</v>
      </c>
      <c r="I29" s="26">
        <v>5007600</v>
      </c>
      <c r="J29" s="26">
        <v>5007600</v>
      </c>
      <c r="K29" s="26">
        <v>5007600</v>
      </c>
      <c r="L29" s="26">
        <v>5007600</v>
      </c>
      <c r="M29" s="26">
        <v>5007600</v>
      </c>
      <c r="N29" s="26">
        <v>5007600</v>
      </c>
      <c r="O29" s="26">
        <v>5007600</v>
      </c>
      <c r="P29" s="26">
        <v>5007600</v>
      </c>
      <c r="Q29" s="26">
        <v>5007600</v>
      </c>
      <c r="R29" s="26">
        <v>5007600</v>
      </c>
      <c r="S29" s="26">
        <v>5007600</v>
      </c>
      <c r="T29" s="26">
        <v>5007600</v>
      </c>
      <c r="U29" s="26">
        <v>5007600</v>
      </c>
      <c r="V29" s="26">
        <v>5007600</v>
      </c>
      <c r="W29" s="26">
        <v>5007600</v>
      </c>
      <c r="X29" s="26">
        <v>5007600</v>
      </c>
      <c r="Y29" s="26">
        <v>5007600</v>
      </c>
      <c r="Z29" s="26">
        <v>5007600</v>
      </c>
      <c r="AA29" s="26">
        <v>5007600</v>
      </c>
      <c r="AB29" s="26">
        <v>5007600</v>
      </c>
      <c r="AC29" s="26">
        <v>5007600</v>
      </c>
      <c r="AD29" s="26">
        <v>5007600</v>
      </c>
      <c r="AE29" s="26">
        <v>5007600</v>
      </c>
      <c r="AF29" s="26">
        <v>730000</v>
      </c>
      <c r="AG29" s="26">
        <v>730000</v>
      </c>
      <c r="AH29" s="26">
        <v>730000</v>
      </c>
      <c r="AI29" s="26">
        <v>730000</v>
      </c>
      <c r="AJ29" s="26">
        <v>730000</v>
      </c>
      <c r="AK29" s="26">
        <v>730000</v>
      </c>
      <c r="AL29" s="26">
        <v>730000</v>
      </c>
      <c r="AM29" s="26">
        <v>730000</v>
      </c>
      <c r="AN29" s="26">
        <v>730000</v>
      </c>
      <c r="AO29" s="26">
        <v>730000</v>
      </c>
      <c r="AP29" s="26">
        <v>730000</v>
      </c>
      <c r="AQ29" s="26">
        <v>730000</v>
      </c>
      <c r="AR29" s="26">
        <v>500000</v>
      </c>
      <c r="AS29" s="26">
        <v>500000</v>
      </c>
      <c r="AT29" s="26">
        <v>500000</v>
      </c>
      <c r="AU29" s="26">
        <v>500000</v>
      </c>
      <c r="AV29" s="26">
        <v>500000</v>
      </c>
      <c r="AW29" s="26">
        <v>500000</v>
      </c>
      <c r="AX29" s="26">
        <v>500000</v>
      </c>
      <c r="AY29" s="26">
        <v>500000</v>
      </c>
      <c r="AZ29" s="26">
        <v>500000</v>
      </c>
      <c r="BA29" s="26">
        <v>500000</v>
      </c>
      <c r="BB29" s="26">
        <v>500000</v>
      </c>
      <c r="BC29" s="26">
        <v>500000</v>
      </c>
      <c r="BD29" s="26">
        <v>0</v>
      </c>
      <c r="BE29" s="26">
        <v>0</v>
      </c>
      <c r="BF29" s="26">
        <v>0</v>
      </c>
      <c r="BG29" s="26">
        <v>0</v>
      </c>
      <c r="BH29" s="26">
        <v>0</v>
      </c>
      <c r="BI29" s="26">
        <v>0</v>
      </c>
      <c r="BJ29" s="26">
        <v>0</v>
      </c>
      <c r="BK29" s="26">
        <v>0</v>
      </c>
      <c r="BL29" s="26">
        <v>0</v>
      </c>
      <c r="BM29" s="26">
        <v>0</v>
      </c>
      <c r="BN29" s="26">
        <v>0</v>
      </c>
      <c r="BO29" s="26">
        <v>0</v>
      </c>
      <c r="BP29" s="26">
        <v>1200000</v>
      </c>
      <c r="BQ29" s="26">
        <v>1200000</v>
      </c>
      <c r="BR29" s="26">
        <v>1200000</v>
      </c>
      <c r="BS29" s="26">
        <v>1200000</v>
      </c>
      <c r="BT29" s="26">
        <v>1200000</v>
      </c>
      <c r="BU29" s="26">
        <v>1200000</v>
      </c>
      <c r="BV29" s="26">
        <v>1200000</v>
      </c>
      <c r="BW29" s="26">
        <v>1200000</v>
      </c>
      <c r="BX29" s="26">
        <v>1200000</v>
      </c>
      <c r="BY29" s="26">
        <v>1200000</v>
      </c>
      <c r="BZ29" s="26">
        <v>1200000</v>
      </c>
      <c r="CA29" s="26">
        <v>1200000</v>
      </c>
      <c r="CB29" s="26">
        <v>3500000</v>
      </c>
      <c r="CC29" s="26">
        <v>3500000</v>
      </c>
      <c r="CD29" s="26">
        <v>3500000</v>
      </c>
      <c r="CE29" s="26">
        <v>3500000</v>
      </c>
      <c r="CF29" s="26">
        <v>3500000</v>
      </c>
      <c r="CG29" s="26">
        <v>3500000</v>
      </c>
      <c r="CH29" s="26">
        <v>3500000</v>
      </c>
      <c r="CI29" s="26">
        <v>3500000</v>
      </c>
      <c r="CJ29" s="26">
        <v>3500000</v>
      </c>
      <c r="CK29" s="26">
        <v>3500000</v>
      </c>
      <c r="CL29" s="26">
        <v>3500000</v>
      </c>
      <c r="CM29" s="26">
        <v>3500000</v>
      </c>
      <c r="CN29" s="26">
        <v>5007600</v>
      </c>
      <c r="CO29" s="26">
        <v>21</v>
      </c>
      <c r="CP29" s="26">
        <v>5007600</v>
      </c>
      <c r="CQ29" s="26">
        <v>730000</v>
      </c>
      <c r="CR29" s="26">
        <v>500000</v>
      </c>
      <c r="CS29" s="26">
        <v>1200000</v>
      </c>
      <c r="CT29" s="26">
        <v>3500000</v>
      </c>
      <c r="CU29" s="26">
        <v>5930000</v>
      </c>
    </row>
    <row r="30" spans="1:99" x14ac:dyDescent="0.3">
      <c r="A30" s="26">
        <v>3</v>
      </c>
      <c r="B30" s="27" t="s">
        <v>19</v>
      </c>
      <c r="C30" s="27" t="s">
        <v>20</v>
      </c>
      <c r="D30" s="27" t="s">
        <v>21</v>
      </c>
      <c r="E30" s="27" t="s">
        <v>22</v>
      </c>
      <c r="F30" s="26">
        <v>8083172501</v>
      </c>
      <c r="G30" s="27" t="s">
        <v>23</v>
      </c>
      <c r="H30" s="26">
        <v>5007600</v>
      </c>
      <c r="I30" s="26">
        <v>5007600</v>
      </c>
      <c r="J30" s="26">
        <v>5007600</v>
      </c>
      <c r="K30" s="26">
        <v>5007600</v>
      </c>
      <c r="L30" s="26">
        <v>5007600</v>
      </c>
      <c r="M30" s="26">
        <v>5007600</v>
      </c>
      <c r="N30" s="26">
        <v>5007600</v>
      </c>
      <c r="O30" s="26">
        <v>5007600</v>
      </c>
      <c r="P30" s="26">
        <v>5007600</v>
      </c>
      <c r="Q30" s="26">
        <v>5007600</v>
      </c>
      <c r="R30" s="26">
        <v>5007600</v>
      </c>
      <c r="S30" s="26">
        <v>5007600</v>
      </c>
      <c r="T30" s="26">
        <v>5007600</v>
      </c>
      <c r="U30" s="26">
        <v>5007600</v>
      </c>
      <c r="V30" s="26">
        <v>5007600</v>
      </c>
      <c r="W30" s="26">
        <v>5007600</v>
      </c>
      <c r="X30" s="26">
        <v>5007600</v>
      </c>
      <c r="Y30" s="26">
        <v>5007600</v>
      </c>
      <c r="Z30" s="26">
        <v>5007600</v>
      </c>
      <c r="AA30" s="26">
        <v>5007600</v>
      </c>
      <c r="AB30" s="26">
        <v>5007600</v>
      </c>
      <c r="AC30" s="26">
        <v>5007600</v>
      </c>
      <c r="AD30" s="26">
        <v>5007600</v>
      </c>
      <c r="AE30" s="26">
        <v>5007600</v>
      </c>
      <c r="AF30" s="26">
        <v>730000</v>
      </c>
      <c r="AG30" s="26">
        <v>730000</v>
      </c>
      <c r="AH30" s="26">
        <v>730000</v>
      </c>
      <c r="AI30" s="26">
        <v>730000</v>
      </c>
      <c r="AJ30" s="26">
        <v>730000</v>
      </c>
      <c r="AK30" s="26">
        <v>730000</v>
      </c>
      <c r="AL30" s="26">
        <v>730000</v>
      </c>
      <c r="AM30" s="26">
        <v>730000</v>
      </c>
      <c r="AN30" s="26">
        <v>730000</v>
      </c>
      <c r="AO30" s="26">
        <v>730000</v>
      </c>
      <c r="AP30" s="26">
        <v>730000</v>
      </c>
      <c r="AQ30" s="26">
        <v>730000</v>
      </c>
      <c r="AR30" s="26">
        <v>500000</v>
      </c>
      <c r="AS30" s="26">
        <v>500000</v>
      </c>
      <c r="AT30" s="26">
        <v>500000</v>
      </c>
      <c r="AU30" s="26">
        <v>500000</v>
      </c>
      <c r="AV30" s="26">
        <v>500000</v>
      </c>
      <c r="AW30" s="26">
        <v>500000</v>
      </c>
      <c r="AX30" s="26">
        <v>500000</v>
      </c>
      <c r="AY30" s="26">
        <v>500000</v>
      </c>
      <c r="AZ30" s="26">
        <v>500000</v>
      </c>
      <c r="BA30" s="26">
        <v>500000</v>
      </c>
      <c r="BB30" s="26">
        <v>500000</v>
      </c>
      <c r="BC30" s="26">
        <v>500000</v>
      </c>
      <c r="BD30" s="26">
        <v>0</v>
      </c>
      <c r="BE30" s="26">
        <v>0</v>
      </c>
      <c r="BF30" s="26">
        <v>0</v>
      </c>
      <c r="BG30" s="26">
        <v>0</v>
      </c>
      <c r="BH30" s="26">
        <v>0</v>
      </c>
      <c r="BI30" s="26">
        <v>0</v>
      </c>
      <c r="BJ30" s="26">
        <v>0</v>
      </c>
      <c r="BK30" s="26">
        <v>0</v>
      </c>
      <c r="BL30" s="26">
        <v>0</v>
      </c>
      <c r="BM30" s="26">
        <v>0</v>
      </c>
      <c r="BN30" s="26">
        <v>0</v>
      </c>
      <c r="BO30" s="26">
        <v>0</v>
      </c>
      <c r="BP30" s="26">
        <v>1200000</v>
      </c>
      <c r="BQ30" s="26">
        <v>1200000</v>
      </c>
      <c r="BR30" s="26">
        <v>1200000</v>
      </c>
      <c r="BS30" s="26">
        <v>1200000</v>
      </c>
      <c r="BT30" s="26">
        <v>1200000</v>
      </c>
      <c r="BU30" s="26">
        <v>1200000</v>
      </c>
      <c r="BV30" s="26">
        <v>1200000</v>
      </c>
      <c r="BW30" s="26">
        <v>1200000</v>
      </c>
      <c r="BX30" s="26">
        <v>1200000</v>
      </c>
      <c r="BY30" s="26">
        <v>1200000</v>
      </c>
      <c r="BZ30" s="26">
        <v>1200000</v>
      </c>
      <c r="CA30" s="26">
        <v>1200000</v>
      </c>
      <c r="CB30" s="26">
        <v>3500000</v>
      </c>
      <c r="CC30" s="26">
        <v>3500000</v>
      </c>
      <c r="CD30" s="26">
        <v>3500000</v>
      </c>
      <c r="CE30" s="26">
        <v>3500000</v>
      </c>
      <c r="CF30" s="26">
        <v>3500000</v>
      </c>
      <c r="CG30" s="26">
        <v>3500000</v>
      </c>
      <c r="CH30" s="26">
        <v>3500000</v>
      </c>
      <c r="CI30" s="26">
        <v>3500000</v>
      </c>
      <c r="CJ30" s="26">
        <v>3500000</v>
      </c>
      <c r="CK30" s="26">
        <v>3500000</v>
      </c>
      <c r="CL30" s="26">
        <v>3500000</v>
      </c>
      <c r="CM30" s="26">
        <v>3500000</v>
      </c>
      <c r="CN30" s="26">
        <v>5007600</v>
      </c>
      <c r="CO30" s="26">
        <v>21</v>
      </c>
      <c r="CP30" s="26">
        <v>5007600</v>
      </c>
      <c r="CQ30" s="26">
        <v>730000</v>
      </c>
      <c r="CR30" s="26">
        <v>500000</v>
      </c>
      <c r="CS30" s="26">
        <v>1200000</v>
      </c>
      <c r="CT30" s="26">
        <v>3500000</v>
      </c>
      <c r="CU30" s="26">
        <v>5930000</v>
      </c>
    </row>
    <row r="31" spans="1:99" x14ac:dyDescent="0.3">
      <c r="A31" s="26">
        <v>3</v>
      </c>
      <c r="B31" s="27" t="s">
        <v>19</v>
      </c>
      <c r="C31" s="27" t="s">
        <v>20</v>
      </c>
      <c r="D31" s="27" t="s">
        <v>21</v>
      </c>
      <c r="E31" s="27" t="s">
        <v>22</v>
      </c>
      <c r="F31" s="26">
        <v>8083172501</v>
      </c>
      <c r="G31" s="27" t="s">
        <v>23</v>
      </c>
      <c r="H31" s="26">
        <v>5007600</v>
      </c>
      <c r="I31" s="26">
        <v>5007600</v>
      </c>
      <c r="J31" s="26">
        <v>5007600</v>
      </c>
      <c r="K31" s="26">
        <v>5007600</v>
      </c>
      <c r="L31" s="26">
        <v>5007600</v>
      </c>
      <c r="M31" s="26">
        <v>5007600</v>
      </c>
      <c r="N31" s="26">
        <v>5007600</v>
      </c>
      <c r="O31" s="26">
        <v>5007600</v>
      </c>
      <c r="P31" s="26">
        <v>5007600</v>
      </c>
      <c r="Q31" s="26">
        <v>5007600</v>
      </c>
      <c r="R31" s="26">
        <v>5007600</v>
      </c>
      <c r="S31" s="26">
        <v>5007600</v>
      </c>
      <c r="T31" s="26">
        <v>5007600</v>
      </c>
      <c r="U31" s="26">
        <v>5007600</v>
      </c>
      <c r="V31" s="26">
        <v>5007600</v>
      </c>
      <c r="W31" s="26">
        <v>5007600</v>
      </c>
      <c r="X31" s="26">
        <v>5007600</v>
      </c>
      <c r="Y31" s="26">
        <v>5007600</v>
      </c>
      <c r="Z31" s="26">
        <v>5007600</v>
      </c>
      <c r="AA31" s="26">
        <v>5007600</v>
      </c>
      <c r="AB31" s="26">
        <v>5007600</v>
      </c>
      <c r="AC31" s="26">
        <v>5007600</v>
      </c>
      <c r="AD31" s="26">
        <v>5007600</v>
      </c>
      <c r="AE31" s="26">
        <v>5007600</v>
      </c>
      <c r="AF31" s="26">
        <v>730000</v>
      </c>
      <c r="AG31" s="26">
        <v>730000</v>
      </c>
      <c r="AH31" s="26">
        <v>730000</v>
      </c>
      <c r="AI31" s="26">
        <v>730000</v>
      </c>
      <c r="AJ31" s="26">
        <v>730000</v>
      </c>
      <c r="AK31" s="26">
        <v>730000</v>
      </c>
      <c r="AL31" s="26">
        <v>730000</v>
      </c>
      <c r="AM31" s="26">
        <v>730000</v>
      </c>
      <c r="AN31" s="26">
        <v>730000</v>
      </c>
      <c r="AO31" s="26">
        <v>730000</v>
      </c>
      <c r="AP31" s="26">
        <v>730000</v>
      </c>
      <c r="AQ31" s="26">
        <v>730000</v>
      </c>
      <c r="AR31" s="26">
        <v>500000</v>
      </c>
      <c r="AS31" s="26">
        <v>500000</v>
      </c>
      <c r="AT31" s="26">
        <v>500000</v>
      </c>
      <c r="AU31" s="26">
        <v>500000</v>
      </c>
      <c r="AV31" s="26">
        <v>500000</v>
      </c>
      <c r="AW31" s="26">
        <v>500000</v>
      </c>
      <c r="AX31" s="26">
        <v>500000</v>
      </c>
      <c r="AY31" s="26">
        <v>500000</v>
      </c>
      <c r="AZ31" s="26">
        <v>500000</v>
      </c>
      <c r="BA31" s="26">
        <v>500000</v>
      </c>
      <c r="BB31" s="26">
        <v>500000</v>
      </c>
      <c r="BC31" s="26">
        <v>500000</v>
      </c>
      <c r="BD31" s="26">
        <v>0</v>
      </c>
      <c r="BE31" s="26">
        <v>0</v>
      </c>
      <c r="BF31" s="26">
        <v>0</v>
      </c>
      <c r="BG31" s="26">
        <v>0</v>
      </c>
      <c r="BH31" s="26">
        <v>0</v>
      </c>
      <c r="BI31" s="26">
        <v>0</v>
      </c>
      <c r="BJ31" s="26">
        <v>0</v>
      </c>
      <c r="BK31" s="26">
        <v>0</v>
      </c>
      <c r="BL31" s="26">
        <v>0</v>
      </c>
      <c r="BM31" s="26">
        <v>0</v>
      </c>
      <c r="BN31" s="26">
        <v>0</v>
      </c>
      <c r="BO31" s="26">
        <v>0</v>
      </c>
      <c r="BP31" s="26">
        <v>1200000</v>
      </c>
      <c r="BQ31" s="26">
        <v>1200000</v>
      </c>
      <c r="BR31" s="26">
        <v>1200000</v>
      </c>
      <c r="BS31" s="26">
        <v>1200000</v>
      </c>
      <c r="BT31" s="26">
        <v>1200000</v>
      </c>
      <c r="BU31" s="26">
        <v>1200000</v>
      </c>
      <c r="BV31" s="26">
        <v>1200000</v>
      </c>
      <c r="BW31" s="26">
        <v>1200000</v>
      </c>
      <c r="BX31" s="26">
        <v>1200000</v>
      </c>
      <c r="BY31" s="26">
        <v>1200000</v>
      </c>
      <c r="BZ31" s="26">
        <v>1200000</v>
      </c>
      <c r="CA31" s="26">
        <v>1200000</v>
      </c>
      <c r="CB31" s="26">
        <v>3500000</v>
      </c>
      <c r="CC31" s="26">
        <v>3500000</v>
      </c>
      <c r="CD31" s="26">
        <v>3500000</v>
      </c>
      <c r="CE31" s="26">
        <v>3500000</v>
      </c>
      <c r="CF31" s="26">
        <v>3500000</v>
      </c>
      <c r="CG31" s="26">
        <v>3500000</v>
      </c>
      <c r="CH31" s="26">
        <v>3500000</v>
      </c>
      <c r="CI31" s="26">
        <v>3500000</v>
      </c>
      <c r="CJ31" s="26">
        <v>3500000</v>
      </c>
      <c r="CK31" s="26">
        <v>3500000</v>
      </c>
      <c r="CL31" s="26">
        <v>3500000</v>
      </c>
      <c r="CM31" s="26">
        <v>3500000</v>
      </c>
      <c r="CN31" s="26">
        <v>5007600</v>
      </c>
      <c r="CO31" s="26">
        <v>23</v>
      </c>
      <c r="CP31" s="26">
        <v>5007600</v>
      </c>
      <c r="CQ31" s="26">
        <v>730000</v>
      </c>
      <c r="CR31" s="26">
        <v>500000</v>
      </c>
      <c r="CS31" s="26">
        <v>1200000</v>
      </c>
      <c r="CT31" s="26">
        <v>3500000</v>
      </c>
      <c r="CU31" s="26">
        <v>5930000</v>
      </c>
    </row>
    <row r="32" spans="1:99" x14ac:dyDescent="0.3">
      <c r="A32" s="26">
        <v>3</v>
      </c>
      <c r="B32" s="27" t="s">
        <v>19</v>
      </c>
      <c r="C32" s="27" t="s">
        <v>20</v>
      </c>
      <c r="D32" s="27" t="s">
        <v>21</v>
      </c>
      <c r="E32" s="27" t="s">
        <v>22</v>
      </c>
      <c r="F32" s="26">
        <v>8083172501</v>
      </c>
      <c r="G32" s="27" t="s">
        <v>23</v>
      </c>
      <c r="H32" s="26">
        <v>5007600</v>
      </c>
      <c r="I32" s="26">
        <v>5007600</v>
      </c>
      <c r="J32" s="26">
        <v>5007600</v>
      </c>
      <c r="K32" s="26">
        <v>5007600</v>
      </c>
      <c r="L32" s="26">
        <v>5007600</v>
      </c>
      <c r="M32" s="26">
        <v>5007600</v>
      </c>
      <c r="N32" s="26">
        <v>5007600</v>
      </c>
      <c r="O32" s="26">
        <v>5007600</v>
      </c>
      <c r="P32" s="26">
        <v>5007600</v>
      </c>
      <c r="Q32" s="26">
        <v>5007600</v>
      </c>
      <c r="R32" s="26">
        <v>5007600</v>
      </c>
      <c r="S32" s="26">
        <v>5007600</v>
      </c>
      <c r="T32" s="26">
        <v>5007600</v>
      </c>
      <c r="U32" s="26">
        <v>5007600</v>
      </c>
      <c r="V32" s="26">
        <v>5007600</v>
      </c>
      <c r="W32" s="26">
        <v>5007600</v>
      </c>
      <c r="X32" s="26">
        <v>5007600</v>
      </c>
      <c r="Y32" s="26">
        <v>5007600</v>
      </c>
      <c r="Z32" s="26">
        <v>5007600</v>
      </c>
      <c r="AA32" s="26">
        <v>5007600</v>
      </c>
      <c r="AB32" s="26">
        <v>5007600</v>
      </c>
      <c r="AC32" s="26">
        <v>5007600</v>
      </c>
      <c r="AD32" s="26">
        <v>5007600</v>
      </c>
      <c r="AE32" s="26">
        <v>5007600</v>
      </c>
      <c r="AF32" s="26">
        <v>730000</v>
      </c>
      <c r="AG32" s="26">
        <v>730000</v>
      </c>
      <c r="AH32" s="26">
        <v>730000</v>
      </c>
      <c r="AI32" s="26">
        <v>730000</v>
      </c>
      <c r="AJ32" s="26">
        <v>730000</v>
      </c>
      <c r="AK32" s="26">
        <v>730000</v>
      </c>
      <c r="AL32" s="26">
        <v>730000</v>
      </c>
      <c r="AM32" s="26">
        <v>730000</v>
      </c>
      <c r="AN32" s="26">
        <v>730000</v>
      </c>
      <c r="AO32" s="26">
        <v>730000</v>
      </c>
      <c r="AP32" s="26">
        <v>730000</v>
      </c>
      <c r="AQ32" s="26">
        <v>730000</v>
      </c>
      <c r="AR32" s="26">
        <v>500000</v>
      </c>
      <c r="AS32" s="26">
        <v>500000</v>
      </c>
      <c r="AT32" s="26">
        <v>500000</v>
      </c>
      <c r="AU32" s="26">
        <v>500000</v>
      </c>
      <c r="AV32" s="26">
        <v>500000</v>
      </c>
      <c r="AW32" s="26">
        <v>500000</v>
      </c>
      <c r="AX32" s="26">
        <v>500000</v>
      </c>
      <c r="AY32" s="26">
        <v>500000</v>
      </c>
      <c r="AZ32" s="26">
        <v>500000</v>
      </c>
      <c r="BA32" s="26">
        <v>500000</v>
      </c>
      <c r="BB32" s="26">
        <v>500000</v>
      </c>
      <c r="BC32" s="26">
        <v>500000</v>
      </c>
      <c r="BD32" s="26">
        <v>0</v>
      </c>
      <c r="BE32" s="26">
        <v>0</v>
      </c>
      <c r="BF32" s="26">
        <v>0</v>
      </c>
      <c r="BG32" s="26">
        <v>0</v>
      </c>
      <c r="BH32" s="26">
        <v>0</v>
      </c>
      <c r="BI32" s="26">
        <v>0</v>
      </c>
      <c r="BJ32" s="26">
        <v>0</v>
      </c>
      <c r="BK32" s="26">
        <v>0</v>
      </c>
      <c r="BL32" s="26">
        <v>0</v>
      </c>
      <c r="BM32" s="26">
        <v>0</v>
      </c>
      <c r="BN32" s="26">
        <v>0</v>
      </c>
      <c r="BO32" s="26">
        <v>0</v>
      </c>
      <c r="BP32" s="26">
        <v>1200000</v>
      </c>
      <c r="BQ32" s="26">
        <v>1200000</v>
      </c>
      <c r="BR32" s="26">
        <v>1200000</v>
      </c>
      <c r="BS32" s="26">
        <v>1200000</v>
      </c>
      <c r="BT32" s="26">
        <v>1200000</v>
      </c>
      <c r="BU32" s="26">
        <v>1200000</v>
      </c>
      <c r="BV32" s="26">
        <v>1200000</v>
      </c>
      <c r="BW32" s="26">
        <v>1200000</v>
      </c>
      <c r="BX32" s="26">
        <v>1200000</v>
      </c>
      <c r="BY32" s="26">
        <v>1200000</v>
      </c>
      <c r="BZ32" s="26">
        <v>1200000</v>
      </c>
      <c r="CA32" s="26">
        <v>1200000</v>
      </c>
      <c r="CB32" s="26">
        <v>3500000</v>
      </c>
      <c r="CC32" s="26">
        <v>3500000</v>
      </c>
      <c r="CD32" s="26">
        <v>3500000</v>
      </c>
      <c r="CE32" s="26">
        <v>3500000</v>
      </c>
      <c r="CF32" s="26">
        <v>3500000</v>
      </c>
      <c r="CG32" s="26">
        <v>3500000</v>
      </c>
      <c r="CH32" s="26">
        <v>3500000</v>
      </c>
      <c r="CI32" s="26">
        <v>3500000</v>
      </c>
      <c r="CJ32" s="26">
        <v>3500000</v>
      </c>
      <c r="CK32" s="26">
        <v>3500000</v>
      </c>
      <c r="CL32" s="26">
        <v>3500000</v>
      </c>
      <c r="CM32" s="26">
        <v>3500000</v>
      </c>
      <c r="CN32" s="26">
        <v>5007600</v>
      </c>
      <c r="CO32" s="26">
        <v>22</v>
      </c>
      <c r="CP32" s="26">
        <v>5007600</v>
      </c>
      <c r="CQ32" s="26">
        <v>730000</v>
      </c>
      <c r="CR32" s="26">
        <v>500000</v>
      </c>
      <c r="CS32" s="26">
        <v>1200000</v>
      </c>
      <c r="CT32" s="26">
        <v>3500000</v>
      </c>
      <c r="CU32" s="26">
        <v>5930000</v>
      </c>
    </row>
    <row r="33" spans="1:99" x14ac:dyDescent="0.3">
      <c r="A33" s="26">
        <v>3</v>
      </c>
      <c r="B33" s="27" t="s">
        <v>19</v>
      </c>
      <c r="C33" s="27" t="s">
        <v>20</v>
      </c>
      <c r="D33" s="27" t="s">
        <v>21</v>
      </c>
      <c r="E33" s="27" t="s">
        <v>22</v>
      </c>
      <c r="F33" s="26">
        <v>8083172501</v>
      </c>
      <c r="G33" s="27" t="s">
        <v>23</v>
      </c>
      <c r="H33" s="26">
        <v>5007600</v>
      </c>
      <c r="I33" s="26">
        <v>5007600</v>
      </c>
      <c r="J33" s="26">
        <v>5007600</v>
      </c>
      <c r="K33" s="26">
        <v>5007600</v>
      </c>
      <c r="L33" s="26">
        <v>5007600</v>
      </c>
      <c r="M33" s="26">
        <v>5007600</v>
      </c>
      <c r="N33" s="26">
        <v>5007600</v>
      </c>
      <c r="O33" s="26">
        <v>5007600</v>
      </c>
      <c r="P33" s="26">
        <v>5007600</v>
      </c>
      <c r="Q33" s="26">
        <v>5007600</v>
      </c>
      <c r="R33" s="26">
        <v>5007600</v>
      </c>
      <c r="S33" s="26">
        <v>5007600</v>
      </c>
      <c r="T33" s="26">
        <v>5007600</v>
      </c>
      <c r="U33" s="26">
        <v>5007600</v>
      </c>
      <c r="V33" s="26">
        <v>5007600</v>
      </c>
      <c r="W33" s="26">
        <v>5007600</v>
      </c>
      <c r="X33" s="26">
        <v>5007600</v>
      </c>
      <c r="Y33" s="26">
        <v>5007600</v>
      </c>
      <c r="Z33" s="26">
        <v>5007600</v>
      </c>
      <c r="AA33" s="26">
        <v>5007600</v>
      </c>
      <c r="AB33" s="26">
        <v>5007600</v>
      </c>
      <c r="AC33" s="26">
        <v>5007600</v>
      </c>
      <c r="AD33" s="26">
        <v>5007600</v>
      </c>
      <c r="AE33" s="26">
        <v>5007600</v>
      </c>
      <c r="AF33" s="26">
        <v>730000</v>
      </c>
      <c r="AG33" s="26">
        <v>730000</v>
      </c>
      <c r="AH33" s="26">
        <v>730000</v>
      </c>
      <c r="AI33" s="26">
        <v>730000</v>
      </c>
      <c r="AJ33" s="26">
        <v>730000</v>
      </c>
      <c r="AK33" s="26">
        <v>730000</v>
      </c>
      <c r="AL33" s="26">
        <v>730000</v>
      </c>
      <c r="AM33" s="26">
        <v>730000</v>
      </c>
      <c r="AN33" s="26">
        <v>730000</v>
      </c>
      <c r="AO33" s="26">
        <v>730000</v>
      </c>
      <c r="AP33" s="26">
        <v>730000</v>
      </c>
      <c r="AQ33" s="26">
        <v>730000</v>
      </c>
      <c r="AR33" s="26">
        <v>500000</v>
      </c>
      <c r="AS33" s="26">
        <v>500000</v>
      </c>
      <c r="AT33" s="26">
        <v>500000</v>
      </c>
      <c r="AU33" s="26">
        <v>500000</v>
      </c>
      <c r="AV33" s="26">
        <v>500000</v>
      </c>
      <c r="AW33" s="26">
        <v>500000</v>
      </c>
      <c r="AX33" s="26">
        <v>500000</v>
      </c>
      <c r="AY33" s="26">
        <v>500000</v>
      </c>
      <c r="AZ33" s="26">
        <v>500000</v>
      </c>
      <c r="BA33" s="26">
        <v>500000</v>
      </c>
      <c r="BB33" s="26">
        <v>500000</v>
      </c>
      <c r="BC33" s="26">
        <v>500000</v>
      </c>
      <c r="BD33" s="26">
        <v>0</v>
      </c>
      <c r="BE33" s="26">
        <v>0</v>
      </c>
      <c r="BF33" s="26">
        <v>0</v>
      </c>
      <c r="BG33" s="26">
        <v>0</v>
      </c>
      <c r="BH33" s="26">
        <v>0</v>
      </c>
      <c r="BI33" s="26">
        <v>0</v>
      </c>
      <c r="BJ33" s="26">
        <v>0</v>
      </c>
      <c r="BK33" s="26">
        <v>0</v>
      </c>
      <c r="BL33" s="26">
        <v>0</v>
      </c>
      <c r="BM33" s="26">
        <v>0</v>
      </c>
      <c r="BN33" s="26">
        <v>0</v>
      </c>
      <c r="BO33" s="26">
        <v>0</v>
      </c>
      <c r="BP33" s="26">
        <v>1200000</v>
      </c>
      <c r="BQ33" s="26">
        <v>1200000</v>
      </c>
      <c r="BR33" s="26">
        <v>1200000</v>
      </c>
      <c r="BS33" s="26">
        <v>1200000</v>
      </c>
      <c r="BT33" s="26">
        <v>1200000</v>
      </c>
      <c r="BU33" s="26">
        <v>1200000</v>
      </c>
      <c r="BV33" s="26">
        <v>1200000</v>
      </c>
      <c r="BW33" s="26">
        <v>1200000</v>
      </c>
      <c r="BX33" s="26">
        <v>1200000</v>
      </c>
      <c r="BY33" s="26">
        <v>1200000</v>
      </c>
      <c r="BZ33" s="26">
        <v>1200000</v>
      </c>
      <c r="CA33" s="26">
        <v>1200000</v>
      </c>
      <c r="CB33" s="26">
        <v>3500000</v>
      </c>
      <c r="CC33" s="26">
        <v>3500000</v>
      </c>
      <c r="CD33" s="26">
        <v>3500000</v>
      </c>
      <c r="CE33" s="26">
        <v>3500000</v>
      </c>
      <c r="CF33" s="26">
        <v>3500000</v>
      </c>
      <c r="CG33" s="26">
        <v>3500000</v>
      </c>
      <c r="CH33" s="26">
        <v>3500000</v>
      </c>
      <c r="CI33" s="26">
        <v>3500000</v>
      </c>
      <c r="CJ33" s="26">
        <v>3500000</v>
      </c>
      <c r="CK33" s="26">
        <v>3500000</v>
      </c>
      <c r="CL33" s="26">
        <v>3500000</v>
      </c>
      <c r="CM33" s="26">
        <v>3500000</v>
      </c>
      <c r="CN33" s="26">
        <v>5007600</v>
      </c>
      <c r="CO33" s="26">
        <v>23</v>
      </c>
      <c r="CP33" s="26">
        <v>5007600</v>
      </c>
      <c r="CQ33" s="26">
        <v>730000</v>
      </c>
      <c r="CR33" s="26">
        <v>500000</v>
      </c>
      <c r="CS33" s="26">
        <v>1200000</v>
      </c>
      <c r="CT33" s="26">
        <v>3500000</v>
      </c>
      <c r="CU33" s="26">
        <v>5930000</v>
      </c>
    </row>
    <row r="34" spans="1:99" x14ac:dyDescent="0.3">
      <c r="A34" s="26">
        <v>3</v>
      </c>
      <c r="B34" s="27" t="s">
        <v>19</v>
      </c>
      <c r="C34" s="27" t="s">
        <v>20</v>
      </c>
      <c r="D34" s="27" t="s">
        <v>21</v>
      </c>
      <c r="E34" s="27" t="s">
        <v>22</v>
      </c>
      <c r="F34" s="26">
        <v>8083172501</v>
      </c>
      <c r="G34" s="27" t="s">
        <v>23</v>
      </c>
      <c r="H34" s="26">
        <v>5007600</v>
      </c>
      <c r="I34" s="26">
        <v>5007600</v>
      </c>
      <c r="J34" s="26">
        <v>5007600</v>
      </c>
      <c r="K34" s="26">
        <v>5007600</v>
      </c>
      <c r="L34" s="26">
        <v>5007600</v>
      </c>
      <c r="M34" s="26">
        <v>5007600</v>
      </c>
      <c r="N34" s="26">
        <v>5007600</v>
      </c>
      <c r="O34" s="26">
        <v>5007600</v>
      </c>
      <c r="P34" s="26">
        <v>5007600</v>
      </c>
      <c r="Q34" s="26">
        <v>5007600</v>
      </c>
      <c r="R34" s="26">
        <v>5007600</v>
      </c>
      <c r="S34" s="26">
        <v>5007600</v>
      </c>
      <c r="T34" s="26">
        <v>5007600</v>
      </c>
      <c r="U34" s="26">
        <v>5007600</v>
      </c>
      <c r="V34" s="26">
        <v>5007600</v>
      </c>
      <c r="W34" s="26">
        <v>5007600</v>
      </c>
      <c r="X34" s="26">
        <v>5007600</v>
      </c>
      <c r="Y34" s="26">
        <v>5007600</v>
      </c>
      <c r="Z34" s="26">
        <v>5007600</v>
      </c>
      <c r="AA34" s="26">
        <v>5007600</v>
      </c>
      <c r="AB34" s="26">
        <v>5007600</v>
      </c>
      <c r="AC34" s="26">
        <v>5007600</v>
      </c>
      <c r="AD34" s="26">
        <v>5007600</v>
      </c>
      <c r="AE34" s="26">
        <v>5007600</v>
      </c>
      <c r="AF34" s="26">
        <v>730000</v>
      </c>
      <c r="AG34" s="26">
        <v>730000</v>
      </c>
      <c r="AH34" s="26">
        <v>730000</v>
      </c>
      <c r="AI34" s="26">
        <v>730000</v>
      </c>
      <c r="AJ34" s="26">
        <v>730000</v>
      </c>
      <c r="AK34" s="26">
        <v>730000</v>
      </c>
      <c r="AL34" s="26">
        <v>730000</v>
      </c>
      <c r="AM34" s="26">
        <v>730000</v>
      </c>
      <c r="AN34" s="26">
        <v>730000</v>
      </c>
      <c r="AO34" s="26">
        <v>730000</v>
      </c>
      <c r="AP34" s="26">
        <v>730000</v>
      </c>
      <c r="AQ34" s="26">
        <v>730000</v>
      </c>
      <c r="AR34" s="26">
        <v>500000</v>
      </c>
      <c r="AS34" s="26">
        <v>500000</v>
      </c>
      <c r="AT34" s="26">
        <v>500000</v>
      </c>
      <c r="AU34" s="26">
        <v>500000</v>
      </c>
      <c r="AV34" s="26">
        <v>500000</v>
      </c>
      <c r="AW34" s="26">
        <v>500000</v>
      </c>
      <c r="AX34" s="26">
        <v>500000</v>
      </c>
      <c r="AY34" s="26">
        <v>500000</v>
      </c>
      <c r="AZ34" s="26">
        <v>500000</v>
      </c>
      <c r="BA34" s="26">
        <v>500000</v>
      </c>
      <c r="BB34" s="26">
        <v>500000</v>
      </c>
      <c r="BC34" s="26">
        <v>500000</v>
      </c>
      <c r="BD34" s="26">
        <v>0</v>
      </c>
      <c r="BE34" s="26">
        <v>0</v>
      </c>
      <c r="BF34" s="26">
        <v>0</v>
      </c>
      <c r="BG34" s="26">
        <v>0</v>
      </c>
      <c r="BH34" s="26">
        <v>0</v>
      </c>
      <c r="BI34" s="26">
        <v>0</v>
      </c>
      <c r="BJ34" s="26">
        <v>0</v>
      </c>
      <c r="BK34" s="26">
        <v>0</v>
      </c>
      <c r="BL34" s="26">
        <v>0</v>
      </c>
      <c r="BM34" s="26">
        <v>0</v>
      </c>
      <c r="BN34" s="26">
        <v>0</v>
      </c>
      <c r="BO34" s="26">
        <v>0</v>
      </c>
      <c r="BP34" s="26">
        <v>1200000</v>
      </c>
      <c r="BQ34" s="26">
        <v>1200000</v>
      </c>
      <c r="BR34" s="26">
        <v>1200000</v>
      </c>
      <c r="BS34" s="26">
        <v>1200000</v>
      </c>
      <c r="BT34" s="26">
        <v>1200000</v>
      </c>
      <c r="BU34" s="26">
        <v>1200000</v>
      </c>
      <c r="BV34" s="26">
        <v>1200000</v>
      </c>
      <c r="BW34" s="26">
        <v>1200000</v>
      </c>
      <c r="BX34" s="26">
        <v>1200000</v>
      </c>
      <c r="BY34" s="26">
        <v>1200000</v>
      </c>
      <c r="BZ34" s="26">
        <v>1200000</v>
      </c>
      <c r="CA34" s="26">
        <v>1200000</v>
      </c>
      <c r="CB34" s="26">
        <v>3500000</v>
      </c>
      <c r="CC34" s="26">
        <v>3500000</v>
      </c>
      <c r="CD34" s="26">
        <v>3500000</v>
      </c>
      <c r="CE34" s="26">
        <v>3500000</v>
      </c>
      <c r="CF34" s="26">
        <v>3500000</v>
      </c>
      <c r="CG34" s="26">
        <v>3500000</v>
      </c>
      <c r="CH34" s="26">
        <v>3500000</v>
      </c>
      <c r="CI34" s="26">
        <v>3500000</v>
      </c>
      <c r="CJ34" s="26">
        <v>3500000</v>
      </c>
      <c r="CK34" s="26">
        <v>3500000</v>
      </c>
      <c r="CL34" s="26">
        <v>3500000</v>
      </c>
      <c r="CM34" s="26">
        <v>3500000</v>
      </c>
      <c r="CN34" s="26">
        <v>5007600</v>
      </c>
      <c r="CO34" s="26">
        <v>22</v>
      </c>
      <c r="CP34" s="26">
        <v>5007600</v>
      </c>
      <c r="CQ34" s="26">
        <v>730000</v>
      </c>
      <c r="CR34" s="26">
        <v>500000</v>
      </c>
      <c r="CS34" s="26">
        <v>1200000</v>
      </c>
      <c r="CT34" s="26">
        <v>3500000</v>
      </c>
      <c r="CU34" s="26">
        <v>5930000</v>
      </c>
    </row>
    <row r="35" spans="1:99" x14ac:dyDescent="0.3">
      <c r="A35" s="26">
        <v>3</v>
      </c>
      <c r="B35" s="27" t="s">
        <v>19</v>
      </c>
      <c r="C35" s="27" t="s">
        <v>20</v>
      </c>
      <c r="D35" s="27" t="s">
        <v>21</v>
      </c>
      <c r="E35" s="27" t="s">
        <v>22</v>
      </c>
      <c r="F35" s="26">
        <v>8083172501</v>
      </c>
      <c r="G35" s="27" t="s">
        <v>23</v>
      </c>
      <c r="H35" s="26">
        <v>5007600</v>
      </c>
      <c r="I35" s="26">
        <v>5007600</v>
      </c>
      <c r="J35" s="26">
        <v>5007600</v>
      </c>
      <c r="K35" s="26">
        <v>5007600</v>
      </c>
      <c r="L35" s="26">
        <v>5007600</v>
      </c>
      <c r="M35" s="26">
        <v>5007600</v>
      </c>
      <c r="N35" s="26">
        <v>5007600</v>
      </c>
      <c r="O35" s="26">
        <v>5007600</v>
      </c>
      <c r="P35" s="26">
        <v>5007600</v>
      </c>
      <c r="Q35" s="26">
        <v>5007600</v>
      </c>
      <c r="R35" s="26">
        <v>5007600</v>
      </c>
      <c r="S35" s="26">
        <v>5007600</v>
      </c>
      <c r="T35" s="26">
        <v>5007600</v>
      </c>
      <c r="U35" s="26">
        <v>5007600</v>
      </c>
      <c r="V35" s="26">
        <v>5007600</v>
      </c>
      <c r="W35" s="26">
        <v>5007600</v>
      </c>
      <c r="X35" s="26">
        <v>5007600</v>
      </c>
      <c r="Y35" s="26">
        <v>5007600</v>
      </c>
      <c r="Z35" s="26">
        <v>5007600</v>
      </c>
      <c r="AA35" s="26">
        <v>5007600</v>
      </c>
      <c r="AB35" s="26">
        <v>5007600</v>
      </c>
      <c r="AC35" s="26">
        <v>5007600</v>
      </c>
      <c r="AD35" s="26">
        <v>5007600</v>
      </c>
      <c r="AE35" s="26">
        <v>5007600</v>
      </c>
      <c r="AF35" s="26">
        <v>730000</v>
      </c>
      <c r="AG35" s="26">
        <v>730000</v>
      </c>
      <c r="AH35" s="26">
        <v>730000</v>
      </c>
      <c r="AI35" s="26">
        <v>730000</v>
      </c>
      <c r="AJ35" s="26">
        <v>730000</v>
      </c>
      <c r="AK35" s="26">
        <v>730000</v>
      </c>
      <c r="AL35" s="26">
        <v>730000</v>
      </c>
      <c r="AM35" s="26">
        <v>730000</v>
      </c>
      <c r="AN35" s="26">
        <v>730000</v>
      </c>
      <c r="AO35" s="26">
        <v>730000</v>
      </c>
      <c r="AP35" s="26">
        <v>730000</v>
      </c>
      <c r="AQ35" s="26">
        <v>730000</v>
      </c>
      <c r="AR35" s="26">
        <v>500000</v>
      </c>
      <c r="AS35" s="26">
        <v>500000</v>
      </c>
      <c r="AT35" s="26">
        <v>500000</v>
      </c>
      <c r="AU35" s="26">
        <v>500000</v>
      </c>
      <c r="AV35" s="26">
        <v>500000</v>
      </c>
      <c r="AW35" s="26">
        <v>500000</v>
      </c>
      <c r="AX35" s="26">
        <v>500000</v>
      </c>
      <c r="AY35" s="26">
        <v>500000</v>
      </c>
      <c r="AZ35" s="26">
        <v>500000</v>
      </c>
      <c r="BA35" s="26">
        <v>500000</v>
      </c>
      <c r="BB35" s="26">
        <v>500000</v>
      </c>
      <c r="BC35" s="26">
        <v>500000</v>
      </c>
      <c r="BD35" s="26">
        <v>0</v>
      </c>
      <c r="BE35" s="26">
        <v>0</v>
      </c>
      <c r="BF35" s="26">
        <v>0</v>
      </c>
      <c r="BG35" s="26">
        <v>0</v>
      </c>
      <c r="BH35" s="26">
        <v>0</v>
      </c>
      <c r="BI35" s="26">
        <v>0</v>
      </c>
      <c r="BJ35" s="26">
        <v>0</v>
      </c>
      <c r="BK35" s="26">
        <v>0</v>
      </c>
      <c r="BL35" s="26">
        <v>0</v>
      </c>
      <c r="BM35" s="26">
        <v>0</v>
      </c>
      <c r="BN35" s="26">
        <v>0</v>
      </c>
      <c r="BO35" s="26">
        <v>0</v>
      </c>
      <c r="BP35" s="26">
        <v>1200000</v>
      </c>
      <c r="BQ35" s="26">
        <v>1200000</v>
      </c>
      <c r="BR35" s="26">
        <v>1200000</v>
      </c>
      <c r="BS35" s="26">
        <v>1200000</v>
      </c>
      <c r="BT35" s="26">
        <v>1200000</v>
      </c>
      <c r="BU35" s="26">
        <v>1200000</v>
      </c>
      <c r="BV35" s="26">
        <v>1200000</v>
      </c>
      <c r="BW35" s="26">
        <v>1200000</v>
      </c>
      <c r="BX35" s="26">
        <v>1200000</v>
      </c>
      <c r="BY35" s="26">
        <v>1200000</v>
      </c>
      <c r="BZ35" s="26">
        <v>1200000</v>
      </c>
      <c r="CA35" s="26">
        <v>1200000</v>
      </c>
      <c r="CB35" s="26">
        <v>3500000</v>
      </c>
      <c r="CC35" s="26">
        <v>3500000</v>
      </c>
      <c r="CD35" s="26">
        <v>3500000</v>
      </c>
      <c r="CE35" s="26">
        <v>3500000</v>
      </c>
      <c r="CF35" s="26">
        <v>3500000</v>
      </c>
      <c r="CG35" s="26">
        <v>3500000</v>
      </c>
      <c r="CH35" s="26">
        <v>3500000</v>
      </c>
      <c r="CI35" s="26">
        <v>3500000</v>
      </c>
      <c r="CJ35" s="26">
        <v>3500000</v>
      </c>
      <c r="CK35" s="26">
        <v>3500000</v>
      </c>
      <c r="CL35" s="26">
        <v>3500000</v>
      </c>
      <c r="CM35" s="26">
        <v>3500000</v>
      </c>
      <c r="CN35" s="26">
        <v>5007600</v>
      </c>
      <c r="CO35" s="26">
        <v>22</v>
      </c>
      <c r="CP35" s="26">
        <v>5007600</v>
      </c>
      <c r="CQ35" s="26">
        <v>730000</v>
      </c>
      <c r="CR35" s="26">
        <v>500000</v>
      </c>
      <c r="CS35" s="26">
        <v>1200000</v>
      </c>
      <c r="CT35" s="26">
        <v>3500000</v>
      </c>
      <c r="CU35" s="26">
        <v>5930000</v>
      </c>
    </row>
    <row r="36" spans="1:99" x14ac:dyDescent="0.3">
      <c r="A36" s="26">
        <v>3</v>
      </c>
      <c r="B36" s="27" t="s">
        <v>19</v>
      </c>
      <c r="C36" s="27" t="s">
        <v>20</v>
      </c>
      <c r="D36" s="27" t="s">
        <v>21</v>
      </c>
      <c r="E36" s="27" t="s">
        <v>22</v>
      </c>
      <c r="F36" s="26">
        <v>8083172501</v>
      </c>
      <c r="G36" s="27" t="s">
        <v>23</v>
      </c>
      <c r="H36" s="26">
        <v>5007600</v>
      </c>
      <c r="I36" s="26">
        <v>5007600</v>
      </c>
      <c r="J36" s="26">
        <v>5007600</v>
      </c>
      <c r="K36" s="26">
        <v>5007600</v>
      </c>
      <c r="L36" s="26">
        <v>5007600</v>
      </c>
      <c r="M36" s="26">
        <v>5007600</v>
      </c>
      <c r="N36" s="26">
        <v>5007600</v>
      </c>
      <c r="O36" s="26">
        <v>5007600</v>
      </c>
      <c r="P36" s="26">
        <v>5007600</v>
      </c>
      <c r="Q36" s="26">
        <v>5007600</v>
      </c>
      <c r="R36" s="26">
        <v>5007600</v>
      </c>
      <c r="S36" s="26">
        <v>5007600</v>
      </c>
      <c r="T36" s="26">
        <v>5007600</v>
      </c>
      <c r="U36" s="26">
        <v>5007600</v>
      </c>
      <c r="V36" s="26">
        <v>5007600</v>
      </c>
      <c r="W36" s="26">
        <v>5007600</v>
      </c>
      <c r="X36" s="26">
        <v>5007600</v>
      </c>
      <c r="Y36" s="26">
        <v>5007600</v>
      </c>
      <c r="Z36" s="26">
        <v>5007600</v>
      </c>
      <c r="AA36" s="26">
        <v>5007600</v>
      </c>
      <c r="AB36" s="26">
        <v>5007600</v>
      </c>
      <c r="AC36" s="26">
        <v>5007600</v>
      </c>
      <c r="AD36" s="26">
        <v>5007600</v>
      </c>
      <c r="AE36" s="26">
        <v>5007600</v>
      </c>
      <c r="AF36" s="26">
        <v>730000</v>
      </c>
      <c r="AG36" s="26">
        <v>730000</v>
      </c>
      <c r="AH36" s="26">
        <v>730000</v>
      </c>
      <c r="AI36" s="26">
        <v>730000</v>
      </c>
      <c r="AJ36" s="26">
        <v>730000</v>
      </c>
      <c r="AK36" s="26">
        <v>730000</v>
      </c>
      <c r="AL36" s="26">
        <v>730000</v>
      </c>
      <c r="AM36" s="26">
        <v>730000</v>
      </c>
      <c r="AN36" s="26">
        <v>730000</v>
      </c>
      <c r="AO36" s="26">
        <v>730000</v>
      </c>
      <c r="AP36" s="26">
        <v>730000</v>
      </c>
      <c r="AQ36" s="26">
        <v>730000</v>
      </c>
      <c r="AR36" s="26">
        <v>500000</v>
      </c>
      <c r="AS36" s="26">
        <v>500000</v>
      </c>
      <c r="AT36" s="26">
        <v>500000</v>
      </c>
      <c r="AU36" s="26">
        <v>500000</v>
      </c>
      <c r="AV36" s="26">
        <v>500000</v>
      </c>
      <c r="AW36" s="26">
        <v>500000</v>
      </c>
      <c r="AX36" s="26">
        <v>500000</v>
      </c>
      <c r="AY36" s="26">
        <v>500000</v>
      </c>
      <c r="AZ36" s="26">
        <v>500000</v>
      </c>
      <c r="BA36" s="26">
        <v>500000</v>
      </c>
      <c r="BB36" s="26">
        <v>500000</v>
      </c>
      <c r="BC36" s="26">
        <v>500000</v>
      </c>
      <c r="BD36" s="26">
        <v>0</v>
      </c>
      <c r="BE36" s="26">
        <v>0</v>
      </c>
      <c r="BF36" s="26">
        <v>0</v>
      </c>
      <c r="BG36" s="26">
        <v>0</v>
      </c>
      <c r="BH36" s="26">
        <v>0</v>
      </c>
      <c r="BI36" s="26">
        <v>0</v>
      </c>
      <c r="BJ36" s="26">
        <v>0</v>
      </c>
      <c r="BK36" s="26">
        <v>0</v>
      </c>
      <c r="BL36" s="26">
        <v>0</v>
      </c>
      <c r="BM36" s="26">
        <v>0</v>
      </c>
      <c r="BN36" s="26">
        <v>0</v>
      </c>
      <c r="BO36" s="26">
        <v>0</v>
      </c>
      <c r="BP36" s="26">
        <v>1200000</v>
      </c>
      <c r="BQ36" s="26">
        <v>1200000</v>
      </c>
      <c r="BR36" s="26">
        <v>1200000</v>
      </c>
      <c r="BS36" s="26">
        <v>1200000</v>
      </c>
      <c r="BT36" s="26">
        <v>1200000</v>
      </c>
      <c r="BU36" s="26">
        <v>1200000</v>
      </c>
      <c r="BV36" s="26">
        <v>1200000</v>
      </c>
      <c r="BW36" s="26">
        <v>1200000</v>
      </c>
      <c r="BX36" s="26">
        <v>1200000</v>
      </c>
      <c r="BY36" s="26">
        <v>1200000</v>
      </c>
      <c r="BZ36" s="26">
        <v>1200000</v>
      </c>
      <c r="CA36" s="26">
        <v>1200000</v>
      </c>
      <c r="CB36" s="26">
        <v>3500000</v>
      </c>
      <c r="CC36" s="26">
        <v>3500000</v>
      </c>
      <c r="CD36" s="26">
        <v>3500000</v>
      </c>
      <c r="CE36" s="26">
        <v>3500000</v>
      </c>
      <c r="CF36" s="26">
        <v>3500000</v>
      </c>
      <c r="CG36" s="26">
        <v>3500000</v>
      </c>
      <c r="CH36" s="26">
        <v>3500000</v>
      </c>
      <c r="CI36" s="26">
        <v>3500000</v>
      </c>
      <c r="CJ36" s="26">
        <v>3500000</v>
      </c>
      <c r="CK36" s="26">
        <v>3500000</v>
      </c>
      <c r="CL36" s="26">
        <v>3500000</v>
      </c>
      <c r="CM36" s="26">
        <v>3500000</v>
      </c>
      <c r="CN36" s="26">
        <v>5007600</v>
      </c>
      <c r="CO36" s="26">
        <v>23</v>
      </c>
      <c r="CP36" s="26">
        <v>5007600</v>
      </c>
      <c r="CQ36" s="26">
        <v>730000</v>
      </c>
      <c r="CR36" s="26">
        <v>500000</v>
      </c>
      <c r="CS36" s="26">
        <v>1200000</v>
      </c>
      <c r="CT36" s="26">
        <v>3500000</v>
      </c>
      <c r="CU36" s="26">
        <v>5930000</v>
      </c>
    </row>
    <row r="37" spans="1:99" x14ac:dyDescent="0.3">
      <c r="A37" s="26">
        <v>3</v>
      </c>
      <c r="B37" s="27" t="s">
        <v>19</v>
      </c>
      <c r="C37" s="27" t="s">
        <v>20</v>
      </c>
      <c r="D37" s="27" t="s">
        <v>21</v>
      </c>
      <c r="E37" s="27" t="s">
        <v>22</v>
      </c>
      <c r="F37" s="26">
        <v>8083172501</v>
      </c>
      <c r="G37" s="27" t="s">
        <v>23</v>
      </c>
      <c r="H37" s="26">
        <v>5007600</v>
      </c>
      <c r="I37" s="26">
        <v>5007600</v>
      </c>
      <c r="J37" s="26">
        <v>5007600</v>
      </c>
      <c r="K37" s="26">
        <v>5007600</v>
      </c>
      <c r="L37" s="26">
        <v>5007600</v>
      </c>
      <c r="M37" s="26">
        <v>5007600</v>
      </c>
      <c r="N37" s="26">
        <v>5007600</v>
      </c>
      <c r="O37" s="26">
        <v>5007600</v>
      </c>
      <c r="P37" s="26">
        <v>5007600</v>
      </c>
      <c r="Q37" s="26">
        <v>5007600</v>
      </c>
      <c r="R37" s="26">
        <v>5007600</v>
      </c>
      <c r="S37" s="26">
        <v>5007600</v>
      </c>
      <c r="T37" s="26">
        <v>5007600</v>
      </c>
      <c r="U37" s="26">
        <v>5007600</v>
      </c>
      <c r="V37" s="26">
        <v>5007600</v>
      </c>
      <c r="W37" s="26">
        <v>5007600</v>
      </c>
      <c r="X37" s="26">
        <v>5007600</v>
      </c>
      <c r="Y37" s="26">
        <v>5007600</v>
      </c>
      <c r="Z37" s="26">
        <v>5007600</v>
      </c>
      <c r="AA37" s="26">
        <v>5007600</v>
      </c>
      <c r="AB37" s="26">
        <v>5007600</v>
      </c>
      <c r="AC37" s="26">
        <v>5007600</v>
      </c>
      <c r="AD37" s="26">
        <v>5007600</v>
      </c>
      <c r="AE37" s="26">
        <v>5007600</v>
      </c>
      <c r="AF37" s="26">
        <v>730000</v>
      </c>
      <c r="AG37" s="26">
        <v>730000</v>
      </c>
      <c r="AH37" s="26">
        <v>730000</v>
      </c>
      <c r="AI37" s="26">
        <v>730000</v>
      </c>
      <c r="AJ37" s="26">
        <v>730000</v>
      </c>
      <c r="AK37" s="26">
        <v>730000</v>
      </c>
      <c r="AL37" s="26">
        <v>730000</v>
      </c>
      <c r="AM37" s="26">
        <v>730000</v>
      </c>
      <c r="AN37" s="26">
        <v>730000</v>
      </c>
      <c r="AO37" s="26">
        <v>730000</v>
      </c>
      <c r="AP37" s="26">
        <v>730000</v>
      </c>
      <c r="AQ37" s="26">
        <v>730000</v>
      </c>
      <c r="AR37" s="26">
        <v>500000</v>
      </c>
      <c r="AS37" s="26">
        <v>500000</v>
      </c>
      <c r="AT37" s="26">
        <v>500000</v>
      </c>
      <c r="AU37" s="26">
        <v>500000</v>
      </c>
      <c r="AV37" s="26">
        <v>500000</v>
      </c>
      <c r="AW37" s="26">
        <v>500000</v>
      </c>
      <c r="AX37" s="26">
        <v>500000</v>
      </c>
      <c r="AY37" s="26">
        <v>500000</v>
      </c>
      <c r="AZ37" s="26">
        <v>500000</v>
      </c>
      <c r="BA37" s="26">
        <v>500000</v>
      </c>
      <c r="BB37" s="26">
        <v>500000</v>
      </c>
      <c r="BC37" s="26">
        <v>500000</v>
      </c>
      <c r="BD37" s="26">
        <v>0</v>
      </c>
      <c r="BE37" s="26">
        <v>0</v>
      </c>
      <c r="BF37" s="26">
        <v>0</v>
      </c>
      <c r="BG37" s="26">
        <v>0</v>
      </c>
      <c r="BH37" s="26">
        <v>0</v>
      </c>
      <c r="BI37" s="26">
        <v>0</v>
      </c>
      <c r="BJ37" s="26">
        <v>0</v>
      </c>
      <c r="BK37" s="26">
        <v>0</v>
      </c>
      <c r="BL37" s="26">
        <v>0</v>
      </c>
      <c r="BM37" s="26">
        <v>0</v>
      </c>
      <c r="BN37" s="26">
        <v>0</v>
      </c>
      <c r="BO37" s="26">
        <v>0</v>
      </c>
      <c r="BP37" s="26">
        <v>1200000</v>
      </c>
      <c r="BQ37" s="26">
        <v>1200000</v>
      </c>
      <c r="BR37" s="26">
        <v>1200000</v>
      </c>
      <c r="BS37" s="26">
        <v>1200000</v>
      </c>
      <c r="BT37" s="26">
        <v>1200000</v>
      </c>
      <c r="BU37" s="26">
        <v>1200000</v>
      </c>
      <c r="BV37" s="26">
        <v>1200000</v>
      </c>
      <c r="BW37" s="26">
        <v>1200000</v>
      </c>
      <c r="BX37" s="26">
        <v>1200000</v>
      </c>
      <c r="BY37" s="26">
        <v>1200000</v>
      </c>
      <c r="BZ37" s="26">
        <v>1200000</v>
      </c>
      <c r="CA37" s="26">
        <v>1200000</v>
      </c>
      <c r="CB37" s="26">
        <v>3500000</v>
      </c>
      <c r="CC37" s="26">
        <v>3500000</v>
      </c>
      <c r="CD37" s="26">
        <v>3500000</v>
      </c>
      <c r="CE37" s="26">
        <v>3500000</v>
      </c>
      <c r="CF37" s="26">
        <v>3500000</v>
      </c>
      <c r="CG37" s="26">
        <v>3500000</v>
      </c>
      <c r="CH37" s="26">
        <v>3500000</v>
      </c>
      <c r="CI37" s="26">
        <v>3500000</v>
      </c>
      <c r="CJ37" s="26">
        <v>3500000</v>
      </c>
      <c r="CK37" s="26">
        <v>3500000</v>
      </c>
      <c r="CL37" s="26">
        <v>3500000</v>
      </c>
      <c r="CM37" s="26">
        <v>3500000</v>
      </c>
      <c r="CN37" s="26">
        <v>5007600</v>
      </c>
      <c r="CO37" s="26">
        <v>22</v>
      </c>
      <c r="CP37" s="26">
        <v>5007600</v>
      </c>
      <c r="CQ37" s="26">
        <v>730000</v>
      </c>
      <c r="CR37" s="26">
        <v>500000</v>
      </c>
      <c r="CS37" s="26">
        <v>1200000</v>
      </c>
      <c r="CT37" s="26">
        <v>3500000</v>
      </c>
      <c r="CU37" s="26">
        <v>5930000</v>
      </c>
    </row>
    <row r="38" spans="1:99" x14ac:dyDescent="0.3">
      <c r="A38" s="26">
        <v>4</v>
      </c>
      <c r="B38" s="27" t="s">
        <v>24</v>
      </c>
      <c r="C38" s="27" t="s">
        <v>25</v>
      </c>
      <c r="D38" s="27" t="s">
        <v>26</v>
      </c>
      <c r="E38" s="27" t="s">
        <v>27</v>
      </c>
      <c r="F38" s="26">
        <v>8481561673</v>
      </c>
      <c r="G38" s="27" t="s">
        <v>28</v>
      </c>
      <c r="H38" s="26">
        <v>5007600</v>
      </c>
      <c r="I38" s="26">
        <v>5007600</v>
      </c>
      <c r="J38" s="26">
        <v>5007600</v>
      </c>
      <c r="K38" s="26">
        <v>5007600</v>
      </c>
      <c r="L38" s="26">
        <v>5007600</v>
      </c>
      <c r="M38" s="26">
        <v>5007600</v>
      </c>
      <c r="N38" s="26">
        <v>5007600</v>
      </c>
      <c r="O38" s="26">
        <v>5007600</v>
      </c>
      <c r="P38" s="26">
        <v>5007600</v>
      </c>
      <c r="Q38" s="26">
        <v>5007600</v>
      </c>
      <c r="R38" s="26">
        <v>5007600</v>
      </c>
      <c r="S38" s="26">
        <v>5007600</v>
      </c>
      <c r="T38" s="26">
        <v>5007600</v>
      </c>
      <c r="U38" s="26">
        <v>5007600</v>
      </c>
      <c r="V38" s="26">
        <v>5007600</v>
      </c>
      <c r="W38" s="26">
        <v>5007600</v>
      </c>
      <c r="X38" s="26">
        <v>5007600</v>
      </c>
      <c r="Y38" s="26">
        <v>5007600</v>
      </c>
      <c r="Z38" s="26">
        <v>5007600</v>
      </c>
      <c r="AA38" s="26">
        <v>5007600</v>
      </c>
      <c r="AB38" s="26">
        <v>5007600</v>
      </c>
      <c r="AC38" s="26">
        <v>5007600</v>
      </c>
      <c r="AD38" s="26">
        <v>5007600</v>
      </c>
      <c r="AE38" s="26">
        <v>5007600</v>
      </c>
      <c r="AF38" s="26">
        <v>730000</v>
      </c>
      <c r="AG38" s="26">
        <v>730000</v>
      </c>
      <c r="AH38" s="26">
        <v>730000</v>
      </c>
      <c r="AI38" s="26">
        <v>730000</v>
      </c>
      <c r="AJ38" s="26">
        <v>730000</v>
      </c>
      <c r="AK38" s="26">
        <v>730000</v>
      </c>
      <c r="AL38" s="26">
        <v>730000</v>
      </c>
      <c r="AM38" s="26">
        <v>730000</v>
      </c>
      <c r="AN38" s="26">
        <v>730000</v>
      </c>
      <c r="AO38" s="26">
        <v>730000</v>
      </c>
      <c r="AP38" s="26">
        <v>730000</v>
      </c>
      <c r="AQ38" s="26">
        <v>730000</v>
      </c>
      <c r="AR38" s="26">
        <v>500000</v>
      </c>
      <c r="AS38" s="26">
        <v>500000</v>
      </c>
      <c r="AT38" s="26">
        <v>500000</v>
      </c>
      <c r="AU38" s="26">
        <v>500000</v>
      </c>
      <c r="AV38" s="26">
        <v>500000</v>
      </c>
      <c r="AW38" s="26">
        <v>500000</v>
      </c>
      <c r="AX38" s="26">
        <v>500000</v>
      </c>
      <c r="AY38" s="26">
        <v>500000</v>
      </c>
      <c r="AZ38" s="26">
        <v>500000</v>
      </c>
      <c r="BA38" s="26">
        <v>500000</v>
      </c>
      <c r="BB38" s="26">
        <v>500000</v>
      </c>
      <c r="BC38" s="26">
        <v>500000</v>
      </c>
      <c r="BD38" s="26">
        <v>0</v>
      </c>
      <c r="BE38" s="26">
        <v>0</v>
      </c>
      <c r="BF38" s="26">
        <v>0</v>
      </c>
      <c r="BG38" s="26">
        <v>0</v>
      </c>
      <c r="BH38" s="26">
        <v>0</v>
      </c>
      <c r="BI38" s="26">
        <v>0</v>
      </c>
      <c r="BJ38" s="26">
        <v>0</v>
      </c>
      <c r="BK38" s="26">
        <v>0</v>
      </c>
      <c r="BL38" s="26">
        <v>0</v>
      </c>
      <c r="BM38" s="26">
        <v>0</v>
      </c>
      <c r="BN38" s="26">
        <v>0</v>
      </c>
      <c r="BO38" s="26">
        <v>0</v>
      </c>
      <c r="BP38" s="26">
        <v>1200000</v>
      </c>
      <c r="BQ38" s="26">
        <v>1200000</v>
      </c>
      <c r="BR38" s="26">
        <v>1200000</v>
      </c>
      <c r="BS38" s="26">
        <v>1200000</v>
      </c>
      <c r="BT38" s="26">
        <v>1200000</v>
      </c>
      <c r="BU38" s="26">
        <v>1200000</v>
      </c>
      <c r="BV38" s="26">
        <v>1200000</v>
      </c>
      <c r="BW38" s="26">
        <v>1200000</v>
      </c>
      <c r="BX38" s="26">
        <v>1200000</v>
      </c>
      <c r="BY38" s="26">
        <v>1200000</v>
      </c>
      <c r="BZ38" s="26">
        <v>1200000</v>
      </c>
      <c r="CA38" s="26">
        <v>1200000</v>
      </c>
      <c r="CB38" s="26">
        <v>3500000</v>
      </c>
      <c r="CC38" s="26">
        <v>3500000</v>
      </c>
      <c r="CD38" s="26">
        <v>3500000</v>
      </c>
      <c r="CE38" s="26">
        <v>3500000</v>
      </c>
      <c r="CF38" s="26">
        <v>3500000</v>
      </c>
      <c r="CG38" s="26">
        <v>3500000</v>
      </c>
      <c r="CH38" s="26">
        <v>3500000</v>
      </c>
      <c r="CI38" s="26">
        <v>3500000</v>
      </c>
      <c r="CJ38" s="26">
        <v>3500000</v>
      </c>
      <c r="CK38" s="26">
        <v>3500000</v>
      </c>
      <c r="CL38" s="26">
        <v>3500000</v>
      </c>
      <c r="CM38" s="26">
        <v>3500000</v>
      </c>
      <c r="CN38" s="26">
        <v>5007600</v>
      </c>
      <c r="CO38" s="26">
        <v>21</v>
      </c>
      <c r="CP38" s="26">
        <v>5007600</v>
      </c>
      <c r="CQ38" s="26">
        <v>730000</v>
      </c>
      <c r="CR38" s="26">
        <v>500000</v>
      </c>
      <c r="CS38" s="26">
        <v>1200000</v>
      </c>
      <c r="CT38" s="26">
        <v>3500000</v>
      </c>
      <c r="CU38" s="26">
        <v>5930000</v>
      </c>
    </row>
    <row r="39" spans="1:99" x14ac:dyDescent="0.3">
      <c r="A39" s="26">
        <v>4</v>
      </c>
      <c r="B39" s="27" t="s">
        <v>24</v>
      </c>
      <c r="C39" s="27" t="s">
        <v>25</v>
      </c>
      <c r="D39" s="27" t="s">
        <v>26</v>
      </c>
      <c r="E39" s="27" t="s">
        <v>27</v>
      </c>
      <c r="F39" s="26">
        <v>8481561673</v>
      </c>
      <c r="G39" s="27" t="s">
        <v>28</v>
      </c>
      <c r="H39" s="26">
        <v>5007600</v>
      </c>
      <c r="I39" s="26">
        <v>5007600</v>
      </c>
      <c r="J39" s="26">
        <v>5007600</v>
      </c>
      <c r="K39" s="26">
        <v>5007600</v>
      </c>
      <c r="L39" s="26">
        <v>5007600</v>
      </c>
      <c r="M39" s="26">
        <v>5007600</v>
      </c>
      <c r="N39" s="26">
        <v>5007600</v>
      </c>
      <c r="O39" s="26">
        <v>5007600</v>
      </c>
      <c r="P39" s="26">
        <v>5007600</v>
      </c>
      <c r="Q39" s="26">
        <v>5007600</v>
      </c>
      <c r="R39" s="26">
        <v>5007600</v>
      </c>
      <c r="S39" s="26">
        <v>5007600</v>
      </c>
      <c r="T39" s="26">
        <v>5007600</v>
      </c>
      <c r="U39" s="26">
        <v>5007600</v>
      </c>
      <c r="V39" s="26">
        <v>5007600</v>
      </c>
      <c r="W39" s="26">
        <v>5007600</v>
      </c>
      <c r="X39" s="26">
        <v>5007600</v>
      </c>
      <c r="Y39" s="26">
        <v>5007600</v>
      </c>
      <c r="Z39" s="26">
        <v>5007600</v>
      </c>
      <c r="AA39" s="26">
        <v>5007600</v>
      </c>
      <c r="AB39" s="26">
        <v>5007600</v>
      </c>
      <c r="AC39" s="26">
        <v>5007600</v>
      </c>
      <c r="AD39" s="26">
        <v>5007600</v>
      </c>
      <c r="AE39" s="26">
        <v>5007600</v>
      </c>
      <c r="AF39" s="26">
        <v>730000</v>
      </c>
      <c r="AG39" s="26">
        <v>730000</v>
      </c>
      <c r="AH39" s="26">
        <v>730000</v>
      </c>
      <c r="AI39" s="26">
        <v>730000</v>
      </c>
      <c r="AJ39" s="26">
        <v>730000</v>
      </c>
      <c r="AK39" s="26">
        <v>730000</v>
      </c>
      <c r="AL39" s="26">
        <v>730000</v>
      </c>
      <c r="AM39" s="26">
        <v>730000</v>
      </c>
      <c r="AN39" s="26">
        <v>730000</v>
      </c>
      <c r="AO39" s="26">
        <v>730000</v>
      </c>
      <c r="AP39" s="26">
        <v>730000</v>
      </c>
      <c r="AQ39" s="26">
        <v>730000</v>
      </c>
      <c r="AR39" s="26">
        <v>500000</v>
      </c>
      <c r="AS39" s="26">
        <v>500000</v>
      </c>
      <c r="AT39" s="26">
        <v>500000</v>
      </c>
      <c r="AU39" s="26">
        <v>500000</v>
      </c>
      <c r="AV39" s="26">
        <v>500000</v>
      </c>
      <c r="AW39" s="26">
        <v>500000</v>
      </c>
      <c r="AX39" s="26">
        <v>500000</v>
      </c>
      <c r="AY39" s="26">
        <v>500000</v>
      </c>
      <c r="AZ39" s="26">
        <v>500000</v>
      </c>
      <c r="BA39" s="26">
        <v>500000</v>
      </c>
      <c r="BB39" s="26">
        <v>500000</v>
      </c>
      <c r="BC39" s="26">
        <v>500000</v>
      </c>
      <c r="BD39" s="26">
        <v>0</v>
      </c>
      <c r="BE39" s="26">
        <v>0</v>
      </c>
      <c r="BF39" s="26">
        <v>0</v>
      </c>
      <c r="BG39" s="26">
        <v>0</v>
      </c>
      <c r="BH39" s="26">
        <v>0</v>
      </c>
      <c r="BI39" s="26">
        <v>0</v>
      </c>
      <c r="BJ39" s="26">
        <v>0</v>
      </c>
      <c r="BK39" s="26">
        <v>0</v>
      </c>
      <c r="BL39" s="26">
        <v>0</v>
      </c>
      <c r="BM39" s="26">
        <v>0</v>
      </c>
      <c r="BN39" s="26">
        <v>0</v>
      </c>
      <c r="BO39" s="26">
        <v>0</v>
      </c>
      <c r="BP39" s="26">
        <v>1200000</v>
      </c>
      <c r="BQ39" s="26">
        <v>1200000</v>
      </c>
      <c r="BR39" s="26">
        <v>1200000</v>
      </c>
      <c r="BS39" s="26">
        <v>1200000</v>
      </c>
      <c r="BT39" s="26">
        <v>1200000</v>
      </c>
      <c r="BU39" s="26">
        <v>1200000</v>
      </c>
      <c r="BV39" s="26">
        <v>1200000</v>
      </c>
      <c r="BW39" s="26">
        <v>1200000</v>
      </c>
      <c r="BX39" s="26">
        <v>1200000</v>
      </c>
      <c r="BY39" s="26">
        <v>1200000</v>
      </c>
      <c r="BZ39" s="26">
        <v>1200000</v>
      </c>
      <c r="CA39" s="26">
        <v>1200000</v>
      </c>
      <c r="CB39" s="26">
        <v>3500000</v>
      </c>
      <c r="CC39" s="26">
        <v>3500000</v>
      </c>
      <c r="CD39" s="26">
        <v>3500000</v>
      </c>
      <c r="CE39" s="26">
        <v>3500000</v>
      </c>
      <c r="CF39" s="26">
        <v>3500000</v>
      </c>
      <c r="CG39" s="26">
        <v>3500000</v>
      </c>
      <c r="CH39" s="26">
        <v>3500000</v>
      </c>
      <c r="CI39" s="26">
        <v>3500000</v>
      </c>
      <c r="CJ39" s="26">
        <v>3500000</v>
      </c>
      <c r="CK39" s="26">
        <v>3500000</v>
      </c>
      <c r="CL39" s="26">
        <v>3500000</v>
      </c>
      <c r="CM39" s="26">
        <v>3500000</v>
      </c>
      <c r="CN39" s="26">
        <v>5007600</v>
      </c>
      <c r="CO39" s="26">
        <v>21</v>
      </c>
      <c r="CP39" s="26">
        <v>5007600</v>
      </c>
      <c r="CQ39" s="26">
        <v>730000</v>
      </c>
      <c r="CR39" s="26">
        <v>500000</v>
      </c>
      <c r="CS39" s="26">
        <v>1200000</v>
      </c>
      <c r="CT39" s="26">
        <v>3500000</v>
      </c>
      <c r="CU39" s="26">
        <v>5930000</v>
      </c>
    </row>
    <row r="40" spans="1:99" x14ac:dyDescent="0.3">
      <c r="A40" s="26">
        <v>4</v>
      </c>
      <c r="B40" s="27" t="s">
        <v>24</v>
      </c>
      <c r="C40" s="27" t="s">
        <v>25</v>
      </c>
      <c r="D40" s="27" t="s">
        <v>26</v>
      </c>
      <c r="E40" s="27" t="s">
        <v>27</v>
      </c>
      <c r="F40" s="26">
        <v>8481561673</v>
      </c>
      <c r="G40" s="27" t="s">
        <v>28</v>
      </c>
      <c r="H40" s="26">
        <v>5007600</v>
      </c>
      <c r="I40" s="26">
        <v>5007600</v>
      </c>
      <c r="J40" s="26">
        <v>5007600</v>
      </c>
      <c r="K40" s="26">
        <v>5007600</v>
      </c>
      <c r="L40" s="26">
        <v>5007600</v>
      </c>
      <c r="M40" s="26">
        <v>5007600</v>
      </c>
      <c r="N40" s="26">
        <v>5007600</v>
      </c>
      <c r="O40" s="26">
        <v>5007600</v>
      </c>
      <c r="P40" s="26">
        <v>5007600</v>
      </c>
      <c r="Q40" s="26">
        <v>5007600</v>
      </c>
      <c r="R40" s="26">
        <v>5007600</v>
      </c>
      <c r="S40" s="26">
        <v>5007600</v>
      </c>
      <c r="T40" s="26">
        <v>5007600</v>
      </c>
      <c r="U40" s="26">
        <v>5007600</v>
      </c>
      <c r="V40" s="26">
        <v>5007600</v>
      </c>
      <c r="W40" s="26">
        <v>5007600</v>
      </c>
      <c r="X40" s="26">
        <v>5007600</v>
      </c>
      <c r="Y40" s="26">
        <v>5007600</v>
      </c>
      <c r="Z40" s="26">
        <v>5007600</v>
      </c>
      <c r="AA40" s="26">
        <v>5007600</v>
      </c>
      <c r="AB40" s="26">
        <v>5007600</v>
      </c>
      <c r="AC40" s="26">
        <v>5007600</v>
      </c>
      <c r="AD40" s="26">
        <v>5007600</v>
      </c>
      <c r="AE40" s="26">
        <v>5007600</v>
      </c>
      <c r="AF40" s="26">
        <v>730000</v>
      </c>
      <c r="AG40" s="26">
        <v>730000</v>
      </c>
      <c r="AH40" s="26">
        <v>730000</v>
      </c>
      <c r="AI40" s="26">
        <v>730000</v>
      </c>
      <c r="AJ40" s="26">
        <v>730000</v>
      </c>
      <c r="AK40" s="26">
        <v>730000</v>
      </c>
      <c r="AL40" s="26">
        <v>730000</v>
      </c>
      <c r="AM40" s="26">
        <v>730000</v>
      </c>
      <c r="AN40" s="26">
        <v>730000</v>
      </c>
      <c r="AO40" s="26">
        <v>730000</v>
      </c>
      <c r="AP40" s="26">
        <v>730000</v>
      </c>
      <c r="AQ40" s="26">
        <v>730000</v>
      </c>
      <c r="AR40" s="26">
        <v>500000</v>
      </c>
      <c r="AS40" s="26">
        <v>500000</v>
      </c>
      <c r="AT40" s="26">
        <v>500000</v>
      </c>
      <c r="AU40" s="26">
        <v>500000</v>
      </c>
      <c r="AV40" s="26">
        <v>500000</v>
      </c>
      <c r="AW40" s="26">
        <v>500000</v>
      </c>
      <c r="AX40" s="26">
        <v>500000</v>
      </c>
      <c r="AY40" s="26">
        <v>500000</v>
      </c>
      <c r="AZ40" s="26">
        <v>500000</v>
      </c>
      <c r="BA40" s="26">
        <v>500000</v>
      </c>
      <c r="BB40" s="26">
        <v>500000</v>
      </c>
      <c r="BC40" s="26">
        <v>500000</v>
      </c>
      <c r="BD40" s="26">
        <v>0</v>
      </c>
      <c r="BE40" s="26">
        <v>0</v>
      </c>
      <c r="BF40" s="26">
        <v>0</v>
      </c>
      <c r="BG40" s="26">
        <v>0</v>
      </c>
      <c r="BH40" s="26">
        <v>0</v>
      </c>
      <c r="BI40" s="26">
        <v>0</v>
      </c>
      <c r="BJ40" s="26">
        <v>0</v>
      </c>
      <c r="BK40" s="26">
        <v>0</v>
      </c>
      <c r="BL40" s="26">
        <v>0</v>
      </c>
      <c r="BM40" s="26">
        <v>0</v>
      </c>
      <c r="BN40" s="26">
        <v>0</v>
      </c>
      <c r="BO40" s="26">
        <v>0</v>
      </c>
      <c r="BP40" s="26">
        <v>1200000</v>
      </c>
      <c r="BQ40" s="26">
        <v>1200000</v>
      </c>
      <c r="BR40" s="26">
        <v>1200000</v>
      </c>
      <c r="BS40" s="26">
        <v>1200000</v>
      </c>
      <c r="BT40" s="26">
        <v>1200000</v>
      </c>
      <c r="BU40" s="26">
        <v>1200000</v>
      </c>
      <c r="BV40" s="26">
        <v>1200000</v>
      </c>
      <c r="BW40" s="26">
        <v>1200000</v>
      </c>
      <c r="BX40" s="26">
        <v>1200000</v>
      </c>
      <c r="BY40" s="26">
        <v>1200000</v>
      </c>
      <c r="BZ40" s="26">
        <v>1200000</v>
      </c>
      <c r="CA40" s="26">
        <v>1200000</v>
      </c>
      <c r="CB40" s="26">
        <v>3500000</v>
      </c>
      <c r="CC40" s="26">
        <v>3500000</v>
      </c>
      <c r="CD40" s="26">
        <v>3500000</v>
      </c>
      <c r="CE40" s="26">
        <v>3500000</v>
      </c>
      <c r="CF40" s="26">
        <v>3500000</v>
      </c>
      <c r="CG40" s="26">
        <v>3500000</v>
      </c>
      <c r="CH40" s="26">
        <v>3500000</v>
      </c>
      <c r="CI40" s="26">
        <v>3500000</v>
      </c>
      <c r="CJ40" s="26">
        <v>3500000</v>
      </c>
      <c r="CK40" s="26">
        <v>3500000</v>
      </c>
      <c r="CL40" s="26">
        <v>3500000</v>
      </c>
      <c r="CM40" s="26">
        <v>3500000</v>
      </c>
      <c r="CN40" s="26">
        <v>5007600</v>
      </c>
      <c r="CO40" s="26">
        <v>22</v>
      </c>
      <c r="CP40" s="26">
        <v>5007600</v>
      </c>
      <c r="CQ40" s="26">
        <v>730000</v>
      </c>
      <c r="CR40" s="26">
        <v>500000</v>
      </c>
      <c r="CS40" s="26">
        <v>1200000</v>
      </c>
      <c r="CT40" s="26">
        <v>3500000</v>
      </c>
      <c r="CU40" s="26">
        <v>5930000</v>
      </c>
    </row>
    <row r="41" spans="1:99" x14ac:dyDescent="0.3">
      <c r="A41" s="26">
        <v>4</v>
      </c>
      <c r="B41" s="27" t="s">
        <v>24</v>
      </c>
      <c r="C41" s="27" t="s">
        <v>25</v>
      </c>
      <c r="D41" s="27" t="s">
        <v>26</v>
      </c>
      <c r="E41" s="27" t="s">
        <v>27</v>
      </c>
      <c r="F41" s="26">
        <v>8481561673</v>
      </c>
      <c r="G41" s="27" t="s">
        <v>28</v>
      </c>
      <c r="H41" s="26">
        <v>5007600</v>
      </c>
      <c r="I41" s="26">
        <v>5007600</v>
      </c>
      <c r="J41" s="26">
        <v>5007600</v>
      </c>
      <c r="K41" s="26">
        <v>5007600</v>
      </c>
      <c r="L41" s="26">
        <v>5007600</v>
      </c>
      <c r="M41" s="26">
        <v>5007600</v>
      </c>
      <c r="N41" s="26">
        <v>5007600</v>
      </c>
      <c r="O41" s="26">
        <v>5007600</v>
      </c>
      <c r="P41" s="26">
        <v>5007600</v>
      </c>
      <c r="Q41" s="26">
        <v>5007600</v>
      </c>
      <c r="R41" s="26">
        <v>5007600</v>
      </c>
      <c r="S41" s="26">
        <v>5007600</v>
      </c>
      <c r="T41" s="26">
        <v>5007600</v>
      </c>
      <c r="U41" s="26">
        <v>5007600</v>
      </c>
      <c r="V41" s="26">
        <v>5007600</v>
      </c>
      <c r="W41" s="26">
        <v>5007600</v>
      </c>
      <c r="X41" s="26">
        <v>5007600</v>
      </c>
      <c r="Y41" s="26">
        <v>5007600</v>
      </c>
      <c r="Z41" s="26">
        <v>5007600</v>
      </c>
      <c r="AA41" s="26">
        <v>5007600</v>
      </c>
      <c r="AB41" s="26">
        <v>5007600</v>
      </c>
      <c r="AC41" s="26">
        <v>5007600</v>
      </c>
      <c r="AD41" s="26">
        <v>5007600</v>
      </c>
      <c r="AE41" s="26">
        <v>5007600</v>
      </c>
      <c r="AF41" s="26">
        <v>730000</v>
      </c>
      <c r="AG41" s="26">
        <v>730000</v>
      </c>
      <c r="AH41" s="26">
        <v>730000</v>
      </c>
      <c r="AI41" s="26">
        <v>730000</v>
      </c>
      <c r="AJ41" s="26">
        <v>730000</v>
      </c>
      <c r="AK41" s="26">
        <v>730000</v>
      </c>
      <c r="AL41" s="26">
        <v>730000</v>
      </c>
      <c r="AM41" s="26">
        <v>730000</v>
      </c>
      <c r="AN41" s="26">
        <v>730000</v>
      </c>
      <c r="AO41" s="26">
        <v>730000</v>
      </c>
      <c r="AP41" s="26">
        <v>730000</v>
      </c>
      <c r="AQ41" s="26">
        <v>730000</v>
      </c>
      <c r="AR41" s="26">
        <v>500000</v>
      </c>
      <c r="AS41" s="26">
        <v>500000</v>
      </c>
      <c r="AT41" s="26">
        <v>500000</v>
      </c>
      <c r="AU41" s="26">
        <v>500000</v>
      </c>
      <c r="AV41" s="26">
        <v>500000</v>
      </c>
      <c r="AW41" s="26">
        <v>500000</v>
      </c>
      <c r="AX41" s="26">
        <v>500000</v>
      </c>
      <c r="AY41" s="26">
        <v>500000</v>
      </c>
      <c r="AZ41" s="26">
        <v>500000</v>
      </c>
      <c r="BA41" s="26">
        <v>500000</v>
      </c>
      <c r="BB41" s="26">
        <v>500000</v>
      </c>
      <c r="BC41" s="26">
        <v>500000</v>
      </c>
      <c r="BD41" s="26">
        <v>0</v>
      </c>
      <c r="BE41" s="26">
        <v>0</v>
      </c>
      <c r="BF41" s="26">
        <v>0</v>
      </c>
      <c r="BG41" s="26">
        <v>0</v>
      </c>
      <c r="BH41" s="26">
        <v>0</v>
      </c>
      <c r="BI41" s="26">
        <v>0</v>
      </c>
      <c r="BJ41" s="26">
        <v>0</v>
      </c>
      <c r="BK41" s="26">
        <v>0</v>
      </c>
      <c r="BL41" s="26">
        <v>0</v>
      </c>
      <c r="BM41" s="26">
        <v>0</v>
      </c>
      <c r="BN41" s="26">
        <v>0</v>
      </c>
      <c r="BO41" s="26">
        <v>0</v>
      </c>
      <c r="BP41" s="26">
        <v>1200000</v>
      </c>
      <c r="BQ41" s="26">
        <v>1200000</v>
      </c>
      <c r="BR41" s="26">
        <v>1200000</v>
      </c>
      <c r="BS41" s="26">
        <v>1200000</v>
      </c>
      <c r="BT41" s="26">
        <v>1200000</v>
      </c>
      <c r="BU41" s="26">
        <v>1200000</v>
      </c>
      <c r="BV41" s="26">
        <v>1200000</v>
      </c>
      <c r="BW41" s="26">
        <v>1200000</v>
      </c>
      <c r="BX41" s="26">
        <v>1200000</v>
      </c>
      <c r="BY41" s="26">
        <v>1200000</v>
      </c>
      <c r="BZ41" s="26">
        <v>1200000</v>
      </c>
      <c r="CA41" s="26">
        <v>1200000</v>
      </c>
      <c r="CB41" s="26">
        <v>3500000</v>
      </c>
      <c r="CC41" s="26">
        <v>3500000</v>
      </c>
      <c r="CD41" s="26">
        <v>3500000</v>
      </c>
      <c r="CE41" s="26">
        <v>3500000</v>
      </c>
      <c r="CF41" s="26">
        <v>3500000</v>
      </c>
      <c r="CG41" s="26">
        <v>3500000</v>
      </c>
      <c r="CH41" s="26">
        <v>3500000</v>
      </c>
      <c r="CI41" s="26">
        <v>3500000</v>
      </c>
      <c r="CJ41" s="26">
        <v>3500000</v>
      </c>
      <c r="CK41" s="26">
        <v>3500000</v>
      </c>
      <c r="CL41" s="26">
        <v>3500000</v>
      </c>
      <c r="CM41" s="26">
        <v>3500000</v>
      </c>
      <c r="CN41" s="26">
        <v>5007600</v>
      </c>
      <c r="CO41" s="26">
        <v>20</v>
      </c>
      <c r="CP41" s="26">
        <v>5007600</v>
      </c>
      <c r="CQ41" s="26">
        <v>730000</v>
      </c>
      <c r="CR41" s="26">
        <v>500000</v>
      </c>
      <c r="CS41" s="26">
        <v>1200000</v>
      </c>
      <c r="CT41" s="26">
        <v>3500000</v>
      </c>
      <c r="CU41" s="26">
        <v>5930000</v>
      </c>
    </row>
    <row r="42" spans="1:99" x14ac:dyDescent="0.3">
      <c r="A42" s="26">
        <v>4</v>
      </c>
      <c r="B42" s="27" t="s">
        <v>24</v>
      </c>
      <c r="C42" s="27" t="s">
        <v>25</v>
      </c>
      <c r="D42" s="27" t="s">
        <v>26</v>
      </c>
      <c r="E42" s="27" t="s">
        <v>27</v>
      </c>
      <c r="F42" s="26">
        <v>8481561673</v>
      </c>
      <c r="G42" s="27" t="s">
        <v>28</v>
      </c>
      <c r="H42" s="26">
        <v>5007600</v>
      </c>
      <c r="I42" s="26">
        <v>5007600</v>
      </c>
      <c r="J42" s="26">
        <v>5007600</v>
      </c>
      <c r="K42" s="26">
        <v>5007600</v>
      </c>
      <c r="L42" s="26">
        <v>5007600</v>
      </c>
      <c r="M42" s="26">
        <v>5007600</v>
      </c>
      <c r="N42" s="26">
        <v>5007600</v>
      </c>
      <c r="O42" s="26">
        <v>5007600</v>
      </c>
      <c r="P42" s="26">
        <v>5007600</v>
      </c>
      <c r="Q42" s="26">
        <v>5007600</v>
      </c>
      <c r="R42" s="26">
        <v>5007600</v>
      </c>
      <c r="S42" s="26">
        <v>5007600</v>
      </c>
      <c r="T42" s="26">
        <v>5007600</v>
      </c>
      <c r="U42" s="26">
        <v>5007600</v>
      </c>
      <c r="V42" s="26">
        <v>5007600</v>
      </c>
      <c r="W42" s="26">
        <v>5007600</v>
      </c>
      <c r="X42" s="26">
        <v>5007600</v>
      </c>
      <c r="Y42" s="26">
        <v>5007600</v>
      </c>
      <c r="Z42" s="26">
        <v>5007600</v>
      </c>
      <c r="AA42" s="26">
        <v>5007600</v>
      </c>
      <c r="AB42" s="26">
        <v>5007600</v>
      </c>
      <c r="AC42" s="26">
        <v>5007600</v>
      </c>
      <c r="AD42" s="26">
        <v>5007600</v>
      </c>
      <c r="AE42" s="26">
        <v>5007600</v>
      </c>
      <c r="AF42" s="26">
        <v>730000</v>
      </c>
      <c r="AG42" s="26">
        <v>730000</v>
      </c>
      <c r="AH42" s="26">
        <v>730000</v>
      </c>
      <c r="AI42" s="26">
        <v>730000</v>
      </c>
      <c r="AJ42" s="26">
        <v>730000</v>
      </c>
      <c r="AK42" s="26">
        <v>730000</v>
      </c>
      <c r="AL42" s="26">
        <v>730000</v>
      </c>
      <c r="AM42" s="26">
        <v>730000</v>
      </c>
      <c r="AN42" s="26">
        <v>730000</v>
      </c>
      <c r="AO42" s="26">
        <v>730000</v>
      </c>
      <c r="AP42" s="26">
        <v>730000</v>
      </c>
      <c r="AQ42" s="26">
        <v>730000</v>
      </c>
      <c r="AR42" s="26">
        <v>500000</v>
      </c>
      <c r="AS42" s="26">
        <v>500000</v>
      </c>
      <c r="AT42" s="26">
        <v>500000</v>
      </c>
      <c r="AU42" s="26">
        <v>500000</v>
      </c>
      <c r="AV42" s="26">
        <v>500000</v>
      </c>
      <c r="AW42" s="26">
        <v>500000</v>
      </c>
      <c r="AX42" s="26">
        <v>500000</v>
      </c>
      <c r="AY42" s="26">
        <v>500000</v>
      </c>
      <c r="AZ42" s="26">
        <v>500000</v>
      </c>
      <c r="BA42" s="26">
        <v>500000</v>
      </c>
      <c r="BB42" s="26">
        <v>500000</v>
      </c>
      <c r="BC42" s="26">
        <v>500000</v>
      </c>
      <c r="BD42" s="26">
        <v>0</v>
      </c>
      <c r="BE42" s="26">
        <v>0</v>
      </c>
      <c r="BF42" s="26">
        <v>0</v>
      </c>
      <c r="BG42" s="26">
        <v>0</v>
      </c>
      <c r="BH42" s="26">
        <v>0</v>
      </c>
      <c r="BI42" s="26">
        <v>0</v>
      </c>
      <c r="BJ42" s="26">
        <v>0</v>
      </c>
      <c r="BK42" s="26">
        <v>0</v>
      </c>
      <c r="BL42" s="26">
        <v>0</v>
      </c>
      <c r="BM42" s="26">
        <v>0</v>
      </c>
      <c r="BN42" s="26">
        <v>0</v>
      </c>
      <c r="BO42" s="26">
        <v>0</v>
      </c>
      <c r="BP42" s="26">
        <v>1200000</v>
      </c>
      <c r="BQ42" s="26">
        <v>1200000</v>
      </c>
      <c r="BR42" s="26">
        <v>1200000</v>
      </c>
      <c r="BS42" s="26">
        <v>1200000</v>
      </c>
      <c r="BT42" s="26">
        <v>1200000</v>
      </c>
      <c r="BU42" s="26">
        <v>1200000</v>
      </c>
      <c r="BV42" s="26">
        <v>1200000</v>
      </c>
      <c r="BW42" s="26">
        <v>1200000</v>
      </c>
      <c r="BX42" s="26">
        <v>1200000</v>
      </c>
      <c r="BY42" s="26">
        <v>1200000</v>
      </c>
      <c r="BZ42" s="26">
        <v>1200000</v>
      </c>
      <c r="CA42" s="26">
        <v>1200000</v>
      </c>
      <c r="CB42" s="26">
        <v>3500000</v>
      </c>
      <c r="CC42" s="26">
        <v>3500000</v>
      </c>
      <c r="CD42" s="26">
        <v>3500000</v>
      </c>
      <c r="CE42" s="26">
        <v>3500000</v>
      </c>
      <c r="CF42" s="26">
        <v>3500000</v>
      </c>
      <c r="CG42" s="26">
        <v>3500000</v>
      </c>
      <c r="CH42" s="26">
        <v>3500000</v>
      </c>
      <c r="CI42" s="26">
        <v>3500000</v>
      </c>
      <c r="CJ42" s="26">
        <v>3500000</v>
      </c>
      <c r="CK42" s="26">
        <v>3500000</v>
      </c>
      <c r="CL42" s="26">
        <v>3500000</v>
      </c>
      <c r="CM42" s="26">
        <v>3500000</v>
      </c>
      <c r="CN42" s="26">
        <v>5007600</v>
      </c>
      <c r="CO42" s="26">
        <v>20</v>
      </c>
      <c r="CP42" s="26">
        <v>5007600</v>
      </c>
      <c r="CQ42" s="26">
        <v>730000</v>
      </c>
      <c r="CR42" s="26">
        <v>500000</v>
      </c>
      <c r="CS42" s="26">
        <v>1200000</v>
      </c>
      <c r="CT42" s="26">
        <v>3500000</v>
      </c>
      <c r="CU42" s="26">
        <v>5930000</v>
      </c>
    </row>
    <row r="43" spans="1:99" x14ac:dyDescent="0.3">
      <c r="A43" s="26">
        <v>4</v>
      </c>
      <c r="B43" s="27" t="s">
        <v>24</v>
      </c>
      <c r="C43" s="27" t="s">
        <v>25</v>
      </c>
      <c r="D43" s="27" t="s">
        <v>26</v>
      </c>
      <c r="E43" s="27" t="s">
        <v>27</v>
      </c>
      <c r="F43" s="26">
        <v>8481561673</v>
      </c>
      <c r="G43" s="27" t="s">
        <v>28</v>
      </c>
      <c r="H43" s="26">
        <v>5007600</v>
      </c>
      <c r="I43" s="26">
        <v>5007600</v>
      </c>
      <c r="J43" s="26">
        <v>5007600</v>
      </c>
      <c r="K43" s="26">
        <v>5007600</v>
      </c>
      <c r="L43" s="26">
        <v>5007600</v>
      </c>
      <c r="M43" s="26">
        <v>5007600</v>
      </c>
      <c r="N43" s="26">
        <v>5007600</v>
      </c>
      <c r="O43" s="26">
        <v>5007600</v>
      </c>
      <c r="P43" s="26">
        <v>5007600</v>
      </c>
      <c r="Q43" s="26">
        <v>5007600</v>
      </c>
      <c r="R43" s="26">
        <v>5007600</v>
      </c>
      <c r="S43" s="26">
        <v>5007600</v>
      </c>
      <c r="T43" s="26">
        <v>5007600</v>
      </c>
      <c r="U43" s="26">
        <v>5007600</v>
      </c>
      <c r="V43" s="26">
        <v>5007600</v>
      </c>
      <c r="W43" s="26">
        <v>5007600</v>
      </c>
      <c r="X43" s="26">
        <v>5007600</v>
      </c>
      <c r="Y43" s="26">
        <v>5007600</v>
      </c>
      <c r="Z43" s="26">
        <v>5007600</v>
      </c>
      <c r="AA43" s="26">
        <v>5007600</v>
      </c>
      <c r="AB43" s="26">
        <v>5007600</v>
      </c>
      <c r="AC43" s="26">
        <v>5007600</v>
      </c>
      <c r="AD43" s="26">
        <v>5007600</v>
      </c>
      <c r="AE43" s="26">
        <v>5007600</v>
      </c>
      <c r="AF43" s="26">
        <v>730000</v>
      </c>
      <c r="AG43" s="26">
        <v>730000</v>
      </c>
      <c r="AH43" s="26">
        <v>730000</v>
      </c>
      <c r="AI43" s="26">
        <v>730000</v>
      </c>
      <c r="AJ43" s="26">
        <v>730000</v>
      </c>
      <c r="AK43" s="26">
        <v>730000</v>
      </c>
      <c r="AL43" s="26">
        <v>730000</v>
      </c>
      <c r="AM43" s="26">
        <v>730000</v>
      </c>
      <c r="AN43" s="26">
        <v>730000</v>
      </c>
      <c r="AO43" s="26">
        <v>730000</v>
      </c>
      <c r="AP43" s="26">
        <v>730000</v>
      </c>
      <c r="AQ43" s="26">
        <v>730000</v>
      </c>
      <c r="AR43" s="26">
        <v>500000</v>
      </c>
      <c r="AS43" s="26">
        <v>500000</v>
      </c>
      <c r="AT43" s="26">
        <v>500000</v>
      </c>
      <c r="AU43" s="26">
        <v>500000</v>
      </c>
      <c r="AV43" s="26">
        <v>500000</v>
      </c>
      <c r="AW43" s="26">
        <v>500000</v>
      </c>
      <c r="AX43" s="26">
        <v>500000</v>
      </c>
      <c r="AY43" s="26">
        <v>500000</v>
      </c>
      <c r="AZ43" s="26">
        <v>500000</v>
      </c>
      <c r="BA43" s="26">
        <v>500000</v>
      </c>
      <c r="BB43" s="26">
        <v>500000</v>
      </c>
      <c r="BC43" s="26">
        <v>500000</v>
      </c>
      <c r="BD43" s="26">
        <v>0</v>
      </c>
      <c r="BE43" s="26">
        <v>0</v>
      </c>
      <c r="BF43" s="26">
        <v>0</v>
      </c>
      <c r="BG43" s="26">
        <v>0</v>
      </c>
      <c r="BH43" s="26">
        <v>0</v>
      </c>
      <c r="BI43" s="26">
        <v>0</v>
      </c>
      <c r="BJ43" s="26">
        <v>0</v>
      </c>
      <c r="BK43" s="26">
        <v>0</v>
      </c>
      <c r="BL43" s="26">
        <v>0</v>
      </c>
      <c r="BM43" s="26">
        <v>0</v>
      </c>
      <c r="BN43" s="26">
        <v>0</v>
      </c>
      <c r="BO43" s="26">
        <v>0</v>
      </c>
      <c r="BP43" s="26">
        <v>1200000</v>
      </c>
      <c r="BQ43" s="26">
        <v>1200000</v>
      </c>
      <c r="BR43" s="26">
        <v>1200000</v>
      </c>
      <c r="BS43" s="26">
        <v>1200000</v>
      </c>
      <c r="BT43" s="26">
        <v>1200000</v>
      </c>
      <c r="BU43" s="26">
        <v>1200000</v>
      </c>
      <c r="BV43" s="26">
        <v>1200000</v>
      </c>
      <c r="BW43" s="26">
        <v>1200000</v>
      </c>
      <c r="BX43" s="26">
        <v>1200000</v>
      </c>
      <c r="BY43" s="26">
        <v>1200000</v>
      </c>
      <c r="BZ43" s="26">
        <v>1200000</v>
      </c>
      <c r="CA43" s="26">
        <v>1200000</v>
      </c>
      <c r="CB43" s="26">
        <v>3500000</v>
      </c>
      <c r="CC43" s="26">
        <v>3500000</v>
      </c>
      <c r="CD43" s="26">
        <v>3500000</v>
      </c>
      <c r="CE43" s="26">
        <v>3500000</v>
      </c>
      <c r="CF43" s="26">
        <v>3500000</v>
      </c>
      <c r="CG43" s="26">
        <v>3500000</v>
      </c>
      <c r="CH43" s="26">
        <v>3500000</v>
      </c>
      <c r="CI43" s="26">
        <v>3500000</v>
      </c>
      <c r="CJ43" s="26">
        <v>3500000</v>
      </c>
      <c r="CK43" s="26">
        <v>3500000</v>
      </c>
      <c r="CL43" s="26">
        <v>3500000</v>
      </c>
      <c r="CM43" s="26">
        <v>3500000</v>
      </c>
      <c r="CN43" s="26">
        <v>5007600</v>
      </c>
      <c r="CO43" s="26">
        <v>23</v>
      </c>
      <c r="CP43" s="26">
        <v>5007600</v>
      </c>
      <c r="CQ43" s="26">
        <v>730000</v>
      </c>
      <c r="CR43" s="26">
        <v>500000</v>
      </c>
      <c r="CS43" s="26">
        <v>1200000</v>
      </c>
      <c r="CT43" s="26">
        <v>3500000</v>
      </c>
      <c r="CU43" s="26">
        <v>5930000</v>
      </c>
    </row>
    <row r="44" spans="1:99" x14ac:dyDescent="0.3">
      <c r="A44" s="26">
        <v>4</v>
      </c>
      <c r="B44" s="27" t="s">
        <v>24</v>
      </c>
      <c r="C44" s="27" t="s">
        <v>25</v>
      </c>
      <c r="D44" s="27" t="s">
        <v>26</v>
      </c>
      <c r="E44" s="27" t="s">
        <v>27</v>
      </c>
      <c r="F44" s="26">
        <v>8481561673</v>
      </c>
      <c r="G44" s="27" t="s">
        <v>28</v>
      </c>
      <c r="H44" s="26">
        <v>5007600</v>
      </c>
      <c r="I44" s="26">
        <v>5007600</v>
      </c>
      <c r="J44" s="26">
        <v>5007600</v>
      </c>
      <c r="K44" s="26">
        <v>5007600</v>
      </c>
      <c r="L44" s="26">
        <v>5007600</v>
      </c>
      <c r="M44" s="26">
        <v>5007600</v>
      </c>
      <c r="N44" s="26">
        <v>5007600</v>
      </c>
      <c r="O44" s="26">
        <v>5007600</v>
      </c>
      <c r="P44" s="26">
        <v>5007600</v>
      </c>
      <c r="Q44" s="26">
        <v>5007600</v>
      </c>
      <c r="R44" s="26">
        <v>5007600</v>
      </c>
      <c r="S44" s="26">
        <v>5007600</v>
      </c>
      <c r="T44" s="26">
        <v>5007600</v>
      </c>
      <c r="U44" s="26">
        <v>5007600</v>
      </c>
      <c r="V44" s="26">
        <v>5007600</v>
      </c>
      <c r="W44" s="26">
        <v>5007600</v>
      </c>
      <c r="X44" s="26">
        <v>5007600</v>
      </c>
      <c r="Y44" s="26">
        <v>5007600</v>
      </c>
      <c r="Z44" s="26">
        <v>5007600</v>
      </c>
      <c r="AA44" s="26">
        <v>5007600</v>
      </c>
      <c r="AB44" s="26">
        <v>5007600</v>
      </c>
      <c r="AC44" s="26">
        <v>5007600</v>
      </c>
      <c r="AD44" s="26">
        <v>5007600</v>
      </c>
      <c r="AE44" s="26">
        <v>5007600</v>
      </c>
      <c r="AF44" s="26">
        <v>730000</v>
      </c>
      <c r="AG44" s="26">
        <v>730000</v>
      </c>
      <c r="AH44" s="26">
        <v>730000</v>
      </c>
      <c r="AI44" s="26">
        <v>730000</v>
      </c>
      <c r="AJ44" s="26">
        <v>730000</v>
      </c>
      <c r="AK44" s="26">
        <v>730000</v>
      </c>
      <c r="AL44" s="26">
        <v>730000</v>
      </c>
      <c r="AM44" s="26">
        <v>730000</v>
      </c>
      <c r="AN44" s="26">
        <v>730000</v>
      </c>
      <c r="AO44" s="26">
        <v>730000</v>
      </c>
      <c r="AP44" s="26">
        <v>730000</v>
      </c>
      <c r="AQ44" s="26">
        <v>730000</v>
      </c>
      <c r="AR44" s="26">
        <v>500000</v>
      </c>
      <c r="AS44" s="26">
        <v>500000</v>
      </c>
      <c r="AT44" s="26">
        <v>500000</v>
      </c>
      <c r="AU44" s="26">
        <v>500000</v>
      </c>
      <c r="AV44" s="26">
        <v>500000</v>
      </c>
      <c r="AW44" s="26">
        <v>500000</v>
      </c>
      <c r="AX44" s="26">
        <v>500000</v>
      </c>
      <c r="AY44" s="26">
        <v>500000</v>
      </c>
      <c r="AZ44" s="26">
        <v>500000</v>
      </c>
      <c r="BA44" s="26">
        <v>500000</v>
      </c>
      <c r="BB44" s="26">
        <v>500000</v>
      </c>
      <c r="BC44" s="26">
        <v>500000</v>
      </c>
      <c r="BD44" s="26">
        <v>0</v>
      </c>
      <c r="BE44" s="26">
        <v>0</v>
      </c>
      <c r="BF44" s="26">
        <v>0</v>
      </c>
      <c r="BG44" s="26">
        <v>0</v>
      </c>
      <c r="BH44" s="26">
        <v>0</v>
      </c>
      <c r="BI44" s="26">
        <v>0</v>
      </c>
      <c r="BJ44" s="26">
        <v>0</v>
      </c>
      <c r="BK44" s="26">
        <v>0</v>
      </c>
      <c r="BL44" s="26">
        <v>0</v>
      </c>
      <c r="BM44" s="26">
        <v>0</v>
      </c>
      <c r="BN44" s="26">
        <v>0</v>
      </c>
      <c r="BO44" s="26">
        <v>0</v>
      </c>
      <c r="BP44" s="26">
        <v>1200000</v>
      </c>
      <c r="BQ44" s="26">
        <v>1200000</v>
      </c>
      <c r="BR44" s="26">
        <v>1200000</v>
      </c>
      <c r="BS44" s="26">
        <v>1200000</v>
      </c>
      <c r="BT44" s="26">
        <v>1200000</v>
      </c>
      <c r="BU44" s="26">
        <v>1200000</v>
      </c>
      <c r="BV44" s="26">
        <v>1200000</v>
      </c>
      <c r="BW44" s="26">
        <v>1200000</v>
      </c>
      <c r="BX44" s="26">
        <v>1200000</v>
      </c>
      <c r="BY44" s="26">
        <v>1200000</v>
      </c>
      <c r="BZ44" s="26">
        <v>1200000</v>
      </c>
      <c r="CA44" s="26">
        <v>1200000</v>
      </c>
      <c r="CB44" s="26">
        <v>3500000</v>
      </c>
      <c r="CC44" s="26">
        <v>3500000</v>
      </c>
      <c r="CD44" s="26">
        <v>3500000</v>
      </c>
      <c r="CE44" s="26">
        <v>3500000</v>
      </c>
      <c r="CF44" s="26">
        <v>3500000</v>
      </c>
      <c r="CG44" s="26">
        <v>3500000</v>
      </c>
      <c r="CH44" s="26">
        <v>3500000</v>
      </c>
      <c r="CI44" s="26">
        <v>3500000</v>
      </c>
      <c r="CJ44" s="26">
        <v>3500000</v>
      </c>
      <c r="CK44" s="26">
        <v>3500000</v>
      </c>
      <c r="CL44" s="26">
        <v>3500000</v>
      </c>
      <c r="CM44" s="26">
        <v>3500000</v>
      </c>
      <c r="CN44" s="26">
        <v>5007600</v>
      </c>
      <c r="CO44" s="26">
        <v>22</v>
      </c>
      <c r="CP44" s="26">
        <v>5007600</v>
      </c>
      <c r="CQ44" s="26">
        <v>730000</v>
      </c>
      <c r="CR44" s="26">
        <v>500000</v>
      </c>
      <c r="CS44" s="26">
        <v>1200000</v>
      </c>
      <c r="CT44" s="26">
        <v>3500000</v>
      </c>
      <c r="CU44" s="26">
        <v>5930000</v>
      </c>
    </row>
    <row r="45" spans="1:99" x14ac:dyDescent="0.3">
      <c r="A45" s="26">
        <v>4</v>
      </c>
      <c r="B45" s="27" t="s">
        <v>24</v>
      </c>
      <c r="C45" s="27" t="s">
        <v>25</v>
      </c>
      <c r="D45" s="27" t="s">
        <v>26</v>
      </c>
      <c r="E45" s="27" t="s">
        <v>27</v>
      </c>
      <c r="F45" s="26">
        <v>8481561673</v>
      </c>
      <c r="G45" s="27" t="s">
        <v>28</v>
      </c>
      <c r="H45" s="26">
        <v>5007600</v>
      </c>
      <c r="I45" s="26">
        <v>5007600</v>
      </c>
      <c r="J45" s="26">
        <v>5007600</v>
      </c>
      <c r="K45" s="26">
        <v>5007600</v>
      </c>
      <c r="L45" s="26">
        <v>5007600</v>
      </c>
      <c r="M45" s="26">
        <v>5007600</v>
      </c>
      <c r="N45" s="26">
        <v>5007600</v>
      </c>
      <c r="O45" s="26">
        <v>5007600</v>
      </c>
      <c r="P45" s="26">
        <v>5007600</v>
      </c>
      <c r="Q45" s="26">
        <v>5007600</v>
      </c>
      <c r="R45" s="26">
        <v>5007600</v>
      </c>
      <c r="S45" s="26">
        <v>5007600</v>
      </c>
      <c r="T45" s="26">
        <v>5007600</v>
      </c>
      <c r="U45" s="26">
        <v>5007600</v>
      </c>
      <c r="V45" s="26">
        <v>5007600</v>
      </c>
      <c r="W45" s="26">
        <v>5007600</v>
      </c>
      <c r="X45" s="26">
        <v>5007600</v>
      </c>
      <c r="Y45" s="26">
        <v>5007600</v>
      </c>
      <c r="Z45" s="26">
        <v>5007600</v>
      </c>
      <c r="AA45" s="26">
        <v>5007600</v>
      </c>
      <c r="AB45" s="26">
        <v>5007600</v>
      </c>
      <c r="AC45" s="26">
        <v>5007600</v>
      </c>
      <c r="AD45" s="26">
        <v>5007600</v>
      </c>
      <c r="AE45" s="26">
        <v>5007600</v>
      </c>
      <c r="AF45" s="26">
        <v>730000</v>
      </c>
      <c r="AG45" s="26">
        <v>730000</v>
      </c>
      <c r="AH45" s="26">
        <v>730000</v>
      </c>
      <c r="AI45" s="26">
        <v>730000</v>
      </c>
      <c r="AJ45" s="26">
        <v>730000</v>
      </c>
      <c r="AK45" s="26">
        <v>730000</v>
      </c>
      <c r="AL45" s="26">
        <v>730000</v>
      </c>
      <c r="AM45" s="26">
        <v>730000</v>
      </c>
      <c r="AN45" s="26">
        <v>730000</v>
      </c>
      <c r="AO45" s="26">
        <v>730000</v>
      </c>
      <c r="AP45" s="26">
        <v>730000</v>
      </c>
      <c r="AQ45" s="26">
        <v>730000</v>
      </c>
      <c r="AR45" s="26">
        <v>500000</v>
      </c>
      <c r="AS45" s="26">
        <v>500000</v>
      </c>
      <c r="AT45" s="26">
        <v>500000</v>
      </c>
      <c r="AU45" s="26">
        <v>500000</v>
      </c>
      <c r="AV45" s="26">
        <v>500000</v>
      </c>
      <c r="AW45" s="26">
        <v>500000</v>
      </c>
      <c r="AX45" s="26">
        <v>500000</v>
      </c>
      <c r="AY45" s="26">
        <v>500000</v>
      </c>
      <c r="AZ45" s="26">
        <v>500000</v>
      </c>
      <c r="BA45" s="26">
        <v>500000</v>
      </c>
      <c r="BB45" s="26">
        <v>500000</v>
      </c>
      <c r="BC45" s="26">
        <v>500000</v>
      </c>
      <c r="BD45" s="26">
        <v>0</v>
      </c>
      <c r="BE45" s="26">
        <v>0</v>
      </c>
      <c r="BF45" s="26">
        <v>0</v>
      </c>
      <c r="BG45" s="26">
        <v>0</v>
      </c>
      <c r="BH45" s="26">
        <v>0</v>
      </c>
      <c r="BI45" s="26">
        <v>0</v>
      </c>
      <c r="BJ45" s="26">
        <v>0</v>
      </c>
      <c r="BK45" s="26">
        <v>0</v>
      </c>
      <c r="BL45" s="26">
        <v>0</v>
      </c>
      <c r="BM45" s="26">
        <v>0</v>
      </c>
      <c r="BN45" s="26">
        <v>0</v>
      </c>
      <c r="BO45" s="26">
        <v>0</v>
      </c>
      <c r="BP45" s="26">
        <v>1200000</v>
      </c>
      <c r="BQ45" s="26">
        <v>1200000</v>
      </c>
      <c r="BR45" s="26">
        <v>1200000</v>
      </c>
      <c r="BS45" s="26">
        <v>1200000</v>
      </c>
      <c r="BT45" s="26">
        <v>1200000</v>
      </c>
      <c r="BU45" s="26">
        <v>1200000</v>
      </c>
      <c r="BV45" s="26">
        <v>1200000</v>
      </c>
      <c r="BW45" s="26">
        <v>1200000</v>
      </c>
      <c r="BX45" s="26">
        <v>1200000</v>
      </c>
      <c r="BY45" s="26">
        <v>1200000</v>
      </c>
      <c r="BZ45" s="26">
        <v>1200000</v>
      </c>
      <c r="CA45" s="26">
        <v>1200000</v>
      </c>
      <c r="CB45" s="26">
        <v>3500000</v>
      </c>
      <c r="CC45" s="26">
        <v>3500000</v>
      </c>
      <c r="CD45" s="26">
        <v>3500000</v>
      </c>
      <c r="CE45" s="26">
        <v>3500000</v>
      </c>
      <c r="CF45" s="26">
        <v>3500000</v>
      </c>
      <c r="CG45" s="26">
        <v>3500000</v>
      </c>
      <c r="CH45" s="26">
        <v>3500000</v>
      </c>
      <c r="CI45" s="26">
        <v>3500000</v>
      </c>
      <c r="CJ45" s="26">
        <v>3500000</v>
      </c>
      <c r="CK45" s="26">
        <v>3500000</v>
      </c>
      <c r="CL45" s="26">
        <v>3500000</v>
      </c>
      <c r="CM45" s="26">
        <v>3500000</v>
      </c>
      <c r="CN45" s="26">
        <v>5007600</v>
      </c>
      <c r="CO45" s="26">
        <v>23</v>
      </c>
      <c r="CP45" s="26">
        <v>5007600</v>
      </c>
      <c r="CQ45" s="26">
        <v>730000</v>
      </c>
      <c r="CR45" s="26">
        <v>500000</v>
      </c>
      <c r="CS45" s="26">
        <v>1200000</v>
      </c>
      <c r="CT45" s="26">
        <v>3500000</v>
      </c>
      <c r="CU45" s="26">
        <v>5930000</v>
      </c>
    </row>
    <row r="46" spans="1:99" x14ac:dyDescent="0.3">
      <c r="A46" s="26">
        <v>4</v>
      </c>
      <c r="B46" s="27" t="s">
        <v>24</v>
      </c>
      <c r="C46" s="27" t="s">
        <v>25</v>
      </c>
      <c r="D46" s="27" t="s">
        <v>26</v>
      </c>
      <c r="E46" s="27" t="s">
        <v>27</v>
      </c>
      <c r="F46" s="26">
        <v>8481561673</v>
      </c>
      <c r="G46" s="27" t="s">
        <v>28</v>
      </c>
      <c r="H46" s="26">
        <v>5007600</v>
      </c>
      <c r="I46" s="26">
        <v>5007600</v>
      </c>
      <c r="J46" s="26">
        <v>5007600</v>
      </c>
      <c r="K46" s="26">
        <v>5007600</v>
      </c>
      <c r="L46" s="26">
        <v>5007600</v>
      </c>
      <c r="M46" s="26">
        <v>5007600</v>
      </c>
      <c r="N46" s="26">
        <v>5007600</v>
      </c>
      <c r="O46" s="26">
        <v>5007600</v>
      </c>
      <c r="P46" s="26">
        <v>5007600</v>
      </c>
      <c r="Q46" s="26">
        <v>5007600</v>
      </c>
      <c r="R46" s="26">
        <v>5007600</v>
      </c>
      <c r="S46" s="26">
        <v>5007600</v>
      </c>
      <c r="T46" s="26">
        <v>5007600</v>
      </c>
      <c r="U46" s="26">
        <v>5007600</v>
      </c>
      <c r="V46" s="26">
        <v>5007600</v>
      </c>
      <c r="W46" s="26">
        <v>5007600</v>
      </c>
      <c r="X46" s="26">
        <v>5007600</v>
      </c>
      <c r="Y46" s="26">
        <v>5007600</v>
      </c>
      <c r="Z46" s="26">
        <v>5007600</v>
      </c>
      <c r="AA46" s="26">
        <v>5007600</v>
      </c>
      <c r="AB46" s="26">
        <v>5007600</v>
      </c>
      <c r="AC46" s="26">
        <v>5007600</v>
      </c>
      <c r="AD46" s="26">
        <v>5007600</v>
      </c>
      <c r="AE46" s="26">
        <v>5007600</v>
      </c>
      <c r="AF46" s="26">
        <v>730000</v>
      </c>
      <c r="AG46" s="26">
        <v>730000</v>
      </c>
      <c r="AH46" s="26">
        <v>730000</v>
      </c>
      <c r="AI46" s="26">
        <v>730000</v>
      </c>
      <c r="AJ46" s="26">
        <v>730000</v>
      </c>
      <c r="AK46" s="26">
        <v>730000</v>
      </c>
      <c r="AL46" s="26">
        <v>730000</v>
      </c>
      <c r="AM46" s="26">
        <v>730000</v>
      </c>
      <c r="AN46" s="26">
        <v>730000</v>
      </c>
      <c r="AO46" s="26">
        <v>730000</v>
      </c>
      <c r="AP46" s="26">
        <v>730000</v>
      </c>
      <c r="AQ46" s="26">
        <v>730000</v>
      </c>
      <c r="AR46" s="26">
        <v>500000</v>
      </c>
      <c r="AS46" s="26">
        <v>500000</v>
      </c>
      <c r="AT46" s="26">
        <v>500000</v>
      </c>
      <c r="AU46" s="26">
        <v>500000</v>
      </c>
      <c r="AV46" s="26">
        <v>500000</v>
      </c>
      <c r="AW46" s="26">
        <v>500000</v>
      </c>
      <c r="AX46" s="26">
        <v>500000</v>
      </c>
      <c r="AY46" s="26">
        <v>500000</v>
      </c>
      <c r="AZ46" s="26">
        <v>500000</v>
      </c>
      <c r="BA46" s="26">
        <v>500000</v>
      </c>
      <c r="BB46" s="26">
        <v>500000</v>
      </c>
      <c r="BC46" s="26">
        <v>500000</v>
      </c>
      <c r="BD46" s="26">
        <v>0</v>
      </c>
      <c r="BE46" s="26">
        <v>0</v>
      </c>
      <c r="BF46" s="26">
        <v>0</v>
      </c>
      <c r="BG46" s="26">
        <v>0</v>
      </c>
      <c r="BH46" s="26">
        <v>0</v>
      </c>
      <c r="BI46" s="26">
        <v>0</v>
      </c>
      <c r="BJ46" s="26">
        <v>0</v>
      </c>
      <c r="BK46" s="26">
        <v>0</v>
      </c>
      <c r="BL46" s="26">
        <v>0</v>
      </c>
      <c r="BM46" s="26">
        <v>0</v>
      </c>
      <c r="BN46" s="26">
        <v>0</v>
      </c>
      <c r="BO46" s="26">
        <v>0</v>
      </c>
      <c r="BP46" s="26">
        <v>1200000</v>
      </c>
      <c r="BQ46" s="26">
        <v>1200000</v>
      </c>
      <c r="BR46" s="26">
        <v>1200000</v>
      </c>
      <c r="BS46" s="26">
        <v>1200000</v>
      </c>
      <c r="BT46" s="26">
        <v>1200000</v>
      </c>
      <c r="BU46" s="26">
        <v>1200000</v>
      </c>
      <c r="BV46" s="26">
        <v>1200000</v>
      </c>
      <c r="BW46" s="26">
        <v>1200000</v>
      </c>
      <c r="BX46" s="26">
        <v>1200000</v>
      </c>
      <c r="BY46" s="26">
        <v>1200000</v>
      </c>
      <c r="BZ46" s="26">
        <v>1200000</v>
      </c>
      <c r="CA46" s="26">
        <v>1200000</v>
      </c>
      <c r="CB46" s="26">
        <v>3500000</v>
      </c>
      <c r="CC46" s="26">
        <v>3500000</v>
      </c>
      <c r="CD46" s="26">
        <v>3500000</v>
      </c>
      <c r="CE46" s="26">
        <v>3500000</v>
      </c>
      <c r="CF46" s="26">
        <v>3500000</v>
      </c>
      <c r="CG46" s="26">
        <v>3500000</v>
      </c>
      <c r="CH46" s="26">
        <v>3500000</v>
      </c>
      <c r="CI46" s="26">
        <v>3500000</v>
      </c>
      <c r="CJ46" s="26">
        <v>3500000</v>
      </c>
      <c r="CK46" s="26">
        <v>3500000</v>
      </c>
      <c r="CL46" s="26">
        <v>3500000</v>
      </c>
      <c r="CM46" s="26">
        <v>3500000</v>
      </c>
      <c r="CN46" s="26">
        <v>5007600</v>
      </c>
      <c r="CO46" s="26">
        <v>22</v>
      </c>
      <c r="CP46" s="26">
        <v>5007600</v>
      </c>
      <c r="CQ46" s="26">
        <v>730000</v>
      </c>
      <c r="CR46" s="26">
        <v>500000</v>
      </c>
      <c r="CS46" s="26">
        <v>1200000</v>
      </c>
      <c r="CT46" s="26">
        <v>3500000</v>
      </c>
      <c r="CU46" s="26">
        <v>5930000</v>
      </c>
    </row>
    <row r="47" spans="1:99" x14ac:dyDescent="0.3">
      <c r="A47" s="26">
        <v>4</v>
      </c>
      <c r="B47" s="27" t="s">
        <v>24</v>
      </c>
      <c r="C47" s="27" t="s">
        <v>25</v>
      </c>
      <c r="D47" s="27" t="s">
        <v>26</v>
      </c>
      <c r="E47" s="27" t="s">
        <v>27</v>
      </c>
      <c r="F47" s="26">
        <v>8481561673</v>
      </c>
      <c r="G47" s="27" t="s">
        <v>28</v>
      </c>
      <c r="H47" s="26">
        <v>5007600</v>
      </c>
      <c r="I47" s="26">
        <v>5007600</v>
      </c>
      <c r="J47" s="26">
        <v>5007600</v>
      </c>
      <c r="K47" s="26">
        <v>5007600</v>
      </c>
      <c r="L47" s="26">
        <v>5007600</v>
      </c>
      <c r="M47" s="26">
        <v>5007600</v>
      </c>
      <c r="N47" s="26">
        <v>5007600</v>
      </c>
      <c r="O47" s="26">
        <v>5007600</v>
      </c>
      <c r="P47" s="26">
        <v>5007600</v>
      </c>
      <c r="Q47" s="26">
        <v>5007600</v>
      </c>
      <c r="R47" s="26">
        <v>5007600</v>
      </c>
      <c r="S47" s="26">
        <v>5007600</v>
      </c>
      <c r="T47" s="26">
        <v>5007600</v>
      </c>
      <c r="U47" s="26">
        <v>5007600</v>
      </c>
      <c r="V47" s="26">
        <v>5007600</v>
      </c>
      <c r="W47" s="26">
        <v>5007600</v>
      </c>
      <c r="X47" s="26">
        <v>5007600</v>
      </c>
      <c r="Y47" s="26">
        <v>5007600</v>
      </c>
      <c r="Z47" s="26">
        <v>5007600</v>
      </c>
      <c r="AA47" s="26">
        <v>5007600</v>
      </c>
      <c r="AB47" s="26">
        <v>5007600</v>
      </c>
      <c r="AC47" s="26">
        <v>5007600</v>
      </c>
      <c r="AD47" s="26">
        <v>5007600</v>
      </c>
      <c r="AE47" s="26">
        <v>5007600</v>
      </c>
      <c r="AF47" s="26">
        <v>730000</v>
      </c>
      <c r="AG47" s="26">
        <v>730000</v>
      </c>
      <c r="AH47" s="26">
        <v>730000</v>
      </c>
      <c r="AI47" s="26">
        <v>730000</v>
      </c>
      <c r="AJ47" s="26">
        <v>730000</v>
      </c>
      <c r="AK47" s="26">
        <v>730000</v>
      </c>
      <c r="AL47" s="26">
        <v>730000</v>
      </c>
      <c r="AM47" s="26">
        <v>730000</v>
      </c>
      <c r="AN47" s="26">
        <v>730000</v>
      </c>
      <c r="AO47" s="26">
        <v>730000</v>
      </c>
      <c r="AP47" s="26">
        <v>730000</v>
      </c>
      <c r="AQ47" s="26">
        <v>730000</v>
      </c>
      <c r="AR47" s="26">
        <v>500000</v>
      </c>
      <c r="AS47" s="26">
        <v>500000</v>
      </c>
      <c r="AT47" s="26">
        <v>500000</v>
      </c>
      <c r="AU47" s="26">
        <v>500000</v>
      </c>
      <c r="AV47" s="26">
        <v>500000</v>
      </c>
      <c r="AW47" s="26">
        <v>500000</v>
      </c>
      <c r="AX47" s="26">
        <v>500000</v>
      </c>
      <c r="AY47" s="26">
        <v>500000</v>
      </c>
      <c r="AZ47" s="26">
        <v>500000</v>
      </c>
      <c r="BA47" s="26">
        <v>500000</v>
      </c>
      <c r="BB47" s="26">
        <v>500000</v>
      </c>
      <c r="BC47" s="26">
        <v>500000</v>
      </c>
      <c r="BD47" s="26">
        <v>0</v>
      </c>
      <c r="BE47" s="26">
        <v>0</v>
      </c>
      <c r="BF47" s="26">
        <v>0</v>
      </c>
      <c r="BG47" s="26">
        <v>0</v>
      </c>
      <c r="BH47" s="26">
        <v>0</v>
      </c>
      <c r="BI47" s="26">
        <v>0</v>
      </c>
      <c r="BJ47" s="26">
        <v>0</v>
      </c>
      <c r="BK47" s="26">
        <v>0</v>
      </c>
      <c r="BL47" s="26">
        <v>0</v>
      </c>
      <c r="BM47" s="26">
        <v>0</v>
      </c>
      <c r="BN47" s="26">
        <v>0</v>
      </c>
      <c r="BO47" s="26">
        <v>0</v>
      </c>
      <c r="BP47" s="26">
        <v>1200000</v>
      </c>
      <c r="BQ47" s="26">
        <v>1200000</v>
      </c>
      <c r="BR47" s="26">
        <v>1200000</v>
      </c>
      <c r="BS47" s="26">
        <v>1200000</v>
      </c>
      <c r="BT47" s="26">
        <v>1200000</v>
      </c>
      <c r="BU47" s="26">
        <v>1200000</v>
      </c>
      <c r="BV47" s="26">
        <v>1200000</v>
      </c>
      <c r="BW47" s="26">
        <v>1200000</v>
      </c>
      <c r="BX47" s="26">
        <v>1200000</v>
      </c>
      <c r="BY47" s="26">
        <v>1200000</v>
      </c>
      <c r="BZ47" s="26">
        <v>1200000</v>
      </c>
      <c r="CA47" s="26">
        <v>1200000</v>
      </c>
      <c r="CB47" s="26">
        <v>3500000</v>
      </c>
      <c r="CC47" s="26">
        <v>3500000</v>
      </c>
      <c r="CD47" s="26">
        <v>3500000</v>
      </c>
      <c r="CE47" s="26">
        <v>3500000</v>
      </c>
      <c r="CF47" s="26">
        <v>3500000</v>
      </c>
      <c r="CG47" s="26">
        <v>3500000</v>
      </c>
      <c r="CH47" s="26">
        <v>3500000</v>
      </c>
      <c r="CI47" s="26">
        <v>3500000</v>
      </c>
      <c r="CJ47" s="26">
        <v>3500000</v>
      </c>
      <c r="CK47" s="26">
        <v>3500000</v>
      </c>
      <c r="CL47" s="26">
        <v>3500000</v>
      </c>
      <c r="CM47" s="26">
        <v>3500000</v>
      </c>
      <c r="CN47" s="26">
        <v>5007600</v>
      </c>
      <c r="CO47" s="26">
        <v>21</v>
      </c>
      <c r="CP47" s="26">
        <v>5007600</v>
      </c>
      <c r="CQ47" s="26">
        <v>730000</v>
      </c>
      <c r="CR47" s="26">
        <v>500000</v>
      </c>
      <c r="CS47" s="26">
        <v>1200000</v>
      </c>
      <c r="CT47" s="26">
        <v>3500000</v>
      </c>
      <c r="CU47" s="26">
        <v>5930000</v>
      </c>
    </row>
    <row r="48" spans="1:99" x14ac:dyDescent="0.3">
      <c r="A48" s="26">
        <v>4</v>
      </c>
      <c r="B48" s="27" t="s">
        <v>24</v>
      </c>
      <c r="C48" s="27" t="s">
        <v>25</v>
      </c>
      <c r="D48" s="27" t="s">
        <v>26</v>
      </c>
      <c r="E48" s="27" t="s">
        <v>27</v>
      </c>
      <c r="F48" s="26">
        <v>8481561673</v>
      </c>
      <c r="G48" s="27" t="s">
        <v>28</v>
      </c>
      <c r="H48" s="26">
        <v>5007600</v>
      </c>
      <c r="I48" s="26">
        <v>5007600</v>
      </c>
      <c r="J48" s="26">
        <v>5007600</v>
      </c>
      <c r="K48" s="26">
        <v>5007600</v>
      </c>
      <c r="L48" s="26">
        <v>5007600</v>
      </c>
      <c r="M48" s="26">
        <v>5007600</v>
      </c>
      <c r="N48" s="26">
        <v>5007600</v>
      </c>
      <c r="O48" s="26">
        <v>5007600</v>
      </c>
      <c r="P48" s="26">
        <v>5007600</v>
      </c>
      <c r="Q48" s="26">
        <v>5007600</v>
      </c>
      <c r="R48" s="26">
        <v>5007600</v>
      </c>
      <c r="S48" s="26">
        <v>5007600</v>
      </c>
      <c r="T48" s="26">
        <v>5007600</v>
      </c>
      <c r="U48" s="26">
        <v>5007600</v>
      </c>
      <c r="V48" s="26">
        <v>5007600</v>
      </c>
      <c r="W48" s="26">
        <v>5007600</v>
      </c>
      <c r="X48" s="26">
        <v>5007600</v>
      </c>
      <c r="Y48" s="26">
        <v>5007600</v>
      </c>
      <c r="Z48" s="26">
        <v>5007600</v>
      </c>
      <c r="AA48" s="26">
        <v>5007600</v>
      </c>
      <c r="AB48" s="26">
        <v>5007600</v>
      </c>
      <c r="AC48" s="26">
        <v>5007600</v>
      </c>
      <c r="AD48" s="26">
        <v>5007600</v>
      </c>
      <c r="AE48" s="26">
        <v>5007600</v>
      </c>
      <c r="AF48" s="26">
        <v>730000</v>
      </c>
      <c r="AG48" s="26">
        <v>730000</v>
      </c>
      <c r="AH48" s="26">
        <v>730000</v>
      </c>
      <c r="AI48" s="26">
        <v>730000</v>
      </c>
      <c r="AJ48" s="26">
        <v>730000</v>
      </c>
      <c r="AK48" s="26">
        <v>730000</v>
      </c>
      <c r="AL48" s="26">
        <v>730000</v>
      </c>
      <c r="AM48" s="26">
        <v>730000</v>
      </c>
      <c r="AN48" s="26">
        <v>730000</v>
      </c>
      <c r="AO48" s="26">
        <v>730000</v>
      </c>
      <c r="AP48" s="26">
        <v>730000</v>
      </c>
      <c r="AQ48" s="26">
        <v>730000</v>
      </c>
      <c r="AR48" s="26">
        <v>500000</v>
      </c>
      <c r="AS48" s="26">
        <v>500000</v>
      </c>
      <c r="AT48" s="26">
        <v>500000</v>
      </c>
      <c r="AU48" s="26">
        <v>500000</v>
      </c>
      <c r="AV48" s="26">
        <v>500000</v>
      </c>
      <c r="AW48" s="26">
        <v>500000</v>
      </c>
      <c r="AX48" s="26">
        <v>500000</v>
      </c>
      <c r="AY48" s="26">
        <v>500000</v>
      </c>
      <c r="AZ48" s="26">
        <v>500000</v>
      </c>
      <c r="BA48" s="26">
        <v>500000</v>
      </c>
      <c r="BB48" s="26">
        <v>500000</v>
      </c>
      <c r="BC48" s="26">
        <v>500000</v>
      </c>
      <c r="BD48" s="26">
        <v>0</v>
      </c>
      <c r="BE48" s="26">
        <v>0</v>
      </c>
      <c r="BF48" s="26">
        <v>0</v>
      </c>
      <c r="BG48" s="26">
        <v>0</v>
      </c>
      <c r="BH48" s="26">
        <v>0</v>
      </c>
      <c r="BI48" s="26">
        <v>0</v>
      </c>
      <c r="BJ48" s="26">
        <v>0</v>
      </c>
      <c r="BK48" s="26">
        <v>0</v>
      </c>
      <c r="BL48" s="26">
        <v>0</v>
      </c>
      <c r="BM48" s="26">
        <v>0</v>
      </c>
      <c r="BN48" s="26">
        <v>0</v>
      </c>
      <c r="BO48" s="26">
        <v>0</v>
      </c>
      <c r="BP48" s="26">
        <v>1200000</v>
      </c>
      <c r="BQ48" s="26">
        <v>1200000</v>
      </c>
      <c r="BR48" s="26">
        <v>1200000</v>
      </c>
      <c r="BS48" s="26">
        <v>1200000</v>
      </c>
      <c r="BT48" s="26">
        <v>1200000</v>
      </c>
      <c r="BU48" s="26">
        <v>1200000</v>
      </c>
      <c r="BV48" s="26">
        <v>1200000</v>
      </c>
      <c r="BW48" s="26">
        <v>1200000</v>
      </c>
      <c r="BX48" s="26">
        <v>1200000</v>
      </c>
      <c r="BY48" s="26">
        <v>1200000</v>
      </c>
      <c r="BZ48" s="26">
        <v>1200000</v>
      </c>
      <c r="CA48" s="26">
        <v>1200000</v>
      </c>
      <c r="CB48" s="26">
        <v>3500000</v>
      </c>
      <c r="CC48" s="26">
        <v>3500000</v>
      </c>
      <c r="CD48" s="26">
        <v>3500000</v>
      </c>
      <c r="CE48" s="26">
        <v>3500000</v>
      </c>
      <c r="CF48" s="26">
        <v>3500000</v>
      </c>
      <c r="CG48" s="26">
        <v>3500000</v>
      </c>
      <c r="CH48" s="26">
        <v>3500000</v>
      </c>
      <c r="CI48" s="26">
        <v>3500000</v>
      </c>
      <c r="CJ48" s="26">
        <v>3500000</v>
      </c>
      <c r="CK48" s="26">
        <v>3500000</v>
      </c>
      <c r="CL48" s="26">
        <v>3500000</v>
      </c>
      <c r="CM48" s="26">
        <v>3500000</v>
      </c>
      <c r="CN48" s="26">
        <v>5007600</v>
      </c>
      <c r="CO48" s="26">
        <v>22</v>
      </c>
      <c r="CP48" s="26">
        <v>5007600</v>
      </c>
      <c r="CQ48" s="26">
        <v>730000</v>
      </c>
      <c r="CR48" s="26">
        <v>500000</v>
      </c>
      <c r="CS48" s="26">
        <v>1200000</v>
      </c>
      <c r="CT48" s="26">
        <v>3500000</v>
      </c>
      <c r="CU48" s="26">
        <v>5930000</v>
      </c>
    </row>
    <row r="49" spans="1:99" x14ac:dyDescent="0.3">
      <c r="A49" s="26">
        <v>4</v>
      </c>
      <c r="B49" s="27" t="s">
        <v>24</v>
      </c>
      <c r="C49" s="27" t="s">
        <v>25</v>
      </c>
      <c r="D49" s="27" t="s">
        <v>26</v>
      </c>
      <c r="E49" s="27" t="s">
        <v>27</v>
      </c>
      <c r="F49" s="26">
        <v>8481561673</v>
      </c>
      <c r="G49" s="27" t="s">
        <v>28</v>
      </c>
      <c r="H49" s="26">
        <v>5007600</v>
      </c>
      <c r="I49" s="26">
        <v>5007600</v>
      </c>
      <c r="J49" s="26">
        <v>5007600</v>
      </c>
      <c r="K49" s="26">
        <v>5007600</v>
      </c>
      <c r="L49" s="26">
        <v>5007600</v>
      </c>
      <c r="M49" s="26">
        <v>5007600</v>
      </c>
      <c r="N49" s="26">
        <v>5007600</v>
      </c>
      <c r="O49" s="26">
        <v>5007600</v>
      </c>
      <c r="P49" s="26">
        <v>5007600</v>
      </c>
      <c r="Q49" s="26">
        <v>5007600</v>
      </c>
      <c r="R49" s="26">
        <v>5007600</v>
      </c>
      <c r="S49" s="26">
        <v>5007600</v>
      </c>
      <c r="T49" s="26">
        <v>5007600</v>
      </c>
      <c r="U49" s="26">
        <v>5007600</v>
      </c>
      <c r="V49" s="26">
        <v>5007600</v>
      </c>
      <c r="W49" s="26">
        <v>5007600</v>
      </c>
      <c r="X49" s="26">
        <v>5007600</v>
      </c>
      <c r="Y49" s="26">
        <v>5007600</v>
      </c>
      <c r="Z49" s="26">
        <v>5007600</v>
      </c>
      <c r="AA49" s="26">
        <v>5007600</v>
      </c>
      <c r="AB49" s="26">
        <v>5007600</v>
      </c>
      <c r="AC49" s="26">
        <v>5007600</v>
      </c>
      <c r="AD49" s="26">
        <v>5007600</v>
      </c>
      <c r="AE49" s="26">
        <v>5007600</v>
      </c>
      <c r="AF49" s="26">
        <v>730000</v>
      </c>
      <c r="AG49" s="26">
        <v>730000</v>
      </c>
      <c r="AH49" s="26">
        <v>730000</v>
      </c>
      <c r="AI49" s="26">
        <v>730000</v>
      </c>
      <c r="AJ49" s="26">
        <v>730000</v>
      </c>
      <c r="AK49" s="26">
        <v>730000</v>
      </c>
      <c r="AL49" s="26">
        <v>730000</v>
      </c>
      <c r="AM49" s="26">
        <v>730000</v>
      </c>
      <c r="AN49" s="26">
        <v>730000</v>
      </c>
      <c r="AO49" s="26">
        <v>730000</v>
      </c>
      <c r="AP49" s="26">
        <v>730000</v>
      </c>
      <c r="AQ49" s="26">
        <v>730000</v>
      </c>
      <c r="AR49" s="26">
        <v>500000</v>
      </c>
      <c r="AS49" s="26">
        <v>500000</v>
      </c>
      <c r="AT49" s="26">
        <v>500000</v>
      </c>
      <c r="AU49" s="26">
        <v>500000</v>
      </c>
      <c r="AV49" s="26">
        <v>500000</v>
      </c>
      <c r="AW49" s="26">
        <v>500000</v>
      </c>
      <c r="AX49" s="26">
        <v>500000</v>
      </c>
      <c r="AY49" s="26">
        <v>500000</v>
      </c>
      <c r="AZ49" s="26">
        <v>500000</v>
      </c>
      <c r="BA49" s="26">
        <v>500000</v>
      </c>
      <c r="BB49" s="26">
        <v>500000</v>
      </c>
      <c r="BC49" s="26">
        <v>500000</v>
      </c>
      <c r="BD49" s="26">
        <v>0</v>
      </c>
      <c r="BE49" s="26">
        <v>0</v>
      </c>
      <c r="BF49" s="26">
        <v>0</v>
      </c>
      <c r="BG49" s="26">
        <v>0</v>
      </c>
      <c r="BH49" s="26">
        <v>0</v>
      </c>
      <c r="BI49" s="26">
        <v>0</v>
      </c>
      <c r="BJ49" s="26">
        <v>0</v>
      </c>
      <c r="BK49" s="26">
        <v>0</v>
      </c>
      <c r="BL49" s="26">
        <v>0</v>
      </c>
      <c r="BM49" s="26">
        <v>0</v>
      </c>
      <c r="BN49" s="26">
        <v>0</v>
      </c>
      <c r="BO49" s="26">
        <v>0</v>
      </c>
      <c r="BP49" s="26">
        <v>1200000</v>
      </c>
      <c r="BQ49" s="26">
        <v>1200000</v>
      </c>
      <c r="BR49" s="26">
        <v>1200000</v>
      </c>
      <c r="BS49" s="26">
        <v>1200000</v>
      </c>
      <c r="BT49" s="26">
        <v>1200000</v>
      </c>
      <c r="BU49" s="26">
        <v>1200000</v>
      </c>
      <c r="BV49" s="26">
        <v>1200000</v>
      </c>
      <c r="BW49" s="26">
        <v>1200000</v>
      </c>
      <c r="BX49" s="26">
        <v>1200000</v>
      </c>
      <c r="BY49" s="26">
        <v>1200000</v>
      </c>
      <c r="BZ49" s="26">
        <v>1200000</v>
      </c>
      <c r="CA49" s="26">
        <v>1200000</v>
      </c>
      <c r="CB49" s="26">
        <v>3500000</v>
      </c>
      <c r="CC49" s="26">
        <v>3500000</v>
      </c>
      <c r="CD49" s="26">
        <v>3500000</v>
      </c>
      <c r="CE49" s="26">
        <v>3500000</v>
      </c>
      <c r="CF49" s="26">
        <v>3500000</v>
      </c>
      <c r="CG49" s="26">
        <v>3500000</v>
      </c>
      <c r="CH49" s="26">
        <v>3500000</v>
      </c>
      <c r="CI49" s="26">
        <v>3500000</v>
      </c>
      <c r="CJ49" s="26">
        <v>3500000</v>
      </c>
      <c r="CK49" s="26">
        <v>3500000</v>
      </c>
      <c r="CL49" s="26">
        <v>3500000</v>
      </c>
      <c r="CM49" s="26">
        <v>3500000</v>
      </c>
      <c r="CN49" s="26">
        <v>5007600</v>
      </c>
      <c r="CO49" s="26">
        <v>23</v>
      </c>
      <c r="CP49" s="26">
        <v>5007600</v>
      </c>
      <c r="CQ49" s="26">
        <v>730000</v>
      </c>
      <c r="CR49" s="26">
        <v>500000</v>
      </c>
      <c r="CS49" s="26">
        <v>1200000</v>
      </c>
      <c r="CT49" s="26">
        <v>3500000</v>
      </c>
      <c r="CU49" s="26">
        <v>5930000</v>
      </c>
    </row>
    <row r="50" spans="1:99" x14ac:dyDescent="0.3">
      <c r="A50" s="26">
        <v>5</v>
      </c>
      <c r="B50" s="27" t="s">
        <v>29</v>
      </c>
      <c r="C50" s="27" t="s">
        <v>30</v>
      </c>
      <c r="D50" s="27" t="s">
        <v>26</v>
      </c>
      <c r="E50" s="27" t="s">
        <v>27</v>
      </c>
      <c r="F50" s="26">
        <v>8485445999</v>
      </c>
      <c r="G50" s="27" t="s">
        <v>31</v>
      </c>
      <c r="H50" s="26">
        <v>5007600</v>
      </c>
      <c r="I50" s="26">
        <v>5007600</v>
      </c>
      <c r="J50" s="26">
        <v>5007600</v>
      </c>
      <c r="K50" s="26">
        <v>5007600</v>
      </c>
      <c r="L50" s="26">
        <v>5007600</v>
      </c>
      <c r="M50" s="26">
        <v>5007600</v>
      </c>
      <c r="N50" s="26">
        <v>5007600</v>
      </c>
      <c r="O50" s="26">
        <v>5007600</v>
      </c>
      <c r="P50" s="26">
        <v>5007600</v>
      </c>
      <c r="Q50" s="26">
        <v>5007600</v>
      </c>
      <c r="R50" s="26">
        <v>5007600</v>
      </c>
      <c r="S50" s="26">
        <v>5007600</v>
      </c>
      <c r="T50" s="26">
        <v>5007600</v>
      </c>
      <c r="U50" s="26">
        <v>5007600</v>
      </c>
      <c r="V50" s="26">
        <v>5007600</v>
      </c>
      <c r="W50" s="26">
        <v>5007600</v>
      </c>
      <c r="X50" s="26">
        <v>5007600</v>
      </c>
      <c r="Y50" s="26">
        <v>5007600</v>
      </c>
      <c r="Z50" s="26">
        <v>5007600</v>
      </c>
      <c r="AA50" s="26">
        <v>5007600</v>
      </c>
      <c r="AB50" s="26">
        <v>5007600</v>
      </c>
      <c r="AC50" s="26">
        <v>5007600</v>
      </c>
      <c r="AD50" s="26">
        <v>5007600</v>
      </c>
      <c r="AE50" s="26">
        <v>5007600</v>
      </c>
      <c r="AF50" s="26">
        <v>730000</v>
      </c>
      <c r="AG50" s="26">
        <v>730000</v>
      </c>
      <c r="AH50" s="26">
        <v>730000</v>
      </c>
      <c r="AI50" s="26">
        <v>730000</v>
      </c>
      <c r="AJ50" s="26">
        <v>730000</v>
      </c>
      <c r="AK50" s="26">
        <v>730000</v>
      </c>
      <c r="AL50" s="26">
        <v>730000</v>
      </c>
      <c r="AM50" s="26">
        <v>730000</v>
      </c>
      <c r="AN50" s="26">
        <v>730000</v>
      </c>
      <c r="AO50" s="26">
        <v>730000</v>
      </c>
      <c r="AP50" s="26">
        <v>730000</v>
      </c>
      <c r="AQ50" s="26">
        <v>730000</v>
      </c>
      <c r="AR50" s="26">
        <v>500000</v>
      </c>
      <c r="AS50" s="26">
        <v>500000</v>
      </c>
      <c r="AT50" s="26">
        <v>500000</v>
      </c>
      <c r="AU50" s="26">
        <v>500000</v>
      </c>
      <c r="AV50" s="26">
        <v>500000</v>
      </c>
      <c r="AW50" s="26">
        <v>500000</v>
      </c>
      <c r="AX50" s="26">
        <v>500000</v>
      </c>
      <c r="AY50" s="26">
        <v>500000</v>
      </c>
      <c r="AZ50" s="26">
        <v>500000</v>
      </c>
      <c r="BA50" s="26">
        <v>500000</v>
      </c>
      <c r="BB50" s="26">
        <v>500000</v>
      </c>
      <c r="BC50" s="26">
        <v>500000</v>
      </c>
      <c r="BD50" s="26">
        <v>0</v>
      </c>
      <c r="BE50" s="26">
        <v>0</v>
      </c>
      <c r="BF50" s="26">
        <v>0</v>
      </c>
      <c r="BG50" s="26">
        <v>0</v>
      </c>
      <c r="BH50" s="26">
        <v>0</v>
      </c>
      <c r="BI50" s="26">
        <v>0</v>
      </c>
      <c r="BJ50" s="26">
        <v>0</v>
      </c>
      <c r="BK50" s="26">
        <v>0</v>
      </c>
      <c r="BL50" s="26">
        <v>0</v>
      </c>
      <c r="BM50" s="26">
        <v>0</v>
      </c>
      <c r="BN50" s="26">
        <v>0</v>
      </c>
      <c r="BO50" s="26">
        <v>0</v>
      </c>
      <c r="BP50" s="26">
        <v>1200000</v>
      </c>
      <c r="BQ50" s="26">
        <v>1200000</v>
      </c>
      <c r="BR50" s="26">
        <v>1200000</v>
      </c>
      <c r="BS50" s="26">
        <v>1200000</v>
      </c>
      <c r="BT50" s="26">
        <v>1200000</v>
      </c>
      <c r="BU50" s="26">
        <v>1200000</v>
      </c>
      <c r="BV50" s="26">
        <v>1200000</v>
      </c>
      <c r="BW50" s="26">
        <v>1200000</v>
      </c>
      <c r="BX50" s="26">
        <v>1200000</v>
      </c>
      <c r="BY50" s="26">
        <v>1200000</v>
      </c>
      <c r="BZ50" s="26">
        <v>1200000</v>
      </c>
      <c r="CA50" s="26">
        <v>1200000</v>
      </c>
      <c r="CB50" s="26">
        <v>3500000</v>
      </c>
      <c r="CC50" s="26">
        <v>3500000</v>
      </c>
      <c r="CD50" s="26">
        <v>3500000</v>
      </c>
      <c r="CE50" s="26">
        <v>3500000</v>
      </c>
      <c r="CF50" s="26">
        <v>3500000</v>
      </c>
      <c r="CG50" s="26">
        <v>3500000</v>
      </c>
      <c r="CH50" s="26">
        <v>3500000</v>
      </c>
      <c r="CI50" s="26">
        <v>3500000</v>
      </c>
      <c r="CJ50" s="26">
        <v>3500000</v>
      </c>
      <c r="CK50" s="26">
        <v>3500000</v>
      </c>
      <c r="CL50" s="26">
        <v>3500000</v>
      </c>
      <c r="CM50" s="26">
        <v>3500000</v>
      </c>
      <c r="CN50" s="26">
        <v>5007600</v>
      </c>
      <c r="CO50" s="26">
        <v>20</v>
      </c>
      <c r="CP50" s="26">
        <v>5007600</v>
      </c>
      <c r="CQ50" s="26">
        <v>730000</v>
      </c>
      <c r="CR50" s="26">
        <v>500000</v>
      </c>
      <c r="CS50" s="26">
        <v>1200000</v>
      </c>
      <c r="CT50" s="26">
        <v>3500000</v>
      </c>
      <c r="CU50" s="26">
        <v>5930000</v>
      </c>
    </row>
    <row r="51" spans="1:99" x14ac:dyDescent="0.3">
      <c r="A51" s="26">
        <v>5</v>
      </c>
      <c r="B51" s="27" t="s">
        <v>29</v>
      </c>
      <c r="C51" s="27" t="s">
        <v>30</v>
      </c>
      <c r="D51" s="27" t="s">
        <v>26</v>
      </c>
      <c r="E51" s="27" t="s">
        <v>27</v>
      </c>
      <c r="F51" s="26">
        <v>8485445999</v>
      </c>
      <c r="G51" s="27" t="s">
        <v>31</v>
      </c>
      <c r="H51" s="26">
        <v>5007600</v>
      </c>
      <c r="I51" s="26">
        <v>5007600</v>
      </c>
      <c r="J51" s="26">
        <v>5007600</v>
      </c>
      <c r="K51" s="26">
        <v>5007600</v>
      </c>
      <c r="L51" s="26">
        <v>5007600</v>
      </c>
      <c r="M51" s="26">
        <v>5007600</v>
      </c>
      <c r="N51" s="26">
        <v>5007600</v>
      </c>
      <c r="O51" s="26">
        <v>5007600</v>
      </c>
      <c r="P51" s="26">
        <v>5007600</v>
      </c>
      <c r="Q51" s="26">
        <v>5007600</v>
      </c>
      <c r="R51" s="26">
        <v>5007600</v>
      </c>
      <c r="S51" s="26">
        <v>5007600</v>
      </c>
      <c r="T51" s="26">
        <v>5007600</v>
      </c>
      <c r="U51" s="26">
        <v>5007600</v>
      </c>
      <c r="V51" s="26">
        <v>5007600</v>
      </c>
      <c r="W51" s="26">
        <v>5007600</v>
      </c>
      <c r="X51" s="26">
        <v>5007600</v>
      </c>
      <c r="Y51" s="26">
        <v>5007600</v>
      </c>
      <c r="Z51" s="26">
        <v>5007600</v>
      </c>
      <c r="AA51" s="26">
        <v>5007600</v>
      </c>
      <c r="AB51" s="26">
        <v>5007600</v>
      </c>
      <c r="AC51" s="26">
        <v>5007600</v>
      </c>
      <c r="AD51" s="26">
        <v>5007600</v>
      </c>
      <c r="AE51" s="26">
        <v>5007600</v>
      </c>
      <c r="AF51" s="26">
        <v>730000</v>
      </c>
      <c r="AG51" s="26">
        <v>730000</v>
      </c>
      <c r="AH51" s="26">
        <v>730000</v>
      </c>
      <c r="AI51" s="26">
        <v>730000</v>
      </c>
      <c r="AJ51" s="26">
        <v>730000</v>
      </c>
      <c r="AK51" s="26">
        <v>730000</v>
      </c>
      <c r="AL51" s="26">
        <v>730000</v>
      </c>
      <c r="AM51" s="26">
        <v>730000</v>
      </c>
      <c r="AN51" s="26">
        <v>730000</v>
      </c>
      <c r="AO51" s="26">
        <v>730000</v>
      </c>
      <c r="AP51" s="26">
        <v>730000</v>
      </c>
      <c r="AQ51" s="26">
        <v>730000</v>
      </c>
      <c r="AR51" s="26">
        <v>500000</v>
      </c>
      <c r="AS51" s="26">
        <v>500000</v>
      </c>
      <c r="AT51" s="26">
        <v>500000</v>
      </c>
      <c r="AU51" s="26">
        <v>500000</v>
      </c>
      <c r="AV51" s="26">
        <v>500000</v>
      </c>
      <c r="AW51" s="26">
        <v>500000</v>
      </c>
      <c r="AX51" s="26">
        <v>500000</v>
      </c>
      <c r="AY51" s="26">
        <v>500000</v>
      </c>
      <c r="AZ51" s="26">
        <v>500000</v>
      </c>
      <c r="BA51" s="26">
        <v>500000</v>
      </c>
      <c r="BB51" s="26">
        <v>500000</v>
      </c>
      <c r="BC51" s="26">
        <v>500000</v>
      </c>
      <c r="BD51" s="26">
        <v>0</v>
      </c>
      <c r="BE51" s="26">
        <v>0</v>
      </c>
      <c r="BF51" s="26">
        <v>0</v>
      </c>
      <c r="BG51" s="26">
        <v>0</v>
      </c>
      <c r="BH51" s="26">
        <v>0</v>
      </c>
      <c r="BI51" s="26">
        <v>0</v>
      </c>
      <c r="BJ51" s="26">
        <v>0</v>
      </c>
      <c r="BK51" s="26">
        <v>0</v>
      </c>
      <c r="BL51" s="26">
        <v>0</v>
      </c>
      <c r="BM51" s="26">
        <v>0</v>
      </c>
      <c r="BN51" s="26">
        <v>0</v>
      </c>
      <c r="BO51" s="26">
        <v>0</v>
      </c>
      <c r="BP51" s="26">
        <v>1200000</v>
      </c>
      <c r="BQ51" s="26">
        <v>1200000</v>
      </c>
      <c r="BR51" s="26">
        <v>1200000</v>
      </c>
      <c r="BS51" s="26">
        <v>1200000</v>
      </c>
      <c r="BT51" s="26">
        <v>1200000</v>
      </c>
      <c r="BU51" s="26">
        <v>1200000</v>
      </c>
      <c r="BV51" s="26">
        <v>1200000</v>
      </c>
      <c r="BW51" s="26">
        <v>1200000</v>
      </c>
      <c r="BX51" s="26">
        <v>1200000</v>
      </c>
      <c r="BY51" s="26">
        <v>1200000</v>
      </c>
      <c r="BZ51" s="26">
        <v>1200000</v>
      </c>
      <c r="CA51" s="26">
        <v>1200000</v>
      </c>
      <c r="CB51" s="26">
        <v>3500000</v>
      </c>
      <c r="CC51" s="26">
        <v>3500000</v>
      </c>
      <c r="CD51" s="26">
        <v>3500000</v>
      </c>
      <c r="CE51" s="26">
        <v>3500000</v>
      </c>
      <c r="CF51" s="26">
        <v>3500000</v>
      </c>
      <c r="CG51" s="26">
        <v>3500000</v>
      </c>
      <c r="CH51" s="26">
        <v>3500000</v>
      </c>
      <c r="CI51" s="26">
        <v>3500000</v>
      </c>
      <c r="CJ51" s="26">
        <v>3500000</v>
      </c>
      <c r="CK51" s="26">
        <v>3500000</v>
      </c>
      <c r="CL51" s="26">
        <v>3500000</v>
      </c>
      <c r="CM51" s="26">
        <v>3500000</v>
      </c>
      <c r="CN51" s="26">
        <v>5007600</v>
      </c>
      <c r="CO51" s="26">
        <v>23</v>
      </c>
      <c r="CP51" s="26">
        <v>5007600</v>
      </c>
      <c r="CQ51" s="26">
        <v>730000</v>
      </c>
      <c r="CR51" s="26">
        <v>500000</v>
      </c>
      <c r="CS51" s="26">
        <v>1200000</v>
      </c>
      <c r="CT51" s="26">
        <v>3500000</v>
      </c>
      <c r="CU51" s="26">
        <v>5930000</v>
      </c>
    </row>
    <row r="52" spans="1:99" x14ac:dyDescent="0.3">
      <c r="A52" s="26">
        <v>5</v>
      </c>
      <c r="B52" s="27" t="s">
        <v>29</v>
      </c>
      <c r="C52" s="27" t="s">
        <v>30</v>
      </c>
      <c r="D52" s="27" t="s">
        <v>26</v>
      </c>
      <c r="E52" s="27" t="s">
        <v>27</v>
      </c>
      <c r="F52" s="26">
        <v>8485445999</v>
      </c>
      <c r="G52" s="27" t="s">
        <v>31</v>
      </c>
      <c r="H52" s="26">
        <v>5007600</v>
      </c>
      <c r="I52" s="26">
        <v>5007600</v>
      </c>
      <c r="J52" s="26">
        <v>5007600</v>
      </c>
      <c r="K52" s="26">
        <v>5007600</v>
      </c>
      <c r="L52" s="26">
        <v>5007600</v>
      </c>
      <c r="M52" s="26">
        <v>5007600</v>
      </c>
      <c r="N52" s="26">
        <v>5007600</v>
      </c>
      <c r="O52" s="26">
        <v>5007600</v>
      </c>
      <c r="P52" s="26">
        <v>5007600</v>
      </c>
      <c r="Q52" s="26">
        <v>5007600</v>
      </c>
      <c r="R52" s="26">
        <v>5007600</v>
      </c>
      <c r="S52" s="26">
        <v>5007600</v>
      </c>
      <c r="T52" s="26">
        <v>5007600</v>
      </c>
      <c r="U52" s="26">
        <v>5007600</v>
      </c>
      <c r="V52" s="26">
        <v>5007600</v>
      </c>
      <c r="W52" s="26">
        <v>5007600</v>
      </c>
      <c r="X52" s="26">
        <v>5007600</v>
      </c>
      <c r="Y52" s="26">
        <v>5007600</v>
      </c>
      <c r="Z52" s="26">
        <v>5007600</v>
      </c>
      <c r="AA52" s="26">
        <v>5007600</v>
      </c>
      <c r="AB52" s="26">
        <v>5007600</v>
      </c>
      <c r="AC52" s="26">
        <v>5007600</v>
      </c>
      <c r="AD52" s="26">
        <v>5007600</v>
      </c>
      <c r="AE52" s="26">
        <v>5007600</v>
      </c>
      <c r="AF52" s="26">
        <v>730000</v>
      </c>
      <c r="AG52" s="26">
        <v>730000</v>
      </c>
      <c r="AH52" s="26">
        <v>730000</v>
      </c>
      <c r="AI52" s="26">
        <v>730000</v>
      </c>
      <c r="AJ52" s="26">
        <v>730000</v>
      </c>
      <c r="AK52" s="26">
        <v>730000</v>
      </c>
      <c r="AL52" s="26">
        <v>730000</v>
      </c>
      <c r="AM52" s="26">
        <v>730000</v>
      </c>
      <c r="AN52" s="26">
        <v>730000</v>
      </c>
      <c r="AO52" s="26">
        <v>730000</v>
      </c>
      <c r="AP52" s="26">
        <v>730000</v>
      </c>
      <c r="AQ52" s="26">
        <v>730000</v>
      </c>
      <c r="AR52" s="26">
        <v>500000</v>
      </c>
      <c r="AS52" s="26">
        <v>500000</v>
      </c>
      <c r="AT52" s="26">
        <v>500000</v>
      </c>
      <c r="AU52" s="26">
        <v>500000</v>
      </c>
      <c r="AV52" s="26">
        <v>500000</v>
      </c>
      <c r="AW52" s="26">
        <v>500000</v>
      </c>
      <c r="AX52" s="26">
        <v>500000</v>
      </c>
      <c r="AY52" s="26">
        <v>500000</v>
      </c>
      <c r="AZ52" s="26">
        <v>500000</v>
      </c>
      <c r="BA52" s="26">
        <v>500000</v>
      </c>
      <c r="BB52" s="26">
        <v>500000</v>
      </c>
      <c r="BC52" s="26">
        <v>500000</v>
      </c>
      <c r="BD52" s="26">
        <v>0</v>
      </c>
      <c r="BE52" s="26">
        <v>0</v>
      </c>
      <c r="BF52" s="26">
        <v>0</v>
      </c>
      <c r="BG52" s="26">
        <v>0</v>
      </c>
      <c r="BH52" s="26">
        <v>0</v>
      </c>
      <c r="BI52" s="26">
        <v>0</v>
      </c>
      <c r="BJ52" s="26">
        <v>0</v>
      </c>
      <c r="BK52" s="26">
        <v>0</v>
      </c>
      <c r="BL52" s="26">
        <v>0</v>
      </c>
      <c r="BM52" s="26">
        <v>0</v>
      </c>
      <c r="BN52" s="26">
        <v>0</v>
      </c>
      <c r="BO52" s="26">
        <v>0</v>
      </c>
      <c r="BP52" s="26">
        <v>1200000</v>
      </c>
      <c r="BQ52" s="26">
        <v>1200000</v>
      </c>
      <c r="BR52" s="26">
        <v>1200000</v>
      </c>
      <c r="BS52" s="26">
        <v>1200000</v>
      </c>
      <c r="BT52" s="26">
        <v>1200000</v>
      </c>
      <c r="BU52" s="26">
        <v>1200000</v>
      </c>
      <c r="BV52" s="26">
        <v>1200000</v>
      </c>
      <c r="BW52" s="26">
        <v>1200000</v>
      </c>
      <c r="BX52" s="26">
        <v>1200000</v>
      </c>
      <c r="BY52" s="26">
        <v>1200000</v>
      </c>
      <c r="BZ52" s="26">
        <v>1200000</v>
      </c>
      <c r="CA52" s="26">
        <v>1200000</v>
      </c>
      <c r="CB52" s="26">
        <v>3500000</v>
      </c>
      <c r="CC52" s="26">
        <v>3500000</v>
      </c>
      <c r="CD52" s="26">
        <v>3500000</v>
      </c>
      <c r="CE52" s="26">
        <v>3500000</v>
      </c>
      <c r="CF52" s="26">
        <v>3500000</v>
      </c>
      <c r="CG52" s="26">
        <v>3500000</v>
      </c>
      <c r="CH52" s="26">
        <v>3500000</v>
      </c>
      <c r="CI52" s="26">
        <v>3500000</v>
      </c>
      <c r="CJ52" s="26">
        <v>3500000</v>
      </c>
      <c r="CK52" s="26">
        <v>3500000</v>
      </c>
      <c r="CL52" s="26">
        <v>3500000</v>
      </c>
      <c r="CM52" s="26">
        <v>3500000</v>
      </c>
      <c r="CN52" s="26">
        <v>5007600</v>
      </c>
      <c r="CO52" s="26">
        <v>20</v>
      </c>
      <c r="CP52" s="26">
        <v>5007600</v>
      </c>
      <c r="CQ52" s="26">
        <v>730000</v>
      </c>
      <c r="CR52" s="26">
        <v>500000</v>
      </c>
      <c r="CS52" s="26">
        <v>1200000</v>
      </c>
      <c r="CT52" s="26">
        <v>3500000</v>
      </c>
      <c r="CU52" s="26">
        <v>5930000</v>
      </c>
    </row>
    <row r="53" spans="1:99" x14ac:dyDescent="0.3">
      <c r="A53" s="26">
        <v>5</v>
      </c>
      <c r="B53" s="27" t="s">
        <v>29</v>
      </c>
      <c r="C53" s="27" t="s">
        <v>30</v>
      </c>
      <c r="D53" s="27" t="s">
        <v>26</v>
      </c>
      <c r="E53" s="27" t="s">
        <v>27</v>
      </c>
      <c r="F53" s="26">
        <v>8485445999</v>
      </c>
      <c r="G53" s="27" t="s">
        <v>31</v>
      </c>
      <c r="H53" s="26">
        <v>5007600</v>
      </c>
      <c r="I53" s="26">
        <v>5007600</v>
      </c>
      <c r="J53" s="26">
        <v>5007600</v>
      </c>
      <c r="K53" s="26">
        <v>5007600</v>
      </c>
      <c r="L53" s="26">
        <v>5007600</v>
      </c>
      <c r="M53" s="26">
        <v>5007600</v>
      </c>
      <c r="N53" s="26">
        <v>5007600</v>
      </c>
      <c r="O53" s="26">
        <v>5007600</v>
      </c>
      <c r="P53" s="26">
        <v>5007600</v>
      </c>
      <c r="Q53" s="26">
        <v>5007600</v>
      </c>
      <c r="R53" s="26">
        <v>5007600</v>
      </c>
      <c r="S53" s="26">
        <v>5007600</v>
      </c>
      <c r="T53" s="26">
        <v>5007600</v>
      </c>
      <c r="U53" s="26">
        <v>5007600</v>
      </c>
      <c r="V53" s="26">
        <v>5007600</v>
      </c>
      <c r="W53" s="26">
        <v>5007600</v>
      </c>
      <c r="X53" s="26">
        <v>5007600</v>
      </c>
      <c r="Y53" s="26">
        <v>5007600</v>
      </c>
      <c r="Z53" s="26">
        <v>5007600</v>
      </c>
      <c r="AA53" s="26">
        <v>5007600</v>
      </c>
      <c r="AB53" s="26">
        <v>5007600</v>
      </c>
      <c r="AC53" s="26">
        <v>5007600</v>
      </c>
      <c r="AD53" s="26">
        <v>5007600</v>
      </c>
      <c r="AE53" s="26">
        <v>5007600</v>
      </c>
      <c r="AF53" s="26">
        <v>730000</v>
      </c>
      <c r="AG53" s="26">
        <v>730000</v>
      </c>
      <c r="AH53" s="26">
        <v>730000</v>
      </c>
      <c r="AI53" s="26">
        <v>730000</v>
      </c>
      <c r="AJ53" s="26">
        <v>730000</v>
      </c>
      <c r="AK53" s="26">
        <v>730000</v>
      </c>
      <c r="AL53" s="26">
        <v>730000</v>
      </c>
      <c r="AM53" s="26">
        <v>730000</v>
      </c>
      <c r="AN53" s="26">
        <v>730000</v>
      </c>
      <c r="AO53" s="26">
        <v>730000</v>
      </c>
      <c r="AP53" s="26">
        <v>730000</v>
      </c>
      <c r="AQ53" s="26">
        <v>730000</v>
      </c>
      <c r="AR53" s="26">
        <v>500000</v>
      </c>
      <c r="AS53" s="26">
        <v>500000</v>
      </c>
      <c r="AT53" s="26">
        <v>500000</v>
      </c>
      <c r="AU53" s="26">
        <v>500000</v>
      </c>
      <c r="AV53" s="26">
        <v>500000</v>
      </c>
      <c r="AW53" s="26">
        <v>500000</v>
      </c>
      <c r="AX53" s="26">
        <v>500000</v>
      </c>
      <c r="AY53" s="26">
        <v>500000</v>
      </c>
      <c r="AZ53" s="26">
        <v>500000</v>
      </c>
      <c r="BA53" s="26">
        <v>500000</v>
      </c>
      <c r="BB53" s="26">
        <v>500000</v>
      </c>
      <c r="BC53" s="26">
        <v>500000</v>
      </c>
      <c r="BD53" s="26">
        <v>0</v>
      </c>
      <c r="BE53" s="26">
        <v>0</v>
      </c>
      <c r="BF53" s="26">
        <v>0</v>
      </c>
      <c r="BG53" s="26">
        <v>0</v>
      </c>
      <c r="BH53" s="26">
        <v>0</v>
      </c>
      <c r="BI53" s="26">
        <v>0</v>
      </c>
      <c r="BJ53" s="26">
        <v>0</v>
      </c>
      <c r="BK53" s="26">
        <v>0</v>
      </c>
      <c r="BL53" s="26">
        <v>0</v>
      </c>
      <c r="BM53" s="26">
        <v>0</v>
      </c>
      <c r="BN53" s="26">
        <v>0</v>
      </c>
      <c r="BO53" s="26">
        <v>0</v>
      </c>
      <c r="BP53" s="26">
        <v>1200000</v>
      </c>
      <c r="BQ53" s="26">
        <v>1200000</v>
      </c>
      <c r="BR53" s="26">
        <v>1200000</v>
      </c>
      <c r="BS53" s="26">
        <v>1200000</v>
      </c>
      <c r="BT53" s="26">
        <v>1200000</v>
      </c>
      <c r="BU53" s="26">
        <v>1200000</v>
      </c>
      <c r="BV53" s="26">
        <v>1200000</v>
      </c>
      <c r="BW53" s="26">
        <v>1200000</v>
      </c>
      <c r="BX53" s="26">
        <v>1200000</v>
      </c>
      <c r="BY53" s="26">
        <v>1200000</v>
      </c>
      <c r="BZ53" s="26">
        <v>1200000</v>
      </c>
      <c r="CA53" s="26">
        <v>1200000</v>
      </c>
      <c r="CB53" s="26">
        <v>3500000</v>
      </c>
      <c r="CC53" s="26">
        <v>3500000</v>
      </c>
      <c r="CD53" s="26">
        <v>3500000</v>
      </c>
      <c r="CE53" s="26">
        <v>3500000</v>
      </c>
      <c r="CF53" s="26">
        <v>3500000</v>
      </c>
      <c r="CG53" s="26">
        <v>3500000</v>
      </c>
      <c r="CH53" s="26">
        <v>3500000</v>
      </c>
      <c r="CI53" s="26">
        <v>3500000</v>
      </c>
      <c r="CJ53" s="26">
        <v>3500000</v>
      </c>
      <c r="CK53" s="26">
        <v>3500000</v>
      </c>
      <c r="CL53" s="26">
        <v>3500000</v>
      </c>
      <c r="CM53" s="26">
        <v>3500000</v>
      </c>
      <c r="CN53" s="26">
        <v>5007600</v>
      </c>
      <c r="CO53" s="26">
        <v>21</v>
      </c>
      <c r="CP53" s="26">
        <v>5007600</v>
      </c>
      <c r="CQ53" s="26">
        <v>730000</v>
      </c>
      <c r="CR53" s="26">
        <v>500000</v>
      </c>
      <c r="CS53" s="26">
        <v>1200000</v>
      </c>
      <c r="CT53" s="26">
        <v>3500000</v>
      </c>
      <c r="CU53" s="26">
        <v>5930000</v>
      </c>
    </row>
    <row r="54" spans="1:99" x14ac:dyDescent="0.3">
      <c r="A54" s="26">
        <v>5</v>
      </c>
      <c r="B54" s="27" t="s">
        <v>29</v>
      </c>
      <c r="C54" s="27" t="s">
        <v>30</v>
      </c>
      <c r="D54" s="27" t="s">
        <v>26</v>
      </c>
      <c r="E54" s="27" t="s">
        <v>27</v>
      </c>
      <c r="F54" s="26">
        <v>8485445999</v>
      </c>
      <c r="G54" s="27" t="s">
        <v>31</v>
      </c>
      <c r="H54" s="26">
        <v>5007600</v>
      </c>
      <c r="I54" s="26">
        <v>5007600</v>
      </c>
      <c r="J54" s="26">
        <v>5007600</v>
      </c>
      <c r="K54" s="26">
        <v>5007600</v>
      </c>
      <c r="L54" s="26">
        <v>5007600</v>
      </c>
      <c r="M54" s="26">
        <v>5007600</v>
      </c>
      <c r="N54" s="26">
        <v>5007600</v>
      </c>
      <c r="O54" s="26">
        <v>5007600</v>
      </c>
      <c r="P54" s="26">
        <v>5007600</v>
      </c>
      <c r="Q54" s="26">
        <v>5007600</v>
      </c>
      <c r="R54" s="26">
        <v>5007600</v>
      </c>
      <c r="S54" s="26">
        <v>5007600</v>
      </c>
      <c r="T54" s="26">
        <v>5007600</v>
      </c>
      <c r="U54" s="26">
        <v>5007600</v>
      </c>
      <c r="V54" s="26">
        <v>5007600</v>
      </c>
      <c r="W54" s="26">
        <v>5007600</v>
      </c>
      <c r="X54" s="26">
        <v>5007600</v>
      </c>
      <c r="Y54" s="26">
        <v>5007600</v>
      </c>
      <c r="Z54" s="26">
        <v>5007600</v>
      </c>
      <c r="AA54" s="26">
        <v>5007600</v>
      </c>
      <c r="AB54" s="26">
        <v>5007600</v>
      </c>
      <c r="AC54" s="26">
        <v>5007600</v>
      </c>
      <c r="AD54" s="26">
        <v>5007600</v>
      </c>
      <c r="AE54" s="26">
        <v>5007600</v>
      </c>
      <c r="AF54" s="26">
        <v>730000</v>
      </c>
      <c r="AG54" s="26">
        <v>730000</v>
      </c>
      <c r="AH54" s="26">
        <v>730000</v>
      </c>
      <c r="AI54" s="26">
        <v>730000</v>
      </c>
      <c r="AJ54" s="26">
        <v>730000</v>
      </c>
      <c r="AK54" s="26">
        <v>730000</v>
      </c>
      <c r="AL54" s="26">
        <v>730000</v>
      </c>
      <c r="AM54" s="26">
        <v>730000</v>
      </c>
      <c r="AN54" s="26">
        <v>730000</v>
      </c>
      <c r="AO54" s="26">
        <v>730000</v>
      </c>
      <c r="AP54" s="26">
        <v>730000</v>
      </c>
      <c r="AQ54" s="26">
        <v>730000</v>
      </c>
      <c r="AR54" s="26">
        <v>500000</v>
      </c>
      <c r="AS54" s="26">
        <v>500000</v>
      </c>
      <c r="AT54" s="26">
        <v>500000</v>
      </c>
      <c r="AU54" s="26">
        <v>500000</v>
      </c>
      <c r="AV54" s="26">
        <v>500000</v>
      </c>
      <c r="AW54" s="26">
        <v>500000</v>
      </c>
      <c r="AX54" s="26">
        <v>500000</v>
      </c>
      <c r="AY54" s="26">
        <v>500000</v>
      </c>
      <c r="AZ54" s="26">
        <v>500000</v>
      </c>
      <c r="BA54" s="26">
        <v>500000</v>
      </c>
      <c r="BB54" s="26">
        <v>500000</v>
      </c>
      <c r="BC54" s="26">
        <v>500000</v>
      </c>
      <c r="BD54" s="26">
        <v>0</v>
      </c>
      <c r="BE54" s="26">
        <v>0</v>
      </c>
      <c r="BF54" s="26">
        <v>0</v>
      </c>
      <c r="BG54" s="26">
        <v>0</v>
      </c>
      <c r="BH54" s="26">
        <v>0</v>
      </c>
      <c r="BI54" s="26">
        <v>0</v>
      </c>
      <c r="BJ54" s="26">
        <v>0</v>
      </c>
      <c r="BK54" s="26">
        <v>0</v>
      </c>
      <c r="BL54" s="26">
        <v>0</v>
      </c>
      <c r="BM54" s="26">
        <v>0</v>
      </c>
      <c r="BN54" s="26">
        <v>0</v>
      </c>
      <c r="BO54" s="26">
        <v>0</v>
      </c>
      <c r="BP54" s="26">
        <v>1200000</v>
      </c>
      <c r="BQ54" s="26">
        <v>1200000</v>
      </c>
      <c r="BR54" s="26">
        <v>1200000</v>
      </c>
      <c r="BS54" s="26">
        <v>1200000</v>
      </c>
      <c r="BT54" s="26">
        <v>1200000</v>
      </c>
      <c r="BU54" s="26">
        <v>1200000</v>
      </c>
      <c r="BV54" s="26">
        <v>1200000</v>
      </c>
      <c r="BW54" s="26">
        <v>1200000</v>
      </c>
      <c r="BX54" s="26">
        <v>1200000</v>
      </c>
      <c r="BY54" s="26">
        <v>1200000</v>
      </c>
      <c r="BZ54" s="26">
        <v>1200000</v>
      </c>
      <c r="CA54" s="26">
        <v>1200000</v>
      </c>
      <c r="CB54" s="26">
        <v>3500000</v>
      </c>
      <c r="CC54" s="26">
        <v>3500000</v>
      </c>
      <c r="CD54" s="26">
        <v>3500000</v>
      </c>
      <c r="CE54" s="26">
        <v>3500000</v>
      </c>
      <c r="CF54" s="26">
        <v>3500000</v>
      </c>
      <c r="CG54" s="26">
        <v>3500000</v>
      </c>
      <c r="CH54" s="26">
        <v>3500000</v>
      </c>
      <c r="CI54" s="26">
        <v>3500000</v>
      </c>
      <c r="CJ54" s="26">
        <v>3500000</v>
      </c>
      <c r="CK54" s="26">
        <v>3500000</v>
      </c>
      <c r="CL54" s="26">
        <v>3500000</v>
      </c>
      <c r="CM54" s="26">
        <v>3500000</v>
      </c>
      <c r="CN54" s="26">
        <v>5007600</v>
      </c>
      <c r="CO54" s="26">
        <v>22</v>
      </c>
      <c r="CP54" s="26">
        <v>5007600</v>
      </c>
      <c r="CQ54" s="26">
        <v>730000</v>
      </c>
      <c r="CR54" s="26">
        <v>500000</v>
      </c>
      <c r="CS54" s="26">
        <v>1200000</v>
      </c>
      <c r="CT54" s="26">
        <v>3500000</v>
      </c>
      <c r="CU54" s="26">
        <v>5930000</v>
      </c>
    </row>
    <row r="55" spans="1:99" x14ac:dyDescent="0.3">
      <c r="A55" s="26">
        <v>5</v>
      </c>
      <c r="B55" s="27" t="s">
        <v>29</v>
      </c>
      <c r="C55" s="27" t="s">
        <v>30</v>
      </c>
      <c r="D55" s="27" t="s">
        <v>26</v>
      </c>
      <c r="E55" s="27" t="s">
        <v>27</v>
      </c>
      <c r="F55" s="26">
        <v>8485445999</v>
      </c>
      <c r="G55" s="27" t="s">
        <v>31</v>
      </c>
      <c r="H55" s="26">
        <v>5007600</v>
      </c>
      <c r="I55" s="26">
        <v>5007600</v>
      </c>
      <c r="J55" s="26">
        <v>5007600</v>
      </c>
      <c r="K55" s="26">
        <v>5007600</v>
      </c>
      <c r="L55" s="26">
        <v>5007600</v>
      </c>
      <c r="M55" s="26">
        <v>5007600</v>
      </c>
      <c r="N55" s="26">
        <v>5007600</v>
      </c>
      <c r="O55" s="26">
        <v>5007600</v>
      </c>
      <c r="P55" s="26">
        <v>5007600</v>
      </c>
      <c r="Q55" s="26">
        <v>5007600</v>
      </c>
      <c r="R55" s="26">
        <v>5007600</v>
      </c>
      <c r="S55" s="26">
        <v>5007600</v>
      </c>
      <c r="T55" s="26">
        <v>5007600</v>
      </c>
      <c r="U55" s="26">
        <v>5007600</v>
      </c>
      <c r="V55" s="26">
        <v>5007600</v>
      </c>
      <c r="W55" s="26">
        <v>5007600</v>
      </c>
      <c r="X55" s="26">
        <v>5007600</v>
      </c>
      <c r="Y55" s="26">
        <v>5007600</v>
      </c>
      <c r="Z55" s="26">
        <v>5007600</v>
      </c>
      <c r="AA55" s="26">
        <v>5007600</v>
      </c>
      <c r="AB55" s="26">
        <v>5007600</v>
      </c>
      <c r="AC55" s="26">
        <v>5007600</v>
      </c>
      <c r="AD55" s="26">
        <v>5007600</v>
      </c>
      <c r="AE55" s="26">
        <v>5007600</v>
      </c>
      <c r="AF55" s="26">
        <v>730000</v>
      </c>
      <c r="AG55" s="26">
        <v>730000</v>
      </c>
      <c r="AH55" s="26">
        <v>730000</v>
      </c>
      <c r="AI55" s="26">
        <v>730000</v>
      </c>
      <c r="AJ55" s="26">
        <v>730000</v>
      </c>
      <c r="AK55" s="26">
        <v>730000</v>
      </c>
      <c r="AL55" s="26">
        <v>730000</v>
      </c>
      <c r="AM55" s="26">
        <v>730000</v>
      </c>
      <c r="AN55" s="26">
        <v>730000</v>
      </c>
      <c r="AO55" s="26">
        <v>730000</v>
      </c>
      <c r="AP55" s="26">
        <v>730000</v>
      </c>
      <c r="AQ55" s="26">
        <v>730000</v>
      </c>
      <c r="AR55" s="26">
        <v>500000</v>
      </c>
      <c r="AS55" s="26">
        <v>500000</v>
      </c>
      <c r="AT55" s="26">
        <v>500000</v>
      </c>
      <c r="AU55" s="26">
        <v>500000</v>
      </c>
      <c r="AV55" s="26">
        <v>500000</v>
      </c>
      <c r="AW55" s="26">
        <v>500000</v>
      </c>
      <c r="AX55" s="26">
        <v>500000</v>
      </c>
      <c r="AY55" s="26">
        <v>500000</v>
      </c>
      <c r="AZ55" s="26">
        <v>500000</v>
      </c>
      <c r="BA55" s="26">
        <v>500000</v>
      </c>
      <c r="BB55" s="26">
        <v>500000</v>
      </c>
      <c r="BC55" s="26">
        <v>500000</v>
      </c>
      <c r="BD55" s="26">
        <v>0</v>
      </c>
      <c r="BE55" s="26">
        <v>0</v>
      </c>
      <c r="BF55" s="26">
        <v>0</v>
      </c>
      <c r="BG55" s="26">
        <v>0</v>
      </c>
      <c r="BH55" s="26">
        <v>0</v>
      </c>
      <c r="BI55" s="26">
        <v>0</v>
      </c>
      <c r="BJ55" s="26">
        <v>0</v>
      </c>
      <c r="BK55" s="26">
        <v>0</v>
      </c>
      <c r="BL55" s="26">
        <v>0</v>
      </c>
      <c r="BM55" s="26">
        <v>0</v>
      </c>
      <c r="BN55" s="26">
        <v>0</v>
      </c>
      <c r="BO55" s="26">
        <v>0</v>
      </c>
      <c r="BP55" s="26">
        <v>1200000</v>
      </c>
      <c r="BQ55" s="26">
        <v>1200000</v>
      </c>
      <c r="BR55" s="26">
        <v>1200000</v>
      </c>
      <c r="BS55" s="26">
        <v>1200000</v>
      </c>
      <c r="BT55" s="26">
        <v>1200000</v>
      </c>
      <c r="BU55" s="26">
        <v>1200000</v>
      </c>
      <c r="BV55" s="26">
        <v>1200000</v>
      </c>
      <c r="BW55" s="26">
        <v>1200000</v>
      </c>
      <c r="BX55" s="26">
        <v>1200000</v>
      </c>
      <c r="BY55" s="26">
        <v>1200000</v>
      </c>
      <c r="BZ55" s="26">
        <v>1200000</v>
      </c>
      <c r="CA55" s="26">
        <v>1200000</v>
      </c>
      <c r="CB55" s="26">
        <v>3500000</v>
      </c>
      <c r="CC55" s="26">
        <v>3500000</v>
      </c>
      <c r="CD55" s="26">
        <v>3500000</v>
      </c>
      <c r="CE55" s="26">
        <v>3500000</v>
      </c>
      <c r="CF55" s="26">
        <v>3500000</v>
      </c>
      <c r="CG55" s="26">
        <v>3500000</v>
      </c>
      <c r="CH55" s="26">
        <v>3500000</v>
      </c>
      <c r="CI55" s="26">
        <v>3500000</v>
      </c>
      <c r="CJ55" s="26">
        <v>3500000</v>
      </c>
      <c r="CK55" s="26">
        <v>3500000</v>
      </c>
      <c r="CL55" s="26">
        <v>3500000</v>
      </c>
      <c r="CM55" s="26">
        <v>3500000</v>
      </c>
      <c r="CN55" s="26">
        <v>5007600</v>
      </c>
      <c r="CO55" s="26">
        <v>23</v>
      </c>
      <c r="CP55" s="26">
        <v>5007600</v>
      </c>
      <c r="CQ55" s="26">
        <v>730000</v>
      </c>
      <c r="CR55" s="26">
        <v>500000</v>
      </c>
      <c r="CS55" s="26">
        <v>1200000</v>
      </c>
      <c r="CT55" s="26">
        <v>3500000</v>
      </c>
      <c r="CU55" s="26">
        <v>5930000</v>
      </c>
    </row>
    <row r="56" spans="1:99" x14ac:dyDescent="0.3">
      <c r="A56" s="26">
        <v>5</v>
      </c>
      <c r="B56" s="27" t="s">
        <v>29</v>
      </c>
      <c r="C56" s="27" t="s">
        <v>30</v>
      </c>
      <c r="D56" s="27" t="s">
        <v>26</v>
      </c>
      <c r="E56" s="27" t="s">
        <v>27</v>
      </c>
      <c r="F56" s="26">
        <v>8485445999</v>
      </c>
      <c r="G56" s="27" t="s">
        <v>31</v>
      </c>
      <c r="H56" s="26">
        <v>5007600</v>
      </c>
      <c r="I56" s="26">
        <v>5007600</v>
      </c>
      <c r="J56" s="26">
        <v>5007600</v>
      </c>
      <c r="K56" s="26">
        <v>5007600</v>
      </c>
      <c r="L56" s="26">
        <v>5007600</v>
      </c>
      <c r="M56" s="26">
        <v>5007600</v>
      </c>
      <c r="N56" s="26">
        <v>5007600</v>
      </c>
      <c r="O56" s="26">
        <v>5007600</v>
      </c>
      <c r="P56" s="26">
        <v>5007600</v>
      </c>
      <c r="Q56" s="26">
        <v>5007600</v>
      </c>
      <c r="R56" s="26">
        <v>5007600</v>
      </c>
      <c r="S56" s="26">
        <v>5007600</v>
      </c>
      <c r="T56" s="26">
        <v>5007600</v>
      </c>
      <c r="U56" s="26">
        <v>5007600</v>
      </c>
      <c r="V56" s="26">
        <v>5007600</v>
      </c>
      <c r="W56" s="26">
        <v>5007600</v>
      </c>
      <c r="X56" s="26">
        <v>5007600</v>
      </c>
      <c r="Y56" s="26">
        <v>5007600</v>
      </c>
      <c r="Z56" s="26">
        <v>5007600</v>
      </c>
      <c r="AA56" s="26">
        <v>5007600</v>
      </c>
      <c r="AB56" s="26">
        <v>5007600</v>
      </c>
      <c r="AC56" s="26">
        <v>5007600</v>
      </c>
      <c r="AD56" s="26">
        <v>5007600</v>
      </c>
      <c r="AE56" s="26">
        <v>5007600</v>
      </c>
      <c r="AF56" s="26">
        <v>730000</v>
      </c>
      <c r="AG56" s="26">
        <v>730000</v>
      </c>
      <c r="AH56" s="26">
        <v>730000</v>
      </c>
      <c r="AI56" s="26">
        <v>730000</v>
      </c>
      <c r="AJ56" s="26">
        <v>730000</v>
      </c>
      <c r="AK56" s="26">
        <v>730000</v>
      </c>
      <c r="AL56" s="26">
        <v>730000</v>
      </c>
      <c r="AM56" s="26">
        <v>730000</v>
      </c>
      <c r="AN56" s="26">
        <v>730000</v>
      </c>
      <c r="AO56" s="26">
        <v>730000</v>
      </c>
      <c r="AP56" s="26">
        <v>730000</v>
      </c>
      <c r="AQ56" s="26">
        <v>730000</v>
      </c>
      <c r="AR56" s="26">
        <v>500000</v>
      </c>
      <c r="AS56" s="26">
        <v>500000</v>
      </c>
      <c r="AT56" s="26">
        <v>500000</v>
      </c>
      <c r="AU56" s="26">
        <v>500000</v>
      </c>
      <c r="AV56" s="26">
        <v>500000</v>
      </c>
      <c r="AW56" s="26">
        <v>500000</v>
      </c>
      <c r="AX56" s="26">
        <v>500000</v>
      </c>
      <c r="AY56" s="26">
        <v>500000</v>
      </c>
      <c r="AZ56" s="26">
        <v>500000</v>
      </c>
      <c r="BA56" s="26">
        <v>500000</v>
      </c>
      <c r="BB56" s="26">
        <v>500000</v>
      </c>
      <c r="BC56" s="26">
        <v>500000</v>
      </c>
      <c r="BD56" s="26">
        <v>0</v>
      </c>
      <c r="BE56" s="26">
        <v>0</v>
      </c>
      <c r="BF56" s="26">
        <v>0</v>
      </c>
      <c r="BG56" s="26">
        <v>0</v>
      </c>
      <c r="BH56" s="26">
        <v>0</v>
      </c>
      <c r="BI56" s="26">
        <v>0</v>
      </c>
      <c r="BJ56" s="26">
        <v>0</v>
      </c>
      <c r="BK56" s="26">
        <v>0</v>
      </c>
      <c r="BL56" s="26">
        <v>0</v>
      </c>
      <c r="BM56" s="26">
        <v>0</v>
      </c>
      <c r="BN56" s="26">
        <v>0</v>
      </c>
      <c r="BO56" s="26">
        <v>0</v>
      </c>
      <c r="BP56" s="26">
        <v>1200000</v>
      </c>
      <c r="BQ56" s="26">
        <v>1200000</v>
      </c>
      <c r="BR56" s="26">
        <v>1200000</v>
      </c>
      <c r="BS56" s="26">
        <v>1200000</v>
      </c>
      <c r="BT56" s="26">
        <v>1200000</v>
      </c>
      <c r="BU56" s="26">
        <v>1200000</v>
      </c>
      <c r="BV56" s="26">
        <v>1200000</v>
      </c>
      <c r="BW56" s="26">
        <v>1200000</v>
      </c>
      <c r="BX56" s="26">
        <v>1200000</v>
      </c>
      <c r="BY56" s="26">
        <v>1200000</v>
      </c>
      <c r="BZ56" s="26">
        <v>1200000</v>
      </c>
      <c r="CA56" s="26">
        <v>1200000</v>
      </c>
      <c r="CB56" s="26">
        <v>3500000</v>
      </c>
      <c r="CC56" s="26">
        <v>3500000</v>
      </c>
      <c r="CD56" s="26">
        <v>3500000</v>
      </c>
      <c r="CE56" s="26">
        <v>3500000</v>
      </c>
      <c r="CF56" s="26">
        <v>3500000</v>
      </c>
      <c r="CG56" s="26">
        <v>3500000</v>
      </c>
      <c r="CH56" s="26">
        <v>3500000</v>
      </c>
      <c r="CI56" s="26">
        <v>3500000</v>
      </c>
      <c r="CJ56" s="26">
        <v>3500000</v>
      </c>
      <c r="CK56" s="26">
        <v>3500000</v>
      </c>
      <c r="CL56" s="26">
        <v>3500000</v>
      </c>
      <c r="CM56" s="26">
        <v>3500000</v>
      </c>
      <c r="CN56" s="26">
        <v>5007600</v>
      </c>
      <c r="CO56" s="26">
        <v>21</v>
      </c>
      <c r="CP56" s="26">
        <v>5007600</v>
      </c>
      <c r="CQ56" s="26">
        <v>730000</v>
      </c>
      <c r="CR56" s="26">
        <v>500000</v>
      </c>
      <c r="CS56" s="26">
        <v>1200000</v>
      </c>
      <c r="CT56" s="26">
        <v>3500000</v>
      </c>
      <c r="CU56" s="26">
        <v>5930000</v>
      </c>
    </row>
    <row r="57" spans="1:99" x14ac:dyDescent="0.3">
      <c r="A57" s="26">
        <v>5</v>
      </c>
      <c r="B57" s="27" t="s">
        <v>29</v>
      </c>
      <c r="C57" s="27" t="s">
        <v>30</v>
      </c>
      <c r="D57" s="27" t="s">
        <v>26</v>
      </c>
      <c r="E57" s="27" t="s">
        <v>27</v>
      </c>
      <c r="F57" s="26">
        <v>8485445999</v>
      </c>
      <c r="G57" s="27" t="s">
        <v>31</v>
      </c>
      <c r="H57" s="26">
        <v>5007600</v>
      </c>
      <c r="I57" s="26">
        <v>5007600</v>
      </c>
      <c r="J57" s="26">
        <v>5007600</v>
      </c>
      <c r="K57" s="26">
        <v>5007600</v>
      </c>
      <c r="L57" s="26">
        <v>5007600</v>
      </c>
      <c r="M57" s="26">
        <v>5007600</v>
      </c>
      <c r="N57" s="26">
        <v>5007600</v>
      </c>
      <c r="O57" s="26">
        <v>5007600</v>
      </c>
      <c r="P57" s="26">
        <v>5007600</v>
      </c>
      <c r="Q57" s="26">
        <v>5007600</v>
      </c>
      <c r="R57" s="26">
        <v>5007600</v>
      </c>
      <c r="S57" s="26">
        <v>5007600</v>
      </c>
      <c r="T57" s="26">
        <v>5007600</v>
      </c>
      <c r="U57" s="26">
        <v>5007600</v>
      </c>
      <c r="V57" s="26">
        <v>5007600</v>
      </c>
      <c r="W57" s="26">
        <v>5007600</v>
      </c>
      <c r="X57" s="26">
        <v>5007600</v>
      </c>
      <c r="Y57" s="26">
        <v>5007600</v>
      </c>
      <c r="Z57" s="26">
        <v>5007600</v>
      </c>
      <c r="AA57" s="26">
        <v>5007600</v>
      </c>
      <c r="AB57" s="26">
        <v>5007600</v>
      </c>
      <c r="AC57" s="26">
        <v>5007600</v>
      </c>
      <c r="AD57" s="26">
        <v>5007600</v>
      </c>
      <c r="AE57" s="26">
        <v>5007600</v>
      </c>
      <c r="AF57" s="26">
        <v>730000</v>
      </c>
      <c r="AG57" s="26">
        <v>730000</v>
      </c>
      <c r="AH57" s="26">
        <v>730000</v>
      </c>
      <c r="AI57" s="26">
        <v>730000</v>
      </c>
      <c r="AJ57" s="26">
        <v>730000</v>
      </c>
      <c r="AK57" s="26">
        <v>730000</v>
      </c>
      <c r="AL57" s="26">
        <v>730000</v>
      </c>
      <c r="AM57" s="26">
        <v>730000</v>
      </c>
      <c r="AN57" s="26">
        <v>730000</v>
      </c>
      <c r="AO57" s="26">
        <v>730000</v>
      </c>
      <c r="AP57" s="26">
        <v>730000</v>
      </c>
      <c r="AQ57" s="26">
        <v>730000</v>
      </c>
      <c r="AR57" s="26">
        <v>500000</v>
      </c>
      <c r="AS57" s="26">
        <v>500000</v>
      </c>
      <c r="AT57" s="26">
        <v>500000</v>
      </c>
      <c r="AU57" s="26">
        <v>500000</v>
      </c>
      <c r="AV57" s="26">
        <v>500000</v>
      </c>
      <c r="AW57" s="26">
        <v>500000</v>
      </c>
      <c r="AX57" s="26">
        <v>500000</v>
      </c>
      <c r="AY57" s="26">
        <v>500000</v>
      </c>
      <c r="AZ57" s="26">
        <v>500000</v>
      </c>
      <c r="BA57" s="26">
        <v>500000</v>
      </c>
      <c r="BB57" s="26">
        <v>500000</v>
      </c>
      <c r="BC57" s="26">
        <v>500000</v>
      </c>
      <c r="BD57" s="26">
        <v>0</v>
      </c>
      <c r="BE57" s="26">
        <v>0</v>
      </c>
      <c r="BF57" s="26">
        <v>0</v>
      </c>
      <c r="BG57" s="26">
        <v>0</v>
      </c>
      <c r="BH57" s="26">
        <v>0</v>
      </c>
      <c r="BI57" s="26">
        <v>0</v>
      </c>
      <c r="BJ57" s="26">
        <v>0</v>
      </c>
      <c r="BK57" s="26">
        <v>0</v>
      </c>
      <c r="BL57" s="26">
        <v>0</v>
      </c>
      <c r="BM57" s="26">
        <v>0</v>
      </c>
      <c r="BN57" s="26">
        <v>0</v>
      </c>
      <c r="BO57" s="26">
        <v>0</v>
      </c>
      <c r="BP57" s="26">
        <v>1200000</v>
      </c>
      <c r="BQ57" s="26">
        <v>1200000</v>
      </c>
      <c r="BR57" s="26">
        <v>1200000</v>
      </c>
      <c r="BS57" s="26">
        <v>1200000</v>
      </c>
      <c r="BT57" s="26">
        <v>1200000</v>
      </c>
      <c r="BU57" s="26">
        <v>1200000</v>
      </c>
      <c r="BV57" s="26">
        <v>1200000</v>
      </c>
      <c r="BW57" s="26">
        <v>1200000</v>
      </c>
      <c r="BX57" s="26">
        <v>1200000</v>
      </c>
      <c r="BY57" s="26">
        <v>1200000</v>
      </c>
      <c r="BZ57" s="26">
        <v>1200000</v>
      </c>
      <c r="CA57" s="26">
        <v>1200000</v>
      </c>
      <c r="CB57" s="26">
        <v>3500000</v>
      </c>
      <c r="CC57" s="26">
        <v>3500000</v>
      </c>
      <c r="CD57" s="26">
        <v>3500000</v>
      </c>
      <c r="CE57" s="26">
        <v>3500000</v>
      </c>
      <c r="CF57" s="26">
        <v>3500000</v>
      </c>
      <c r="CG57" s="26">
        <v>3500000</v>
      </c>
      <c r="CH57" s="26">
        <v>3500000</v>
      </c>
      <c r="CI57" s="26">
        <v>3500000</v>
      </c>
      <c r="CJ57" s="26">
        <v>3500000</v>
      </c>
      <c r="CK57" s="26">
        <v>3500000</v>
      </c>
      <c r="CL57" s="26">
        <v>3500000</v>
      </c>
      <c r="CM57" s="26">
        <v>3500000</v>
      </c>
      <c r="CN57" s="26">
        <v>5007600</v>
      </c>
      <c r="CO57" s="26">
        <v>22</v>
      </c>
      <c r="CP57" s="26">
        <v>5007600</v>
      </c>
      <c r="CQ57" s="26">
        <v>730000</v>
      </c>
      <c r="CR57" s="26">
        <v>500000</v>
      </c>
      <c r="CS57" s="26">
        <v>1200000</v>
      </c>
      <c r="CT57" s="26">
        <v>3500000</v>
      </c>
      <c r="CU57" s="26">
        <v>5930000</v>
      </c>
    </row>
    <row r="58" spans="1:99" x14ac:dyDescent="0.3">
      <c r="A58" s="26">
        <v>5</v>
      </c>
      <c r="B58" s="27" t="s">
        <v>29</v>
      </c>
      <c r="C58" s="27" t="s">
        <v>30</v>
      </c>
      <c r="D58" s="27" t="s">
        <v>26</v>
      </c>
      <c r="E58" s="27" t="s">
        <v>27</v>
      </c>
      <c r="F58" s="26">
        <v>8485445999</v>
      </c>
      <c r="G58" s="27" t="s">
        <v>31</v>
      </c>
      <c r="H58" s="26">
        <v>5007600</v>
      </c>
      <c r="I58" s="26">
        <v>5007600</v>
      </c>
      <c r="J58" s="26">
        <v>5007600</v>
      </c>
      <c r="K58" s="26">
        <v>5007600</v>
      </c>
      <c r="L58" s="26">
        <v>5007600</v>
      </c>
      <c r="M58" s="26">
        <v>5007600</v>
      </c>
      <c r="N58" s="26">
        <v>5007600</v>
      </c>
      <c r="O58" s="26">
        <v>5007600</v>
      </c>
      <c r="P58" s="26">
        <v>5007600</v>
      </c>
      <c r="Q58" s="26">
        <v>5007600</v>
      </c>
      <c r="R58" s="26">
        <v>5007600</v>
      </c>
      <c r="S58" s="26">
        <v>5007600</v>
      </c>
      <c r="T58" s="26">
        <v>5007600</v>
      </c>
      <c r="U58" s="26">
        <v>5007600</v>
      </c>
      <c r="V58" s="26">
        <v>5007600</v>
      </c>
      <c r="W58" s="26">
        <v>5007600</v>
      </c>
      <c r="X58" s="26">
        <v>5007600</v>
      </c>
      <c r="Y58" s="26">
        <v>5007600</v>
      </c>
      <c r="Z58" s="26">
        <v>5007600</v>
      </c>
      <c r="AA58" s="26">
        <v>5007600</v>
      </c>
      <c r="AB58" s="26">
        <v>5007600</v>
      </c>
      <c r="AC58" s="26">
        <v>5007600</v>
      </c>
      <c r="AD58" s="26">
        <v>5007600</v>
      </c>
      <c r="AE58" s="26">
        <v>5007600</v>
      </c>
      <c r="AF58" s="26">
        <v>730000</v>
      </c>
      <c r="AG58" s="26">
        <v>730000</v>
      </c>
      <c r="AH58" s="26">
        <v>730000</v>
      </c>
      <c r="AI58" s="26">
        <v>730000</v>
      </c>
      <c r="AJ58" s="26">
        <v>730000</v>
      </c>
      <c r="AK58" s="26">
        <v>730000</v>
      </c>
      <c r="AL58" s="26">
        <v>730000</v>
      </c>
      <c r="AM58" s="26">
        <v>730000</v>
      </c>
      <c r="AN58" s="26">
        <v>730000</v>
      </c>
      <c r="AO58" s="26">
        <v>730000</v>
      </c>
      <c r="AP58" s="26">
        <v>730000</v>
      </c>
      <c r="AQ58" s="26">
        <v>730000</v>
      </c>
      <c r="AR58" s="26">
        <v>500000</v>
      </c>
      <c r="AS58" s="26">
        <v>500000</v>
      </c>
      <c r="AT58" s="26">
        <v>500000</v>
      </c>
      <c r="AU58" s="26">
        <v>500000</v>
      </c>
      <c r="AV58" s="26">
        <v>500000</v>
      </c>
      <c r="AW58" s="26">
        <v>500000</v>
      </c>
      <c r="AX58" s="26">
        <v>500000</v>
      </c>
      <c r="AY58" s="26">
        <v>500000</v>
      </c>
      <c r="AZ58" s="26">
        <v>500000</v>
      </c>
      <c r="BA58" s="26">
        <v>500000</v>
      </c>
      <c r="BB58" s="26">
        <v>500000</v>
      </c>
      <c r="BC58" s="26">
        <v>500000</v>
      </c>
      <c r="BD58" s="26">
        <v>0</v>
      </c>
      <c r="BE58" s="26">
        <v>0</v>
      </c>
      <c r="BF58" s="26">
        <v>0</v>
      </c>
      <c r="BG58" s="26">
        <v>0</v>
      </c>
      <c r="BH58" s="26">
        <v>0</v>
      </c>
      <c r="BI58" s="26">
        <v>0</v>
      </c>
      <c r="BJ58" s="26">
        <v>0</v>
      </c>
      <c r="BK58" s="26">
        <v>0</v>
      </c>
      <c r="BL58" s="26">
        <v>0</v>
      </c>
      <c r="BM58" s="26">
        <v>0</v>
      </c>
      <c r="BN58" s="26">
        <v>0</v>
      </c>
      <c r="BO58" s="26">
        <v>0</v>
      </c>
      <c r="BP58" s="26">
        <v>1200000</v>
      </c>
      <c r="BQ58" s="26">
        <v>1200000</v>
      </c>
      <c r="BR58" s="26">
        <v>1200000</v>
      </c>
      <c r="BS58" s="26">
        <v>1200000</v>
      </c>
      <c r="BT58" s="26">
        <v>1200000</v>
      </c>
      <c r="BU58" s="26">
        <v>1200000</v>
      </c>
      <c r="BV58" s="26">
        <v>1200000</v>
      </c>
      <c r="BW58" s="26">
        <v>1200000</v>
      </c>
      <c r="BX58" s="26">
        <v>1200000</v>
      </c>
      <c r="BY58" s="26">
        <v>1200000</v>
      </c>
      <c r="BZ58" s="26">
        <v>1200000</v>
      </c>
      <c r="CA58" s="26">
        <v>1200000</v>
      </c>
      <c r="CB58" s="26">
        <v>3500000</v>
      </c>
      <c r="CC58" s="26">
        <v>3500000</v>
      </c>
      <c r="CD58" s="26">
        <v>3500000</v>
      </c>
      <c r="CE58" s="26">
        <v>3500000</v>
      </c>
      <c r="CF58" s="26">
        <v>3500000</v>
      </c>
      <c r="CG58" s="26">
        <v>3500000</v>
      </c>
      <c r="CH58" s="26">
        <v>3500000</v>
      </c>
      <c r="CI58" s="26">
        <v>3500000</v>
      </c>
      <c r="CJ58" s="26">
        <v>3500000</v>
      </c>
      <c r="CK58" s="26">
        <v>3500000</v>
      </c>
      <c r="CL58" s="26">
        <v>3500000</v>
      </c>
      <c r="CM58" s="26">
        <v>3500000</v>
      </c>
      <c r="CN58" s="26">
        <v>5007600</v>
      </c>
      <c r="CO58" s="26">
        <v>22</v>
      </c>
      <c r="CP58" s="26">
        <v>5007600</v>
      </c>
      <c r="CQ58" s="26">
        <v>730000</v>
      </c>
      <c r="CR58" s="26">
        <v>500000</v>
      </c>
      <c r="CS58" s="26">
        <v>1200000</v>
      </c>
      <c r="CT58" s="26">
        <v>3500000</v>
      </c>
      <c r="CU58" s="26">
        <v>5930000</v>
      </c>
    </row>
    <row r="59" spans="1:99" x14ac:dyDescent="0.3">
      <c r="A59" s="26">
        <v>5</v>
      </c>
      <c r="B59" s="27" t="s">
        <v>29</v>
      </c>
      <c r="C59" s="27" t="s">
        <v>30</v>
      </c>
      <c r="D59" s="27" t="s">
        <v>26</v>
      </c>
      <c r="E59" s="27" t="s">
        <v>27</v>
      </c>
      <c r="F59" s="26">
        <v>8485445999</v>
      </c>
      <c r="G59" s="27" t="s">
        <v>31</v>
      </c>
      <c r="H59" s="26">
        <v>5007600</v>
      </c>
      <c r="I59" s="26">
        <v>5007600</v>
      </c>
      <c r="J59" s="26">
        <v>5007600</v>
      </c>
      <c r="K59" s="26">
        <v>5007600</v>
      </c>
      <c r="L59" s="26">
        <v>5007600</v>
      </c>
      <c r="M59" s="26">
        <v>5007600</v>
      </c>
      <c r="N59" s="26">
        <v>5007600</v>
      </c>
      <c r="O59" s="26">
        <v>5007600</v>
      </c>
      <c r="P59" s="26">
        <v>5007600</v>
      </c>
      <c r="Q59" s="26">
        <v>5007600</v>
      </c>
      <c r="R59" s="26">
        <v>5007600</v>
      </c>
      <c r="S59" s="26">
        <v>5007600</v>
      </c>
      <c r="T59" s="26">
        <v>5007600</v>
      </c>
      <c r="U59" s="26">
        <v>5007600</v>
      </c>
      <c r="V59" s="26">
        <v>5007600</v>
      </c>
      <c r="W59" s="26">
        <v>5007600</v>
      </c>
      <c r="X59" s="26">
        <v>5007600</v>
      </c>
      <c r="Y59" s="26">
        <v>5007600</v>
      </c>
      <c r="Z59" s="26">
        <v>5007600</v>
      </c>
      <c r="AA59" s="26">
        <v>5007600</v>
      </c>
      <c r="AB59" s="26">
        <v>5007600</v>
      </c>
      <c r="AC59" s="26">
        <v>5007600</v>
      </c>
      <c r="AD59" s="26">
        <v>5007600</v>
      </c>
      <c r="AE59" s="26">
        <v>5007600</v>
      </c>
      <c r="AF59" s="26">
        <v>730000</v>
      </c>
      <c r="AG59" s="26">
        <v>730000</v>
      </c>
      <c r="AH59" s="26">
        <v>730000</v>
      </c>
      <c r="AI59" s="26">
        <v>730000</v>
      </c>
      <c r="AJ59" s="26">
        <v>730000</v>
      </c>
      <c r="AK59" s="26">
        <v>730000</v>
      </c>
      <c r="AL59" s="26">
        <v>730000</v>
      </c>
      <c r="AM59" s="26">
        <v>730000</v>
      </c>
      <c r="AN59" s="26">
        <v>730000</v>
      </c>
      <c r="AO59" s="26">
        <v>730000</v>
      </c>
      <c r="AP59" s="26">
        <v>730000</v>
      </c>
      <c r="AQ59" s="26">
        <v>730000</v>
      </c>
      <c r="AR59" s="26">
        <v>500000</v>
      </c>
      <c r="AS59" s="26">
        <v>500000</v>
      </c>
      <c r="AT59" s="26">
        <v>500000</v>
      </c>
      <c r="AU59" s="26">
        <v>500000</v>
      </c>
      <c r="AV59" s="26">
        <v>500000</v>
      </c>
      <c r="AW59" s="26">
        <v>500000</v>
      </c>
      <c r="AX59" s="26">
        <v>500000</v>
      </c>
      <c r="AY59" s="26">
        <v>500000</v>
      </c>
      <c r="AZ59" s="26">
        <v>500000</v>
      </c>
      <c r="BA59" s="26">
        <v>500000</v>
      </c>
      <c r="BB59" s="26">
        <v>500000</v>
      </c>
      <c r="BC59" s="26">
        <v>500000</v>
      </c>
      <c r="BD59" s="26">
        <v>0</v>
      </c>
      <c r="BE59" s="26">
        <v>0</v>
      </c>
      <c r="BF59" s="26">
        <v>0</v>
      </c>
      <c r="BG59" s="26">
        <v>0</v>
      </c>
      <c r="BH59" s="26">
        <v>0</v>
      </c>
      <c r="BI59" s="26">
        <v>0</v>
      </c>
      <c r="BJ59" s="26">
        <v>0</v>
      </c>
      <c r="BK59" s="26">
        <v>0</v>
      </c>
      <c r="BL59" s="26">
        <v>0</v>
      </c>
      <c r="BM59" s="26">
        <v>0</v>
      </c>
      <c r="BN59" s="26">
        <v>0</v>
      </c>
      <c r="BO59" s="26">
        <v>0</v>
      </c>
      <c r="BP59" s="26">
        <v>1200000</v>
      </c>
      <c r="BQ59" s="26">
        <v>1200000</v>
      </c>
      <c r="BR59" s="26">
        <v>1200000</v>
      </c>
      <c r="BS59" s="26">
        <v>1200000</v>
      </c>
      <c r="BT59" s="26">
        <v>1200000</v>
      </c>
      <c r="BU59" s="26">
        <v>1200000</v>
      </c>
      <c r="BV59" s="26">
        <v>1200000</v>
      </c>
      <c r="BW59" s="26">
        <v>1200000</v>
      </c>
      <c r="BX59" s="26">
        <v>1200000</v>
      </c>
      <c r="BY59" s="26">
        <v>1200000</v>
      </c>
      <c r="BZ59" s="26">
        <v>1200000</v>
      </c>
      <c r="CA59" s="26">
        <v>1200000</v>
      </c>
      <c r="CB59" s="26">
        <v>3500000</v>
      </c>
      <c r="CC59" s="26">
        <v>3500000</v>
      </c>
      <c r="CD59" s="26">
        <v>3500000</v>
      </c>
      <c r="CE59" s="26">
        <v>3500000</v>
      </c>
      <c r="CF59" s="26">
        <v>3500000</v>
      </c>
      <c r="CG59" s="26">
        <v>3500000</v>
      </c>
      <c r="CH59" s="26">
        <v>3500000</v>
      </c>
      <c r="CI59" s="26">
        <v>3500000</v>
      </c>
      <c r="CJ59" s="26">
        <v>3500000</v>
      </c>
      <c r="CK59" s="26">
        <v>3500000</v>
      </c>
      <c r="CL59" s="26">
        <v>3500000</v>
      </c>
      <c r="CM59" s="26">
        <v>3500000</v>
      </c>
      <c r="CN59" s="26">
        <v>5007600</v>
      </c>
      <c r="CO59" s="26">
        <v>22</v>
      </c>
      <c r="CP59" s="26">
        <v>5007600</v>
      </c>
      <c r="CQ59" s="26">
        <v>730000</v>
      </c>
      <c r="CR59" s="26">
        <v>500000</v>
      </c>
      <c r="CS59" s="26">
        <v>1200000</v>
      </c>
      <c r="CT59" s="26">
        <v>3500000</v>
      </c>
      <c r="CU59" s="26">
        <v>5930000</v>
      </c>
    </row>
    <row r="60" spans="1:99" x14ac:dyDescent="0.3">
      <c r="A60" s="26">
        <v>5</v>
      </c>
      <c r="B60" s="27" t="s">
        <v>29</v>
      </c>
      <c r="C60" s="27" t="s">
        <v>30</v>
      </c>
      <c r="D60" s="27" t="s">
        <v>26</v>
      </c>
      <c r="E60" s="27" t="s">
        <v>27</v>
      </c>
      <c r="F60" s="26">
        <v>8485445999</v>
      </c>
      <c r="G60" s="27" t="s">
        <v>31</v>
      </c>
      <c r="H60" s="26">
        <v>5007600</v>
      </c>
      <c r="I60" s="26">
        <v>5007600</v>
      </c>
      <c r="J60" s="26">
        <v>5007600</v>
      </c>
      <c r="K60" s="26">
        <v>5007600</v>
      </c>
      <c r="L60" s="26">
        <v>5007600</v>
      </c>
      <c r="M60" s="26">
        <v>5007600</v>
      </c>
      <c r="N60" s="26">
        <v>5007600</v>
      </c>
      <c r="O60" s="26">
        <v>5007600</v>
      </c>
      <c r="P60" s="26">
        <v>5007600</v>
      </c>
      <c r="Q60" s="26">
        <v>5007600</v>
      </c>
      <c r="R60" s="26">
        <v>5007600</v>
      </c>
      <c r="S60" s="26">
        <v>5007600</v>
      </c>
      <c r="T60" s="26">
        <v>5007600</v>
      </c>
      <c r="U60" s="26">
        <v>5007600</v>
      </c>
      <c r="V60" s="26">
        <v>5007600</v>
      </c>
      <c r="W60" s="26">
        <v>5007600</v>
      </c>
      <c r="X60" s="26">
        <v>5007600</v>
      </c>
      <c r="Y60" s="26">
        <v>5007600</v>
      </c>
      <c r="Z60" s="26">
        <v>5007600</v>
      </c>
      <c r="AA60" s="26">
        <v>5007600</v>
      </c>
      <c r="AB60" s="26">
        <v>5007600</v>
      </c>
      <c r="AC60" s="26">
        <v>5007600</v>
      </c>
      <c r="AD60" s="26">
        <v>5007600</v>
      </c>
      <c r="AE60" s="26">
        <v>5007600</v>
      </c>
      <c r="AF60" s="26">
        <v>730000</v>
      </c>
      <c r="AG60" s="26">
        <v>730000</v>
      </c>
      <c r="AH60" s="26">
        <v>730000</v>
      </c>
      <c r="AI60" s="26">
        <v>730000</v>
      </c>
      <c r="AJ60" s="26">
        <v>730000</v>
      </c>
      <c r="AK60" s="26">
        <v>730000</v>
      </c>
      <c r="AL60" s="26">
        <v>730000</v>
      </c>
      <c r="AM60" s="26">
        <v>730000</v>
      </c>
      <c r="AN60" s="26">
        <v>730000</v>
      </c>
      <c r="AO60" s="26">
        <v>730000</v>
      </c>
      <c r="AP60" s="26">
        <v>730000</v>
      </c>
      <c r="AQ60" s="26">
        <v>730000</v>
      </c>
      <c r="AR60" s="26">
        <v>500000</v>
      </c>
      <c r="AS60" s="26">
        <v>500000</v>
      </c>
      <c r="AT60" s="26">
        <v>500000</v>
      </c>
      <c r="AU60" s="26">
        <v>500000</v>
      </c>
      <c r="AV60" s="26">
        <v>500000</v>
      </c>
      <c r="AW60" s="26">
        <v>500000</v>
      </c>
      <c r="AX60" s="26">
        <v>500000</v>
      </c>
      <c r="AY60" s="26">
        <v>500000</v>
      </c>
      <c r="AZ60" s="26">
        <v>500000</v>
      </c>
      <c r="BA60" s="26">
        <v>500000</v>
      </c>
      <c r="BB60" s="26">
        <v>500000</v>
      </c>
      <c r="BC60" s="26">
        <v>500000</v>
      </c>
      <c r="BD60" s="26">
        <v>0</v>
      </c>
      <c r="BE60" s="26">
        <v>0</v>
      </c>
      <c r="BF60" s="26">
        <v>0</v>
      </c>
      <c r="BG60" s="26">
        <v>0</v>
      </c>
      <c r="BH60" s="26">
        <v>0</v>
      </c>
      <c r="BI60" s="26">
        <v>0</v>
      </c>
      <c r="BJ60" s="26">
        <v>0</v>
      </c>
      <c r="BK60" s="26">
        <v>0</v>
      </c>
      <c r="BL60" s="26">
        <v>0</v>
      </c>
      <c r="BM60" s="26">
        <v>0</v>
      </c>
      <c r="BN60" s="26">
        <v>0</v>
      </c>
      <c r="BO60" s="26">
        <v>0</v>
      </c>
      <c r="BP60" s="26">
        <v>1200000</v>
      </c>
      <c r="BQ60" s="26">
        <v>1200000</v>
      </c>
      <c r="BR60" s="26">
        <v>1200000</v>
      </c>
      <c r="BS60" s="26">
        <v>1200000</v>
      </c>
      <c r="BT60" s="26">
        <v>1200000</v>
      </c>
      <c r="BU60" s="26">
        <v>1200000</v>
      </c>
      <c r="BV60" s="26">
        <v>1200000</v>
      </c>
      <c r="BW60" s="26">
        <v>1200000</v>
      </c>
      <c r="BX60" s="26">
        <v>1200000</v>
      </c>
      <c r="BY60" s="26">
        <v>1200000</v>
      </c>
      <c r="BZ60" s="26">
        <v>1200000</v>
      </c>
      <c r="CA60" s="26">
        <v>1200000</v>
      </c>
      <c r="CB60" s="26">
        <v>3500000</v>
      </c>
      <c r="CC60" s="26">
        <v>3500000</v>
      </c>
      <c r="CD60" s="26">
        <v>3500000</v>
      </c>
      <c r="CE60" s="26">
        <v>3500000</v>
      </c>
      <c r="CF60" s="26">
        <v>3500000</v>
      </c>
      <c r="CG60" s="26">
        <v>3500000</v>
      </c>
      <c r="CH60" s="26">
        <v>3500000</v>
      </c>
      <c r="CI60" s="26">
        <v>3500000</v>
      </c>
      <c r="CJ60" s="26">
        <v>3500000</v>
      </c>
      <c r="CK60" s="26">
        <v>3500000</v>
      </c>
      <c r="CL60" s="26">
        <v>3500000</v>
      </c>
      <c r="CM60" s="26">
        <v>3500000</v>
      </c>
      <c r="CN60" s="26">
        <v>5007600</v>
      </c>
      <c r="CO60" s="26">
        <v>21</v>
      </c>
      <c r="CP60" s="26">
        <v>5007600</v>
      </c>
      <c r="CQ60" s="26">
        <v>730000</v>
      </c>
      <c r="CR60" s="26">
        <v>500000</v>
      </c>
      <c r="CS60" s="26">
        <v>1200000</v>
      </c>
      <c r="CT60" s="26">
        <v>3500000</v>
      </c>
      <c r="CU60" s="26">
        <v>5930000</v>
      </c>
    </row>
    <row r="61" spans="1:99" x14ac:dyDescent="0.3">
      <c r="A61" s="26">
        <v>5</v>
      </c>
      <c r="B61" s="27" t="s">
        <v>29</v>
      </c>
      <c r="C61" s="27" t="s">
        <v>30</v>
      </c>
      <c r="D61" s="27" t="s">
        <v>26</v>
      </c>
      <c r="E61" s="27" t="s">
        <v>27</v>
      </c>
      <c r="F61" s="26">
        <v>8485445999</v>
      </c>
      <c r="G61" s="27" t="s">
        <v>31</v>
      </c>
      <c r="H61" s="26">
        <v>5007600</v>
      </c>
      <c r="I61" s="26">
        <v>5007600</v>
      </c>
      <c r="J61" s="26">
        <v>5007600</v>
      </c>
      <c r="K61" s="26">
        <v>5007600</v>
      </c>
      <c r="L61" s="26">
        <v>5007600</v>
      </c>
      <c r="M61" s="26">
        <v>5007600</v>
      </c>
      <c r="N61" s="26">
        <v>5007600</v>
      </c>
      <c r="O61" s="26">
        <v>5007600</v>
      </c>
      <c r="P61" s="26">
        <v>5007600</v>
      </c>
      <c r="Q61" s="26">
        <v>5007600</v>
      </c>
      <c r="R61" s="26">
        <v>5007600</v>
      </c>
      <c r="S61" s="26">
        <v>5007600</v>
      </c>
      <c r="T61" s="26">
        <v>5007600</v>
      </c>
      <c r="U61" s="26">
        <v>5007600</v>
      </c>
      <c r="V61" s="26">
        <v>5007600</v>
      </c>
      <c r="W61" s="26">
        <v>5007600</v>
      </c>
      <c r="X61" s="26">
        <v>5007600</v>
      </c>
      <c r="Y61" s="26">
        <v>5007600</v>
      </c>
      <c r="Z61" s="26">
        <v>5007600</v>
      </c>
      <c r="AA61" s="26">
        <v>5007600</v>
      </c>
      <c r="AB61" s="26">
        <v>5007600</v>
      </c>
      <c r="AC61" s="26">
        <v>5007600</v>
      </c>
      <c r="AD61" s="26">
        <v>5007600</v>
      </c>
      <c r="AE61" s="26">
        <v>5007600</v>
      </c>
      <c r="AF61" s="26">
        <v>730000</v>
      </c>
      <c r="AG61" s="26">
        <v>730000</v>
      </c>
      <c r="AH61" s="26">
        <v>730000</v>
      </c>
      <c r="AI61" s="26">
        <v>730000</v>
      </c>
      <c r="AJ61" s="26">
        <v>730000</v>
      </c>
      <c r="AK61" s="26">
        <v>730000</v>
      </c>
      <c r="AL61" s="26">
        <v>730000</v>
      </c>
      <c r="AM61" s="26">
        <v>730000</v>
      </c>
      <c r="AN61" s="26">
        <v>730000</v>
      </c>
      <c r="AO61" s="26">
        <v>730000</v>
      </c>
      <c r="AP61" s="26">
        <v>730000</v>
      </c>
      <c r="AQ61" s="26">
        <v>730000</v>
      </c>
      <c r="AR61" s="26">
        <v>500000</v>
      </c>
      <c r="AS61" s="26">
        <v>500000</v>
      </c>
      <c r="AT61" s="26">
        <v>500000</v>
      </c>
      <c r="AU61" s="26">
        <v>500000</v>
      </c>
      <c r="AV61" s="26">
        <v>500000</v>
      </c>
      <c r="AW61" s="26">
        <v>500000</v>
      </c>
      <c r="AX61" s="26">
        <v>500000</v>
      </c>
      <c r="AY61" s="26">
        <v>500000</v>
      </c>
      <c r="AZ61" s="26">
        <v>500000</v>
      </c>
      <c r="BA61" s="26">
        <v>500000</v>
      </c>
      <c r="BB61" s="26">
        <v>500000</v>
      </c>
      <c r="BC61" s="26">
        <v>500000</v>
      </c>
      <c r="BD61" s="26">
        <v>0</v>
      </c>
      <c r="BE61" s="26">
        <v>0</v>
      </c>
      <c r="BF61" s="26">
        <v>0</v>
      </c>
      <c r="BG61" s="26">
        <v>0</v>
      </c>
      <c r="BH61" s="26">
        <v>0</v>
      </c>
      <c r="BI61" s="26">
        <v>0</v>
      </c>
      <c r="BJ61" s="26">
        <v>0</v>
      </c>
      <c r="BK61" s="26">
        <v>0</v>
      </c>
      <c r="BL61" s="26">
        <v>0</v>
      </c>
      <c r="BM61" s="26">
        <v>0</v>
      </c>
      <c r="BN61" s="26">
        <v>0</v>
      </c>
      <c r="BO61" s="26">
        <v>0</v>
      </c>
      <c r="BP61" s="26">
        <v>1200000</v>
      </c>
      <c r="BQ61" s="26">
        <v>1200000</v>
      </c>
      <c r="BR61" s="26">
        <v>1200000</v>
      </c>
      <c r="BS61" s="26">
        <v>1200000</v>
      </c>
      <c r="BT61" s="26">
        <v>1200000</v>
      </c>
      <c r="BU61" s="26">
        <v>1200000</v>
      </c>
      <c r="BV61" s="26">
        <v>1200000</v>
      </c>
      <c r="BW61" s="26">
        <v>1200000</v>
      </c>
      <c r="BX61" s="26">
        <v>1200000</v>
      </c>
      <c r="BY61" s="26">
        <v>1200000</v>
      </c>
      <c r="BZ61" s="26">
        <v>1200000</v>
      </c>
      <c r="CA61" s="26">
        <v>1200000</v>
      </c>
      <c r="CB61" s="26">
        <v>3500000</v>
      </c>
      <c r="CC61" s="26">
        <v>3500000</v>
      </c>
      <c r="CD61" s="26">
        <v>3500000</v>
      </c>
      <c r="CE61" s="26">
        <v>3500000</v>
      </c>
      <c r="CF61" s="26">
        <v>3500000</v>
      </c>
      <c r="CG61" s="26">
        <v>3500000</v>
      </c>
      <c r="CH61" s="26">
        <v>3500000</v>
      </c>
      <c r="CI61" s="26">
        <v>3500000</v>
      </c>
      <c r="CJ61" s="26">
        <v>3500000</v>
      </c>
      <c r="CK61" s="26">
        <v>3500000</v>
      </c>
      <c r="CL61" s="26">
        <v>3500000</v>
      </c>
      <c r="CM61" s="26">
        <v>3500000</v>
      </c>
      <c r="CN61" s="26">
        <v>5007600</v>
      </c>
      <c r="CO61" s="26">
        <v>23</v>
      </c>
      <c r="CP61" s="26">
        <v>5007600</v>
      </c>
      <c r="CQ61" s="26">
        <v>730000</v>
      </c>
      <c r="CR61" s="26">
        <v>500000</v>
      </c>
      <c r="CS61" s="26">
        <v>1200000</v>
      </c>
      <c r="CT61" s="26">
        <v>3500000</v>
      </c>
      <c r="CU61" s="26">
        <v>5930000</v>
      </c>
    </row>
    <row r="62" spans="1:99" x14ac:dyDescent="0.3">
      <c r="A62" s="26">
        <v>6</v>
      </c>
      <c r="B62" s="27" t="s">
        <v>32</v>
      </c>
      <c r="C62" s="27" t="s">
        <v>33</v>
      </c>
      <c r="D62" s="27" t="s">
        <v>26</v>
      </c>
      <c r="E62" s="27" t="s">
        <v>27</v>
      </c>
      <c r="F62" s="26">
        <v>8111578577</v>
      </c>
      <c r="G62" s="27" t="s">
        <v>34</v>
      </c>
      <c r="H62" s="26">
        <v>5007600</v>
      </c>
      <c r="I62" s="26">
        <v>5007600</v>
      </c>
      <c r="J62" s="26">
        <v>5007600</v>
      </c>
      <c r="K62" s="26">
        <v>5007600</v>
      </c>
      <c r="L62" s="26">
        <v>5007600</v>
      </c>
      <c r="M62" s="26">
        <v>5007600</v>
      </c>
      <c r="N62" s="26">
        <v>5007600</v>
      </c>
      <c r="O62" s="26">
        <v>5007600</v>
      </c>
      <c r="P62" s="26">
        <v>5007600</v>
      </c>
      <c r="Q62" s="26">
        <v>5007600</v>
      </c>
      <c r="R62" s="26">
        <v>5007600</v>
      </c>
      <c r="S62" s="26">
        <v>5007600</v>
      </c>
      <c r="T62" s="26">
        <v>5007600</v>
      </c>
      <c r="U62" s="26">
        <v>5007600</v>
      </c>
      <c r="V62" s="26">
        <v>5007600</v>
      </c>
      <c r="W62" s="26">
        <v>5007600</v>
      </c>
      <c r="X62" s="26">
        <v>5007600</v>
      </c>
      <c r="Y62" s="26">
        <v>5007600</v>
      </c>
      <c r="Z62" s="26">
        <v>5007600</v>
      </c>
      <c r="AA62" s="26">
        <v>5007600</v>
      </c>
      <c r="AB62" s="26">
        <v>5007600</v>
      </c>
      <c r="AC62" s="26">
        <v>5007600</v>
      </c>
      <c r="AD62" s="26">
        <v>5007600</v>
      </c>
      <c r="AE62" s="26">
        <v>5007600</v>
      </c>
      <c r="AF62" s="26">
        <v>730000</v>
      </c>
      <c r="AG62" s="26">
        <v>730000</v>
      </c>
      <c r="AH62" s="26">
        <v>730000</v>
      </c>
      <c r="AI62" s="26">
        <v>730000</v>
      </c>
      <c r="AJ62" s="26">
        <v>730000</v>
      </c>
      <c r="AK62" s="26">
        <v>730000</v>
      </c>
      <c r="AL62" s="26">
        <v>730000</v>
      </c>
      <c r="AM62" s="26">
        <v>730000</v>
      </c>
      <c r="AN62" s="26">
        <v>730000</v>
      </c>
      <c r="AO62" s="26">
        <v>730000</v>
      </c>
      <c r="AP62" s="26">
        <v>730000</v>
      </c>
      <c r="AQ62" s="26">
        <v>730000</v>
      </c>
      <c r="AR62" s="26">
        <v>500000</v>
      </c>
      <c r="AS62" s="26">
        <v>500000</v>
      </c>
      <c r="AT62" s="26">
        <v>500000</v>
      </c>
      <c r="AU62" s="26">
        <v>500000</v>
      </c>
      <c r="AV62" s="26">
        <v>500000</v>
      </c>
      <c r="AW62" s="26">
        <v>500000</v>
      </c>
      <c r="AX62" s="26">
        <v>500000</v>
      </c>
      <c r="AY62" s="26">
        <v>500000</v>
      </c>
      <c r="AZ62" s="26">
        <v>500000</v>
      </c>
      <c r="BA62" s="26">
        <v>500000</v>
      </c>
      <c r="BB62" s="26">
        <v>500000</v>
      </c>
      <c r="BC62" s="26">
        <v>500000</v>
      </c>
      <c r="BD62" s="26">
        <v>0</v>
      </c>
      <c r="BE62" s="26">
        <v>0</v>
      </c>
      <c r="BF62" s="26">
        <v>0</v>
      </c>
      <c r="BG62" s="26">
        <v>0</v>
      </c>
      <c r="BH62" s="26">
        <v>0</v>
      </c>
      <c r="BI62" s="26">
        <v>0</v>
      </c>
      <c r="BJ62" s="26">
        <v>0</v>
      </c>
      <c r="BK62" s="26">
        <v>0</v>
      </c>
      <c r="BL62" s="26">
        <v>0</v>
      </c>
      <c r="BM62" s="26">
        <v>0</v>
      </c>
      <c r="BN62" s="26">
        <v>0</v>
      </c>
      <c r="BO62" s="26">
        <v>0</v>
      </c>
      <c r="BP62" s="26">
        <v>1200000</v>
      </c>
      <c r="BQ62" s="26">
        <v>1200000</v>
      </c>
      <c r="BR62" s="26">
        <v>1200000</v>
      </c>
      <c r="BS62" s="26">
        <v>1200000</v>
      </c>
      <c r="BT62" s="26">
        <v>1200000</v>
      </c>
      <c r="BU62" s="26">
        <v>1200000</v>
      </c>
      <c r="BV62" s="26">
        <v>1200000</v>
      </c>
      <c r="BW62" s="26">
        <v>1200000</v>
      </c>
      <c r="BX62" s="26">
        <v>1200000</v>
      </c>
      <c r="BY62" s="26">
        <v>1200000</v>
      </c>
      <c r="BZ62" s="26">
        <v>1200000</v>
      </c>
      <c r="CA62" s="26">
        <v>1200000</v>
      </c>
      <c r="CB62" s="26">
        <v>3500000</v>
      </c>
      <c r="CC62" s="26">
        <v>3500000</v>
      </c>
      <c r="CD62" s="26">
        <v>3500000</v>
      </c>
      <c r="CE62" s="26">
        <v>3500000</v>
      </c>
      <c r="CF62" s="26">
        <v>3500000</v>
      </c>
      <c r="CG62" s="26">
        <v>3500000</v>
      </c>
      <c r="CH62" s="26">
        <v>3500000</v>
      </c>
      <c r="CI62" s="26">
        <v>3500000</v>
      </c>
      <c r="CJ62" s="26">
        <v>3500000</v>
      </c>
      <c r="CK62" s="26">
        <v>3500000</v>
      </c>
      <c r="CL62" s="26">
        <v>3500000</v>
      </c>
      <c r="CM62" s="26">
        <v>3500000</v>
      </c>
      <c r="CN62" s="26">
        <v>5007600</v>
      </c>
      <c r="CO62" s="26">
        <v>21</v>
      </c>
      <c r="CP62" s="26">
        <v>5007600</v>
      </c>
      <c r="CQ62" s="26">
        <v>730000</v>
      </c>
      <c r="CR62" s="26">
        <v>500000</v>
      </c>
      <c r="CS62" s="26">
        <v>1200000</v>
      </c>
      <c r="CT62" s="26">
        <v>3500000</v>
      </c>
      <c r="CU62" s="26">
        <v>5930000</v>
      </c>
    </row>
    <row r="63" spans="1:99" x14ac:dyDescent="0.3">
      <c r="A63" s="26">
        <v>6</v>
      </c>
      <c r="B63" s="27" t="s">
        <v>32</v>
      </c>
      <c r="C63" s="27" t="s">
        <v>33</v>
      </c>
      <c r="D63" s="27" t="s">
        <v>26</v>
      </c>
      <c r="E63" s="27" t="s">
        <v>27</v>
      </c>
      <c r="F63" s="26">
        <v>8111578577</v>
      </c>
      <c r="G63" s="27" t="s">
        <v>34</v>
      </c>
      <c r="H63" s="26">
        <v>5007600</v>
      </c>
      <c r="I63" s="26">
        <v>5007600</v>
      </c>
      <c r="J63" s="26">
        <v>5007600</v>
      </c>
      <c r="K63" s="26">
        <v>5007600</v>
      </c>
      <c r="L63" s="26">
        <v>5007600</v>
      </c>
      <c r="M63" s="26">
        <v>5007600</v>
      </c>
      <c r="N63" s="26">
        <v>5007600</v>
      </c>
      <c r="O63" s="26">
        <v>5007600</v>
      </c>
      <c r="P63" s="26">
        <v>5007600</v>
      </c>
      <c r="Q63" s="26">
        <v>5007600</v>
      </c>
      <c r="R63" s="26">
        <v>5007600</v>
      </c>
      <c r="S63" s="26">
        <v>5007600</v>
      </c>
      <c r="T63" s="26">
        <v>5007600</v>
      </c>
      <c r="U63" s="26">
        <v>5007600</v>
      </c>
      <c r="V63" s="26">
        <v>5007600</v>
      </c>
      <c r="W63" s="26">
        <v>5007600</v>
      </c>
      <c r="X63" s="26">
        <v>5007600</v>
      </c>
      <c r="Y63" s="26">
        <v>5007600</v>
      </c>
      <c r="Z63" s="26">
        <v>5007600</v>
      </c>
      <c r="AA63" s="26">
        <v>5007600</v>
      </c>
      <c r="AB63" s="26">
        <v>5007600</v>
      </c>
      <c r="AC63" s="26">
        <v>5007600</v>
      </c>
      <c r="AD63" s="26">
        <v>5007600</v>
      </c>
      <c r="AE63" s="26">
        <v>5007600</v>
      </c>
      <c r="AF63" s="26">
        <v>730000</v>
      </c>
      <c r="AG63" s="26">
        <v>730000</v>
      </c>
      <c r="AH63" s="26">
        <v>730000</v>
      </c>
      <c r="AI63" s="26">
        <v>730000</v>
      </c>
      <c r="AJ63" s="26">
        <v>730000</v>
      </c>
      <c r="AK63" s="26">
        <v>730000</v>
      </c>
      <c r="AL63" s="26">
        <v>730000</v>
      </c>
      <c r="AM63" s="26">
        <v>730000</v>
      </c>
      <c r="AN63" s="26">
        <v>730000</v>
      </c>
      <c r="AO63" s="26">
        <v>730000</v>
      </c>
      <c r="AP63" s="26">
        <v>730000</v>
      </c>
      <c r="AQ63" s="26">
        <v>730000</v>
      </c>
      <c r="AR63" s="26">
        <v>500000</v>
      </c>
      <c r="AS63" s="26">
        <v>500000</v>
      </c>
      <c r="AT63" s="26">
        <v>500000</v>
      </c>
      <c r="AU63" s="26">
        <v>500000</v>
      </c>
      <c r="AV63" s="26">
        <v>500000</v>
      </c>
      <c r="AW63" s="26">
        <v>500000</v>
      </c>
      <c r="AX63" s="26">
        <v>500000</v>
      </c>
      <c r="AY63" s="26">
        <v>500000</v>
      </c>
      <c r="AZ63" s="26">
        <v>500000</v>
      </c>
      <c r="BA63" s="26">
        <v>500000</v>
      </c>
      <c r="BB63" s="26">
        <v>500000</v>
      </c>
      <c r="BC63" s="26">
        <v>500000</v>
      </c>
      <c r="BD63" s="26">
        <v>0</v>
      </c>
      <c r="BE63" s="26">
        <v>0</v>
      </c>
      <c r="BF63" s="26">
        <v>0</v>
      </c>
      <c r="BG63" s="26">
        <v>0</v>
      </c>
      <c r="BH63" s="26">
        <v>0</v>
      </c>
      <c r="BI63" s="26">
        <v>0</v>
      </c>
      <c r="BJ63" s="26">
        <v>0</v>
      </c>
      <c r="BK63" s="26">
        <v>0</v>
      </c>
      <c r="BL63" s="26">
        <v>0</v>
      </c>
      <c r="BM63" s="26">
        <v>0</v>
      </c>
      <c r="BN63" s="26">
        <v>0</v>
      </c>
      <c r="BO63" s="26">
        <v>0</v>
      </c>
      <c r="BP63" s="26">
        <v>1200000</v>
      </c>
      <c r="BQ63" s="26">
        <v>1200000</v>
      </c>
      <c r="BR63" s="26">
        <v>1200000</v>
      </c>
      <c r="BS63" s="26">
        <v>1200000</v>
      </c>
      <c r="BT63" s="26">
        <v>1200000</v>
      </c>
      <c r="BU63" s="26">
        <v>1200000</v>
      </c>
      <c r="BV63" s="26">
        <v>1200000</v>
      </c>
      <c r="BW63" s="26">
        <v>1200000</v>
      </c>
      <c r="BX63" s="26">
        <v>1200000</v>
      </c>
      <c r="BY63" s="26">
        <v>1200000</v>
      </c>
      <c r="BZ63" s="26">
        <v>1200000</v>
      </c>
      <c r="CA63" s="26">
        <v>1200000</v>
      </c>
      <c r="CB63" s="26">
        <v>3500000</v>
      </c>
      <c r="CC63" s="26">
        <v>3500000</v>
      </c>
      <c r="CD63" s="26">
        <v>3500000</v>
      </c>
      <c r="CE63" s="26">
        <v>3500000</v>
      </c>
      <c r="CF63" s="26">
        <v>3500000</v>
      </c>
      <c r="CG63" s="26">
        <v>3500000</v>
      </c>
      <c r="CH63" s="26">
        <v>3500000</v>
      </c>
      <c r="CI63" s="26">
        <v>3500000</v>
      </c>
      <c r="CJ63" s="26">
        <v>3500000</v>
      </c>
      <c r="CK63" s="26">
        <v>3500000</v>
      </c>
      <c r="CL63" s="26">
        <v>3500000</v>
      </c>
      <c r="CM63" s="26">
        <v>3500000</v>
      </c>
      <c r="CN63" s="26">
        <v>5007600</v>
      </c>
      <c r="CO63" s="26">
        <v>22</v>
      </c>
      <c r="CP63" s="26">
        <v>5007600</v>
      </c>
      <c r="CQ63" s="26">
        <v>730000</v>
      </c>
      <c r="CR63" s="26">
        <v>500000</v>
      </c>
      <c r="CS63" s="26">
        <v>1200000</v>
      </c>
      <c r="CT63" s="26">
        <v>3500000</v>
      </c>
      <c r="CU63" s="26">
        <v>5930000</v>
      </c>
    </row>
    <row r="64" spans="1:99" x14ac:dyDescent="0.3">
      <c r="A64" s="26">
        <v>6</v>
      </c>
      <c r="B64" s="27" t="s">
        <v>32</v>
      </c>
      <c r="C64" s="27" t="s">
        <v>33</v>
      </c>
      <c r="D64" s="27" t="s">
        <v>26</v>
      </c>
      <c r="E64" s="27" t="s">
        <v>27</v>
      </c>
      <c r="F64" s="26">
        <v>8111578577</v>
      </c>
      <c r="G64" s="27" t="s">
        <v>34</v>
      </c>
      <c r="H64" s="26">
        <v>5007600</v>
      </c>
      <c r="I64" s="26">
        <v>5007600</v>
      </c>
      <c r="J64" s="26">
        <v>5007600</v>
      </c>
      <c r="K64" s="26">
        <v>5007600</v>
      </c>
      <c r="L64" s="26">
        <v>5007600</v>
      </c>
      <c r="M64" s="26">
        <v>5007600</v>
      </c>
      <c r="N64" s="26">
        <v>5007600</v>
      </c>
      <c r="O64" s="26">
        <v>5007600</v>
      </c>
      <c r="P64" s="26">
        <v>5007600</v>
      </c>
      <c r="Q64" s="26">
        <v>5007600</v>
      </c>
      <c r="R64" s="26">
        <v>5007600</v>
      </c>
      <c r="S64" s="26">
        <v>5007600</v>
      </c>
      <c r="T64" s="26">
        <v>5007600</v>
      </c>
      <c r="U64" s="26">
        <v>5007600</v>
      </c>
      <c r="V64" s="26">
        <v>5007600</v>
      </c>
      <c r="W64" s="26">
        <v>5007600</v>
      </c>
      <c r="X64" s="26">
        <v>5007600</v>
      </c>
      <c r="Y64" s="26">
        <v>5007600</v>
      </c>
      <c r="Z64" s="26">
        <v>5007600</v>
      </c>
      <c r="AA64" s="26">
        <v>5007600</v>
      </c>
      <c r="AB64" s="26">
        <v>5007600</v>
      </c>
      <c r="AC64" s="26">
        <v>5007600</v>
      </c>
      <c r="AD64" s="26">
        <v>5007600</v>
      </c>
      <c r="AE64" s="26">
        <v>5007600</v>
      </c>
      <c r="AF64" s="26">
        <v>730000</v>
      </c>
      <c r="AG64" s="26">
        <v>730000</v>
      </c>
      <c r="AH64" s="26">
        <v>730000</v>
      </c>
      <c r="AI64" s="26">
        <v>730000</v>
      </c>
      <c r="AJ64" s="26">
        <v>730000</v>
      </c>
      <c r="AK64" s="26">
        <v>730000</v>
      </c>
      <c r="AL64" s="26">
        <v>730000</v>
      </c>
      <c r="AM64" s="26">
        <v>730000</v>
      </c>
      <c r="AN64" s="26">
        <v>730000</v>
      </c>
      <c r="AO64" s="26">
        <v>730000</v>
      </c>
      <c r="AP64" s="26">
        <v>730000</v>
      </c>
      <c r="AQ64" s="26">
        <v>730000</v>
      </c>
      <c r="AR64" s="26">
        <v>500000</v>
      </c>
      <c r="AS64" s="26">
        <v>500000</v>
      </c>
      <c r="AT64" s="26">
        <v>500000</v>
      </c>
      <c r="AU64" s="26">
        <v>500000</v>
      </c>
      <c r="AV64" s="26">
        <v>500000</v>
      </c>
      <c r="AW64" s="26">
        <v>500000</v>
      </c>
      <c r="AX64" s="26">
        <v>500000</v>
      </c>
      <c r="AY64" s="26">
        <v>500000</v>
      </c>
      <c r="AZ64" s="26">
        <v>500000</v>
      </c>
      <c r="BA64" s="26">
        <v>500000</v>
      </c>
      <c r="BB64" s="26">
        <v>500000</v>
      </c>
      <c r="BC64" s="26">
        <v>500000</v>
      </c>
      <c r="BD64" s="26">
        <v>0</v>
      </c>
      <c r="BE64" s="26">
        <v>0</v>
      </c>
      <c r="BF64" s="26">
        <v>0</v>
      </c>
      <c r="BG64" s="26">
        <v>0</v>
      </c>
      <c r="BH64" s="26">
        <v>0</v>
      </c>
      <c r="BI64" s="26">
        <v>0</v>
      </c>
      <c r="BJ64" s="26">
        <v>0</v>
      </c>
      <c r="BK64" s="26">
        <v>0</v>
      </c>
      <c r="BL64" s="26">
        <v>0</v>
      </c>
      <c r="BM64" s="26">
        <v>0</v>
      </c>
      <c r="BN64" s="26">
        <v>0</v>
      </c>
      <c r="BO64" s="26">
        <v>0</v>
      </c>
      <c r="BP64" s="26">
        <v>1200000</v>
      </c>
      <c r="BQ64" s="26">
        <v>1200000</v>
      </c>
      <c r="BR64" s="26">
        <v>1200000</v>
      </c>
      <c r="BS64" s="26">
        <v>1200000</v>
      </c>
      <c r="BT64" s="26">
        <v>1200000</v>
      </c>
      <c r="BU64" s="26">
        <v>1200000</v>
      </c>
      <c r="BV64" s="26">
        <v>1200000</v>
      </c>
      <c r="BW64" s="26">
        <v>1200000</v>
      </c>
      <c r="BX64" s="26">
        <v>1200000</v>
      </c>
      <c r="BY64" s="26">
        <v>1200000</v>
      </c>
      <c r="BZ64" s="26">
        <v>1200000</v>
      </c>
      <c r="CA64" s="26">
        <v>1200000</v>
      </c>
      <c r="CB64" s="26">
        <v>3500000</v>
      </c>
      <c r="CC64" s="26">
        <v>3500000</v>
      </c>
      <c r="CD64" s="26">
        <v>3500000</v>
      </c>
      <c r="CE64" s="26">
        <v>3500000</v>
      </c>
      <c r="CF64" s="26">
        <v>3500000</v>
      </c>
      <c r="CG64" s="26">
        <v>3500000</v>
      </c>
      <c r="CH64" s="26">
        <v>3500000</v>
      </c>
      <c r="CI64" s="26">
        <v>3500000</v>
      </c>
      <c r="CJ64" s="26">
        <v>3500000</v>
      </c>
      <c r="CK64" s="26">
        <v>3500000</v>
      </c>
      <c r="CL64" s="26">
        <v>3500000</v>
      </c>
      <c r="CM64" s="26">
        <v>3500000</v>
      </c>
      <c r="CN64" s="26">
        <v>5007600</v>
      </c>
      <c r="CO64" s="26">
        <v>21</v>
      </c>
      <c r="CP64" s="26">
        <v>5007600</v>
      </c>
      <c r="CQ64" s="26">
        <v>730000</v>
      </c>
      <c r="CR64" s="26">
        <v>500000</v>
      </c>
      <c r="CS64" s="26">
        <v>1200000</v>
      </c>
      <c r="CT64" s="26">
        <v>3500000</v>
      </c>
      <c r="CU64" s="26">
        <v>5930000</v>
      </c>
    </row>
    <row r="65" spans="1:99" x14ac:dyDescent="0.3">
      <c r="A65" s="26">
        <v>6</v>
      </c>
      <c r="B65" s="27" t="s">
        <v>32</v>
      </c>
      <c r="C65" s="27" t="s">
        <v>33</v>
      </c>
      <c r="D65" s="27" t="s">
        <v>26</v>
      </c>
      <c r="E65" s="27" t="s">
        <v>27</v>
      </c>
      <c r="F65" s="26">
        <v>8111578577</v>
      </c>
      <c r="G65" s="27" t="s">
        <v>34</v>
      </c>
      <c r="H65" s="26">
        <v>5007600</v>
      </c>
      <c r="I65" s="26">
        <v>5007600</v>
      </c>
      <c r="J65" s="26">
        <v>5007600</v>
      </c>
      <c r="K65" s="26">
        <v>5007600</v>
      </c>
      <c r="L65" s="26">
        <v>5007600</v>
      </c>
      <c r="M65" s="26">
        <v>5007600</v>
      </c>
      <c r="N65" s="26">
        <v>5007600</v>
      </c>
      <c r="O65" s="26">
        <v>5007600</v>
      </c>
      <c r="P65" s="26">
        <v>5007600</v>
      </c>
      <c r="Q65" s="26">
        <v>5007600</v>
      </c>
      <c r="R65" s="26">
        <v>5007600</v>
      </c>
      <c r="S65" s="26">
        <v>5007600</v>
      </c>
      <c r="T65" s="26">
        <v>5007600</v>
      </c>
      <c r="U65" s="26">
        <v>5007600</v>
      </c>
      <c r="V65" s="26">
        <v>5007600</v>
      </c>
      <c r="W65" s="26">
        <v>5007600</v>
      </c>
      <c r="X65" s="26">
        <v>5007600</v>
      </c>
      <c r="Y65" s="26">
        <v>5007600</v>
      </c>
      <c r="Z65" s="26">
        <v>5007600</v>
      </c>
      <c r="AA65" s="26">
        <v>5007600</v>
      </c>
      <c r="AB65" s="26">
        <v>5007600</v>
      </c>
      <c r="AC65" s="26">
        <v>5007600</v>
      </c>
      <c r="AD65" s="26">
        <v>5007600</v>
      </c>
      <c r="AE65" s="26">
        <v>5007600</v>
      </c>
      <c r="AF65" s="26">
        <v>730000</v>
      </c>
      <c r="AG65" s="26">
        <v>730000</v>
      </c>
      <c r="AH65" s="26">
        <v>730000</v>
      </c>
      <c r="AI65" s="26">
        <v>730000</v>
      </c>
      <c r="AJ65" s="26">
        <v>730000</v>
      </c>
      <c r="AK65" s="26">
        <v>730000</v>
      </c>
      <c r="AL65" s="26">
        <v>730000</v>
      </c>
      <c r="AM65" s="26">
        <v>730000</v>
      </c>
      <c r="AN65" s="26">
        <v>730000</v>
      </c>
      <c r="AO65" s="26">
        <v>730000</v>
      </c>
      <c r="AP65" s="26">
        <v>730000</v>
      </c>
      <c r="AQ65" s="26">
        <v>730000</v>
      </c>
      <c r="AR65" s="26">
        <v>500000</v>
      </c>
      <c r="AS65" s="26">
        <v>500000</v>
      </c>
      <c r="AT65" s="26">
        <v>500000</v>
      </c>
      <c r="AU65" s="26">
        <v>500000</v>
      </c>
      <c r="AV65" s="26">
        <v>500000</v>
      </c>
      <c r="AW65" s="26">
        <v>500000</v>
      </c>
      <c r="AX65" s="26">
        <v>500000</v>
      </c>
      <c r="AY65" s="26">
        <v>500000</v>
      </c>
      <c r="AZ65" s="26">
        <v>500000</v>
      </c>
      <c r="BA65" s="26">
        <v>500000</v>
      </c>
      <c r="BB65" s="26">
        <v>500000</v>
      </c>
      <c r="BC65" s="26">
        <v>500000</v>
      </c>
      <c r="BD65" s="26">
        <v>0</v>
      </c>
      <c r="BE65" s="26">
        <v>0</v>
      </c>
      <c r="BF65" s="26">
        <v>0</v>
      </c>
      <c r="BG65" s="26">
        <v>0</v>
      </c>
      <c r="BH65" s="26">
        <v>0</v>
      </c>
      <c r="BI65" s="26">
        <v>0</v>
      </c>
      <c r="BJ65" s="26">
        <v>0</v>
      </c>
      <c r="BK65" s="26">
        <v>0</v>
      </c>
      <c r="BL65" s="26">
        <v>0</v>
      </c>
      <c r="BM65" s="26">
        <v>0</v>
      </c>
      <c r="BN65" s="26">
        <v>0</v>
      </c>
      <c r="BO65" s="26">
        <v>0</v>
      </c>
      <c r="BP65" s="26">
        <v>1200000</v>
      </c>
      <c r="BQ65" s="26">
        <v>1200000</v>
      </c>
      <c r="BR65" s="26">
        <v>1200000</v>
      </c>
      <c r="BS65" s="26">
        <v>1200000</v>
      </c>
      <c r="BT65" s="26">
        <v>1200000</v>
      </c>
      <c r="BU65" s="26">
        <v>1200000</v>
      </c>
      <c r="BV65" s="26">
        <v>1200000</v>
      </c>
      <c r="BW65" s="26">
        <v>1200000</v>
      </c>
      <c r="BX65" s="26">
        <v>1200000</v>
      </c>
      <c r="BY65" s="26">
        <v>1200000</v>
      </c>
      <c r="BZ65" s="26">
        <v>1200000</v>
      </c>
      <c r="CA65" s="26">
        <v>1200000</v>
      </c>
      <c r="CB65" s="26">
        <v>3500000</v>
      </c>
      <c r="CC65" s="26">
        <v>3500000</v>
      </c>
      <c r="CD65" s="26">
        <v>3500000</v>
      </c>
      <c r="CE65" s="26">
        <v>3500000</v>
      </c>
      <c r="CF65" s="26">
        <v>3500000</v>
      </c>
      <c r="CG65" s="26">
        <v>3500000</v>
      </c>
      <c r="CH65" s="26">
        <v>3500000</v>
      </c>
      <c r="CI65" s="26">
        <v>3500000</v>
      </c>
      <c r="CJ65" s="26">
        <v>3500000</v>
      </c>
      <c r="CK65" s="26">
        <v>3500000</v>
      </c>
      <c r="CL65" s="26">
        <v>3500000</v>
      </c>
      <c r="CM65" s="26">
        <v>3500000</v>
      </c>
      <c r="CN65" s="26">
        <v>5007600</v>
      </c>
      <c r="CO65" s="26">
        <v>23</v>
      </c>
      <c r="CP65" s="26">
        <v>5007600</v>
      </c>
      <c r="CQ65" s="26">
        <v>730000</v>
      </c>
      <c r="CR65" s="26">
        <v>500000</v>
      </c>
      <c r="CS65" s="26">
        <v>1200000</v>
      </c>
      <c r="CT65" s="26">
        <v>3500000</v>
      </c>
      <c r="CU65" s="26">
        <v>5930000</v>
      </c>
    </row>
    <row r="66" spans="1:99" x14ac:dyDescent="0.3">
      <c r="A66" s="26">
        <v>6</v>
      </c>
      <c r="B66" s="27" t="s">
        <v>32</v>
      </c>
      <c r="C66" s="27" t="s">
        <v>33</v>
      </c>
      <c r="D66" s="27" t="s">
        <v>26</v>
      </c>
      <c r="E66" s="27" t="s">
        <v>27</v>
      </c>
      <c r="F66" s="26">
        <v>8111578577</v>
      </c>
      <c r="G66" s="27" t="s">
        <v>34</v>
      </c>
      <c r="H66" s="26">
        <v>5007600</v>
      </c>
      <c r="I66" s="26">
        <v>5007600</v>
      </c>
      <c r="J66" s="26">
        <v>5007600</v>
      </c>
      <c r="K66" s="26">
        <v>5007600</v>
      </c>
      <c r="L66" s="26">
        <v>5007600</v>
      </c>
      <c r="M66" s="26">
        <v>5007600</v>
      </c>
      <c r="N66" s="26">
        <v>5007600</v>
      </c>
      <c r="O66" s="26">
        <v>5007600</v>
      </c>
      <c r="P66" s="26">
        <v>5007600</v>
      </c>
      <c r="Q66" s="26">
        <v>5007600</v>
      </c>
      <c r="R66" s="26">
        <v>5007600</v>
      </c>
      <c r="S66" s="26">
        <v>5007600</v>
      </c>
      <c r="T66" s="26">
        <v>5007600</v>
      </c>
      <c r="U66" s="26">
        <v>5007600</v>
      </c>
      <c r="V66" s="26">
        <v>5007600</v>
      </c>
      <c r="W66" s="26">
        <v>5007600</v>
      </c>
      <c r="X66" s="26">
        <v>5007600</v>
      </c>
      <c r="Y66" s="26">
        <v>5007600</v>
      </c>
      <c r="Z66" s="26">
        <v>5007600</v>
      </c>
      <c r="AA66" s="26">
        <v>5007600</v>
      </c>
      <c r="AB66" s="26">
        <v>5007600</v>
      </c>
      <c r="AC66" s="26">
        <v>5007600</v>
      </c>
      <c r="AD66" s="26">
        <v>5007600</v>
      </c>
      <c r="AE66" s="26">
        <v>5007600</v>
      </c>
      <c r="AF66" s="26">
        <v>730000</v>
      </c>
      <c r="AG66" s="26">
        <v>730000</v>
      </c>
      <c r="AH66" s="26">
        <v>730000</v>
      </c>
      <c r="AI66" s="26">
        <v>730000</v>
      </c>
      <c r="AJ66" s="26">
        <v>730000</v>
      </c>
      <c r="AK66" s="26">
        <v>730000</v>
      </c>
      <c r="AL66" s="26">
        <v>730000</v>
      </c>
      <c r="AM66" s="26">
        <v>730000</v>
      </c>
      <c r="AN66" s="26">
        <v>730000</v>
      </c>
      <c r="AO66" s="26">
        <v>730000</v>
      </c>
      <c r="AP66" s="26">
        <v>730000</v>
      </c>
      <c r="AQ66" s="26">
        <v>730000</v>
      </c>
      <c r="AR66" s="26">
        <v>500000</v>
      </c>
      <c r="AS66" s="26">
        <v>500000</v>
      </c>
      <c r="AT66" s="26">
        <v>500000</v>
      </c>
      <c r="AU66" s="26">
        <v>500000</v>
      </c>
      <c r="AV66" s="26">
        <v>500000</v>
      </c>
      <c r="AW66" s="26">
        <v>500000</v>
      </c>
      <c r="AX66" s="26">
        <v>500000</v>
      </c>
      <c r="AY66" s="26">
        <v>500000</v>
      </c>
      <c r="AZ66" s="26">
        <v>500000</v>
      </c>
      <c r="BA66" s="26">
        <v>500000</v>
      </c>
      <c r="BB66" s="26">
        <v>500000</v>
      </c>
      <c r="BC66" s="26">
        <v>500000</v>
      </c>
      <c r="BD66" s="26">
        <v>0</v>
      </c>
      <c r="BE66" s="26">
        <v>0</v>
      </c>
      <c r="BF66" s="26">
        <v>0</v>
      </c>
      <c r="BG66" s="26">
        <v>0</v>
      </c>
      <c r="BH66" s="26">
        <v>0</v>
      </c>
      <c r="BI66" s="26">
        <v>0</v>
      </c>
      <c r="BJ66" s="26">
        <v>0</v>
      </c>
      <c r="BK66" s="26">
        <v>0</v>
      </c>
      <c r="BL66" s="26">
        <v>0</v>
      </c>
      <c r="BM66" s="26">
        <v>0</v>
      </c>
      <c r="BN66" s="26">
        <v>0</v>
      </c>
      <c r="BO66" s="26">
        <v>0</v>
      </c>
      <c r="BP66" s="26">
        <v>1200000</v>
      </c>
      <c r="BQ66" s="26">
        <v>1200000</v>
      </c>
      <c r="BR66" s="26">
        <v>1200000</v>
      </c>
      <c r="BS66" s="26">
        <v>1200000</v>
      </c>
      <c r="BT66" s="26">
        <v>1200000</v>
      </c>
      <c r="BU66" s="26">
        <v>1200000</v>
      </c>
      <c r="BV66" s="26">
        <v>1200000</v>
      </c>
      <c r="BW66" s="26">
        <v>1200000</v>
      </c>
      <c r="BX66" s="26">
        <v>1200000</v>
      </c>
      <c r="BY66" s="26">
        <v>1200000</v>
      </c>
      <c r="BZ66" s="26">
        <v>1200000</v>
      </c>
      <c r="CA66" s="26">
        <v>1200000</v>
      </c>
      <c r="CB66" s="26">
        <v>3500000</v>
      </c>
      <c r="CC66" s="26">
        <v>3500000</v>
      </c>
      <c r="CD66" s="26">
        <v>3500000</v>
      </c>
      <c r="CE66" s="26">
        <v>3500000</v>
      </c>
      <c r="CF66" s="26">
        <v>3500000</v>
      </c>
      <c r="CG66" s="26">
        <v>3500000</v>
      </c>
      <c r="CH66" s="26">
        <v>3500000</v>
      </c>
      <c r="CI66" s="26">
        <v>3500000</v>
      </c>
      <c r="CJ66" s="26">
        <v>3500000</v>
      </c>
      <c r="CK66" s="26">
        <v>3500000</v>
      </c>
      <c r="CL66" s="26">
        <v>3500000</v>
      </c>
      <c r="CM66" s="26">
        <v>3500000</v>
      </c>
      <c r="CN66" s="26">
        <v>5007600</v>
      </c>
      <c r="CO66" s="26">
        <v>22</v>
      </c>
      <c r="CP66" s="26">
        <v>5007600</v>
      </c>
      <c r="CQ66" s="26">
        <v>730000</v>
      </c>
      <c r="CR66" s="26">
        <v>500000</v>
      </c>
      <c r="CS66" s="26">
        <v>1200000</v>
      </c>
      <c r="CT66" s="26">
        <v>3500000</v>
      </c>
      <c r="CU66" s="26">
        <v>5930000</v>
      </c>
    </row>
    <row r="67" spans="1:99" x14ac:dyDescent="0.3">
      <c r="A67" s="26">
        <v>6</v>
      </c>
      <c r="B67" s="27" t="s">
        <v>32</v>
      </c>
      <c r="C67" s="27" t="s">
        <v>33</v>
      </c>
      <c r="D67" s="27" t="s">
        <v>26</v>
      </c>
      <c r="E67" s="27" t="s">
        <v>27</v>
      </c>
      <c r="F67" s="26">
        <v>8111578577</v>
      </c>
      <c r="G67" s="27" t="s">
        <v>34</v>
      </c>
      <c r="H67" s="26">
        <v>5007600</v>
      </c>
      <c r="I67" s="26">
        <v>5007600</v>
      </c>
      <c r="J67" s="26">
        <v>5007600</v>
      </c>
      <c r="K67" s="26">
        <v>5007600</v>
      </c>
      <c r="L67" s="26">
        <v>5007600</v>
      </c>
      <c r="M67" s="26">
        <v>5007600</v>
      </c>
      <c r="N67" s="26">
        <v>5007600</v>
      </c>
      <c r="O67" s="26">
        <v>5007600</v>
      </c>
      <c r="P67" s="26">
        <v>5007600</v>
      </c>
      <c r="Q67" s="26">
        <v>5007600</v>
      </c>
      <c r="R67" s="26">
        <v>5007600</v>
      </c>
      <c r="S67" s="26">
        <v>5007600</v>
      </c>
      <c r="T67" s="26">
        <v>5007600</v>
      </c>
      <c r="U67" s="26">
        <v>5007600</v>
      </c>
      <c r="V67" s="26">
        <v>5007600</v>
      </c>
      <c r="W67" s="26">
        <v>5007600</v>
      </c>
      <c r="X67" s="26">
        <v>5007600</v>
      </c>
      <c r="Y67" s="26">
        <v>5007600</v>
      </c>
      <c r="Z67" s="26">
        <v>5007600</v>
      </c>
      <c r="AA67" s="26">
        <v>5007600</v>
      </c>
      <c r="AB67" s="26">
        <v>5007600</v>
      </c>
      <c r="AC67" s="26">
        <v>5007600</v>
      </c>
      <c r="AD67" s="26">
        <v>5007600</v>
      </c>
      <c r="AE67" s="26">
        <v>5007600</v>
      </c>
      <c r="AF67" s="26">
        <v>730000</v>
      </c>
      <c r="AG67" s="26">
        <v>730000</v>
      </c>
      <c r="AH67" s="26">
        <v>730000</v>
      </c>
      <c r="AI67" s="26">
        <v>730000</v>
      </c>
      <c r="AJ67" s="26">
        <v>730000</v>
      </c>
      <c r="AK67" s="26">
        <v>730000</v>
      </c>
      <c r="AL67" s="26">
        <v>730000</v>
      </c>
      <c r="AM67" s="26">
        <v>730000</v>
      </c>
      <c r="AN67" s="26">
        <v>730000</v>
      </c>
      <c r="AO67" s="26">
        <v>730000</v>
      </c>
      <c r="AP67" s="26">
        <v>730000</v>
      </c>
      <c r="AQ67" s="26">
        <v>730000</v>
      </c>
      <c r="AR67" s="26">
        <v>500000</v>
      </c>
      <c r="AS67" s="26">
        <v>500000</v>
      </c>
      <c r="AT67" s="26">
        <v>500000</v>
      </c>
      <c r="AU67" s="26">
        <v>500000</v>
      </c>
      <c r="AV67" s="26">
        <v>500000</v>
      </c>
      <c r="AW67" s="26">
        <v>500000</v>
      </c>
      <c r="AX67" s="26">
        <v>500000</v>
      </c>
      <c r="AY67" s="26">
        <v>500000</v>
      </c>
      <c r="AZ67" s="26">
        <v>500000</v>
      </c>
      <c r="BA67" s="26">
        <v>500000</v>
      </c>
      <c r="BB67" s="26">
        <v>500000</v>
      </c>
      <c r="BC67" s="26">
        <v>500000</v>
      </c>
      <c r="BD67" s="26">
        <v>0</v>
      </c>
      <c r="BE67" s="26">
        <v>0</v>
      </c>
      <c r="BF67" s="26">
        <v>0</v>
      </c>
      <c r="BG67" s="26">
        <v>0</v>
      </c>
      <c r="BH67" s="26">
        <v>0</v>
      </c>
      <c r="BI67" s="26">
        <v>0</v>
      </c>
      <c r="BJ67" s="26">
        <v>0</v>
      </c>
      <c r="BK67" s="26">
        <v>0</v>
      </c>
      <c r="BL67" s="26">
        <v>0</v>
      </c>
      <c r="BM67" s="26">
        <v>0</v>
      </c>
      <c r="BN67" s="26">
        <v>0</v>
      </c>
      <c r="BO67" s="26">
        <v>0</v>
      </c>
      <c r="BP67" s="26">
        <v>1200000</v>
      </c>
      <c r="BQ67" s="26">
        <v>1200000</v>
      </c>
      <c r="BR67" s="26">
        <v>1200000</v>
      </c>
      <c r="BS67" s="26">
        <v>1200000</v>
      </c>
      <c r="BT67" s="26">
        <v>1200000</v>
      </c>
      <c r="BU67" s="26">
        <v>1200000</v>
      </c>
      <c r="BV67" s="26">
        <v>1200000</v>
      </c>
      <c r="BW67" s="26">
        <v>1200000</v>
      </c>
      <c r="BX67" s="26">
        <v>1200000</v>
      </c>
      <c r="BY67" s="26">
        <v>1200000</v>
      </c>
      <c r="BZ67" s="26">
        <v>1200000</v>
      </c>
      <c r="CA67" s="26">
        <v>1200000</v>
      </c>
      <c r="CB67" s="26">
        <v>3500000</v>
      </c>
      <c r="CC67" s="26">
        <v>3500000</v>
      </c>
      <c r="CD67" s="26">
        <v>3500000</v>
      </c>
      <c r="CE67" s="26">
        <v>3500000</v>
      </c>
      <c r="CF67" s="26">
        <v>3500000</v>
      </c>
      <c r="CG67" s="26">
        <v>3500000</v>
      </c>
      <c r="CH67" s="26">
        <v>3500000</v>
      </c>
      <c r="CI67" s="26">
        <v>3500000</v>
      </c>
      <c r="CJ67" s="26">
        <v>3500000</v>
      </c>
      <c r="CK67" s="26">
        <v>3500000</v>
      </c>
      <c r="CL67" s="26">
        <v>3500000</v>
      </c>
      <c r="CM67" s="26">
        <v>3500000</v>
      </c>
      <c r="CN67" s="26">
        <v>5007600</v>
      </c>
      <c r="CO67" s="26">
        <v>20</v>
      </c>
      <c r="CP67" s="26">
        <v>5007600</v>
      </c>
      <c r="CQ67" s="26">
        <v>730000</v>
      </c>
      <c r="CR67" s="26">
        <v>500000</v>
      </c>
      <c r="CS67" s="26">
        <v>1200000</v>
      </c>
      <c r="CT67" s="26">
        <v>3500000</v>
      </c>
      <c r="CU67" s="26">
        <v>5930000</v>
      </c>
    </row>
    <row r="68" spans="1:99" x14ac:dyDescent="0.3">
      <c r="A68" s="26">
        <v>6</v>
      </c>
      <c r="B68" s="27" t="s">
        <v>32</v>
      </c>
      <c r="C68" s="27" t="s">
        <v>33</v>
      </c>
      <c r="D68" s="27" t="s">
        <v>26</v>
      </c>
      <c r="E68" s="27" t="s">
        <v>27</v>
      </c>
      <c r="F68" s="26">
        <v>8111578577</v>
      </c>
      <c r="G68" s="27" t="s">
        <v>34</v>
      </c>
      <c r="H68" s="26">
        <v>5007600</v>
      </c>
      <c r="I68" s="26">
        <v>5007600</v>
      </c>
      <c r="J68" s="26">
        <v>5007600</v>
      </c>
      <c r="K68" s="26">
        <v>5007600</v>
      </c>
      <c r="L68" s="26">
        <v>5007600</v>
      </c>
      <c r="M68" s="26">
        <v>5007600</v>
      </c>
      <c r="N68" s="26">
        <v>5007600</v>
      </c>
      <c r="O68" s="26">
        <v>5007600</v>
      </c>
      <c r="P68" s="26">
        <v>5007600</v>
      </c>
      <c r="Q68" s="26">
        <v>5007600</v>
      </c>
      <c r="R68" s="26">
        <v>5007600</v>
      </c>
      <c r="S68" s="26">
        <v>5007600</v>
      </c>
      <c r="T68" s="26">
        <v>5007600</v>
      </c>
      <c r="U68" s="26">
        <v>5007600</v>
      </c>
      <c r="V68" s="26">
        <v>5007600</v>
      </c>
      <c r="W68" s="26">
        <v>5007600</v>
      </c>
      <c r="X68" s="26">
        <v>5007600</v>
      </c>
      <c r="Y68" s="26">
        <v>5007600</v>
      </c>
      <c r="Z68" s="26">
        <v>5007600</v>
      </c>
      <c r="AA68" s="26">
        <v>5007600</v>
      </c>
      <c r="AB68" s="26">
        <v>5007600</v>
      </c>
      <c r="AC68" s="26">
        <v>5007600</v>
      </c>
      <c r="AD68" s="26">
        <v>5007600</v>
      </c>
      <c r="AE68" s="26">
        <v>5007600</v>
      </c>
      <c r="AF68" s="26">
        <v>730000</v>
      </c>
      <c r="AG68" s="26">
        <v>730000</v>
      </c>
      <c r="AH68" s="26">
        <v>730000</v>
      </c>
      <c r="AI68" s="26">
        <v>730000</v>
      </c>
      <c r="AJ68" s="26">
        <v>730000</v>
      </c>
      <c r="AK68" s="26">
        <v>730000</v>
      </c>
      <c r="AL68" s="26">
        <v>730000</v>
      </c>
      <c r="AM68" s="26">
        <v>730000</v>
      </c>
      <c r="AN68" s="26">
        <v>730000</v>
      </c>
      <c r="AO68" s="26">
        <v>730000</v>
      </c>
      <c r="AP68" s="26">
        <v>730000</v>
      </c>
      <c r="AQ68" s="26">
        <v>730000</v>
      </c>
      <c r="AR68" s="26">
        <v>500000</v>
      </c>
      <c r="AS68" s="26">
        <v>500000</v>
      </c>
      <c r="AT68" s="26">
        <v>500000</v>
      </c>
      <c r="AU68" s="26">
        <v>500000</v>
      </c>
      <c r="AV68" s="26">
        <v>500000</v>
      </c>
      <c r="AW68" s="26">
        <v>500000</v>
      </c>
      <c r="AX68" s="26">
        <v>500000</v>
      </c>
      <c r="AY68" s="26">
        <v>500000</v>
      </c>
      <c r="AZ68" s="26">
        <v>500000</v>
      </c>
      <c r="BA68" s="26">
        <v>500000</v>
      </c>
      <c r="BB68" s="26">
        <v>500000</v>
      </c>
      <c r="BC68" s="26">
        <v>500000</v>
      </c>
      <c r="BD68" s="26">
        <v>0</v>
      </c>
      <c r="BE68" s="26">
        <v>0</v>
      </c>
      <c r="BF68" s="26">
        <v>0</v>
      </c>
      <c r="BG68" s="26">
        <v>0</v>
      </c>
      <c r="BH68" s="26">
        <v>0</v>
      </c>
      <c r="BI68" s="26">
        <v>0</v>
      </c>
      <c r="BJ68" s="26">
        <v>0</v>
      </c>
      <c r="BK68" s="26">
        <v>0</v>
      </c>
      <c r="BL68" s="26">
        <v>0</v>
      </c>
      <c r="BM68" s="26">
        <v>0</v>
      </c>
      <c r="BN68" s="26">
        <v>0</v>
      </c>
      <c r="BO68" s="26">
        <v>0</v>
      </c>
      <c r="BP68" s="26">
        <v>1200000</v>
      </c>
      <c r="BQ68" s="26">
        <v>1200000</v>
      </c>
      <c r="BR68" s="26">
        <v>1200000</v>
      </c>
      <c r="BS68" s="26">
        <v>1200000</v>
      </c>
      <c r="BT68" s="26">
        <v>1200000</v>
      </c>
      <c r="BU68" s="26">
        <v>1200000</v>
      </c>
      <c r="BV68" s="26">
        <v>1200000</v>
      </c>
      <c r="BW68" s="26">
        <v>1200000</v>
      </c>
      <c r="BX68" s="26">
        <v>1200000</v>
      </c>
      <c r="BY68" s="26">
        <v>1200000</v>
      </c>
      <c r="BZ68" s="26">
        <v>1200000</v>
      </c>
      <c r="CA68" s="26">
        <v>1200000</v>
      </c>
      <c r="CB68" s="26">
        <v>3500000</v>
      </c>
      <c r="CC68" s="26">
        <v>3500000</v>
      </c>
      <c r="CD68" s="26">
        <v>3500000</v>
      </c>
      <c r="CE68" s="26">
        <v>3500000</v>
      </c>
      <c r="CF68" s="26">
        <v>3500000</v>
      </c>
      <c r="CG68" s="26">
        <v>3500000</v>
      </c>
      <c r="CH68" s="26">
        <v>3500000</v>
      </c>
      <c r="CI68" s="26">
        <v>3500000</v>
      </c>
      <c r="CJ68" s="26">
        <v>3500000</v>
      </c>
      <c r="CK68" s="26">
        <v>3500000</v>
      </c>
      <c r="CL68" s="26">
        <v>3500000</v>
      </c>
      <c r="CM68" s="26">
        <v>3500000</v>
      </c>
      <c r="CN68" s="26">
        <v>5007600</v>
      </c>
      <c r="CO68" s="26">
        <v>22</v>
      </c>
      <c r="CP68" s="26">
        <v>5007600</v>
      </c>
      <c r="CQ68" s="26">
        <v>730000</v>
      </c>
      <c r="CR68" s="26">
        <v>500000</v>
      </c>
      <c r="CS68" s="26">
        <v>1200000</v>
      </c>
      <c r="CT68" s="26">
        <v>3500000</v>
      </c>
      <c r="CU68" s="26">
        <v>5930000</v>
      </c>
    </row>
    <row r="69" spans="1:99" x14ac:dyDescent="0.3">
      <c r="A69" s="26">
        <v>6</v>
      </c>
      <c r="B69" s="27" t="s">
        <v>32</v>
      </c>
      <c r="C69" s="27" t="s">
        <v>33</v>
      </c>
      <c r="D69" s="27" t="s">
        <v>26</v>
      </c>
      <c r="E69" s="27" t="s">
        <v>27</v>
      </c>
      <c r="F69" s="26">
        <v>8111578577</v>
      </c>
      <c r="G69" s="27" t="s">
        <v>34</v>
      </c>
      <c r="H69" s="26">
        <v>5007600</v>
      </c>
      <c r="I69" s="26">
        <v>5007600</v>
      </c>
      <c r="J69" s="26">
        <v>5007600</v>
      </c>
      <c r="K69" s="26">
        <v>5007600</v>
      </c>
      <c r="L69" s="26">
        <v>5007600</v>
      </c>
      <c r="M69" s="26">
        <v>5007600</v>
      </c>
      <c r="N69" s="26">
        <v>5007600</v>
      </c>
      <c r="O69" s="26">
        <v>5007600</v>
      </c>
      <c r="P69" s="26">
        <v>5007600</v>
      </c>
      <c r="Q69" s="26">
        <v>5007600</v>
      </c>
      <c r="R69" s="26">
        <v>5007600</v>
      </c>
      <c r="S69" s="26">
        <v>5007600</v>
      </c>
      <c r="T69" s="26">
        <v>5007600</v>
      </c>
      <c r="U69" s="26">
        <v>5007600</v>
      </c>
      <c r="V69" s="26">
        <v>5007600</v>
      </c>
      <c r="W69" s="26">
        <v>5007600</v>
      </c>
      <c r="X69" s="26">
        <v>5007600</v>
      </c>
      <c r="Y69" s="26">
        <v>5007600</v>
      </c>
      <c r="Z69" s="26">
        <v>5007600</v>
      </c>
      <c r="AA69" s="26">
        <v>5007600</v>
      </c>
      <c r="AB69" s="26">
        <v>5007600</v>
      </c>
      <c r="AC69" s="26">
        <v>5007600</v>
      </c>
      <c r="AD69" s="26">
        <v>5007600</v>
      </c>
      <c r="AE69" s="26">
        <v>5007600</v>
      </c>
      <c r="AF69" s="26">
        <v>730000</v>
      </c>
      <c r="AG69" s="26">
        <v>730000</v>
      </c>
      <c r="AH69" s="26">
        <v>730000</v>
      </c>
      <c r="AI69" s="26">
        <v>730000</v>
      </c>
      <c r="AJ69" s="26">
        <v>730000</v>
      </c>
      <c r="AK69" s="26">
        <v>730000</v>
      </c>
      <c r="AL69" s="26">
        <v>730000</v>
      </c>
      <c r="AM69" s="26">
        <v>730000</v>
      </c>
      <c r="AN69" s="26">
        <v>730000</v>
      </c>
      <c r="AO69" s="26">
        <v>730000</v>
      </c>
      <c r="AP69" s="26">
        <v>730000</v>
      </c>
      <c r="AQ69" s="26">
        <v>730000</v>
      </c>
      <c r="AR69" s="26">
        <v>500000</v>
      </c>
      <c r="AS69" s="26">
        <v>500000</v>
      </c>
      <c r="AT69" s="26">
        <v>500000</v>
      </c>
      <c r="AU69" s="26">
        <v>500000</v>
      </c>
      <c r="AV69" s="26">
        <v>500000</v>
      </c>
      <c r="AW69" s="26">
        <v>500000</v>
      </c>
      <c r="AX69" s="26">
        <v>500000</v>
      </c>
      <c r="AY69" s="26">
        <v>500000</v>
      </c>
      <c r="AZ69" s="26">
        <v>500000</v>
      </c>
      <c r="BA69" s="26">
        <v>500000</v>
      </c>
      <c r="BB69" s="26">
        <v>500000</v>
      </c>
      <c r="BC69" s="26">
        <v>500000</v>
      </c>
      <c r="BD69" s="26">
        <v>0</v>
      </c>
      <c r="BE69" s="26">
        <v>0</v>
      </c>
      <c r="BF69" s="26">
        <v>0</v>
      </c>
      <c r="BG69" s="26">
        <v>0</v>
      </c>
      <c r="BH69" s="26">
        <v>0</v>
      </c>
      <c r="BI69" s="26">
        <v>0</v>
      </c>
      <c r="BJ69" s="26">
        <v>0</v>
      </c>
      <c r="BK69" s="26">
        <v>0</v>
      </c>
      <c r="BL69" s="26">
        <v>0</v>
      </c>
      <c r="BM69" s="26">
        <v>0</v>
      </c>
      <c r="BN69" s="26">
        <v>0</v>
      </c>
      <c r="BO69" s="26">
        <v>0</v>
      </c>
      <c r="BP69" s="26">
        <v>1200000</v>
      </c>
      <c r="BQ69" s="26">
        <v>1200000</v>
      </c>
      <c r="BR69" s="26">
        <v>1200000</v>
      </c>
      <c r="BS69" s="26">
        <v>1200000</v>
      </c>
      <c r="BT69" s="26">
        <v>1200000</v>
      </c>
      <c r="BU69" s="26">
        <v>1200000</v>
      </c>
      <c r="BV69" s="26">
        <v>1200000</v>
      </c>
      <c r="BW69" s="26">
        <v>1200000</v>
      </c>
      <c r="BX69" s="26">
        <v>1200000</v>
      </c>
      <c r="BY69" s="26">
        <v>1200000</v>
      </c>
      <c r="BZ69" s="26">
        <v>1200000</v>
      </c>
      <c r="CA69" s="26">
        <v>1200000</v>
      </c>
      <c r="CB69" s="26">
        <v>3500000</v>
      </c>
      <c r="CC69" s="26">
        <v>3500000</v>
      </c>
      <c r="CD69" s="26">
        <v>3500000</v>
      </c>
      <c r="CE69" s="26">
        <v>3500000</v>
      </c>
      <c r="CF69" s="26">
        <v>3500000</v>
      </c>
      <c r="CG69" s="26">
        <v>3500000</v>
      </c>
      <c r="CH69" s="26">
        <v>3500000</v>
      </c>
      <c r="CI69" s="26">
        <v>3500000</v>
      </c>
      <c r="CJ69" s="26">
        <v>3500000</v>
      </c>
      <c r="CK69" s="26">
        <v>3500000</v>
      </c>
      <c r="CL69" s="26">
        <v>3500000</v>
      </c>
      <c r="CM69" s="26">
        <v>3500000</v>
      </c>
      <c r="CN69" s="26">
        <v>5007600</v>
      </c>
      <c r="CO69" s="26">
        <v>22</v>
      </c>
      <c r="CP69" s="26">
        <v>5007600</v>
      </c>
      <c r="CQ69" s="26">
        <v>730000</v>
      </c>
      <c r="CR69" s="26">
        <v>500000</v>
      </c>
      <c r="CS69" s="26">
        <v>1200000</v>
      </c>
      <c r="CT69" s="26">
        <v>3500000</v>
      </c>
      <c r="CU69" s="26">
        <v>5930000</v>
      </c>
    </row>
    <row r="70" spans="1:99" x14ac:dyDescent="0.3">
      <c r="A70" s="26">
        <v>6</v>
      </c>
      <c r="B70" s="27" t="s">
        <v>32</v>
      </c>
      <c r="C70" s="27" t="s">
        <v>33</v>
      </c>
      <c r="D70" s="27" t="s">
        <v>26</v>
      </c>
      <c r="E70" s="27" t="s">
        <v>27</v>
      </c>
      <c r="F70" s="26">
        <v>8111578577</v>
      </c>
      <c r="G70" s="27" t="s">
        <v>34</v>
      </c>
      <c r="H70" s="26">
        <v>5007600</v>
      </c>
      <c r="I70" s="26">
        <v>5007600</v>
      </c>
      <c r="J70" s="26">
        <v>5007600</v>
      </c>
      <c r="K70" s="26">
        <v>5007600</v>
      </c>
      <c r="L70" s="26">
        <v>5007600</v>
      </c>
      <c r="M70" s="26">
        <v>5007600</v>
      </c>
      <c r="N70" s="26">
        <v>5007600</v>
      </c>
      <c r="O70" s="26">
        <v>5007600</v>
      </c>
      <c r="P70" s="26">
        <v>5007600</v>
      </c>
      <c r="Q70" s="26">
        <v>5007600</v>
      </c>
      <c r="R70" s="26">
        <v>5007600</v>
      </c>
      <c r="S70" s="26">
        <v>5007600</v>
      </c>
      <c r="T70" s="26">
        <v>5007600</v>
      </c>
      <c r="U70" s="26">
        <v>5007600</v>
      </c>
      <c r="V70" s="26">
        <v>5007600</v>
      </c>
      <c r="W70" s="26">
        <v>5007600</v>
      </c>
      <c r="X70" s="26">
        <v>5007600</v>
      </c>
      <c r="Y70" s="26">
        <v>5007600</v>
      </c>
      <c r="Z70" s="26">
        <v>5007600</v>
      </c>
      <c r="AA70" s="26">
        <v>5007600</v>
      </c>
      <c r="AB70" s="26">
        <v>5007600</v>
      </c>
      <c r="AC70" s="26">
        <v>5007600</v>
      </c>
      <c r="AD70" s="26">
        <v>5007600</v>
      </c>
      <c r="AE70" s="26">
        <v>5007600</v>
      </c>
      <c r="AF70" s="26">
        <v>730000</v>
      </c>
      <c r="AG70" s="26">
        <v>730000</v>
      </c>
      <c r="AH70" s="26">
        <v>730000</v>
      </c>
      <c r="AI70" s="26">
        <v>730000</v>
      </c>
      <c r="AJ70" s="26">
        <v>730000</v>
      </c>
      <c r="AK70" s="26">
        <v>730000</v>
      </c>
      <c r="AL70" s="26">
        <v>730000</v>
      </c>
      <c r="AM70" s="26">
        <v>730000</v>
      </c>
      <c r="AN70" s="26">
        <v>730000</v>
      </c>
      <c r="AO70" s="26">
        <v>730000</v>
      </c>
      <c r="AP70" s="26">
        <v>730000</v>
      </c>
      <c r="AQ70" s="26">
        <v>730000</v>
      </c>
      <c r="AR70" s="26">
        <v>500000</v>
      </c>
      <c r="AS70" s="26">
        <v>500000</v>
      </c>
      <c r="AT70" s="26">
        <v>500000</v>
      </c>
      <c r="AU70" s="26">
        <v>500000</v>
      </c>
      <c r="AV70" s="26">
        <v>500000</v>
      </c>
      <c r="AW70" s="26">
        <v>500000</v>
      </c>
      <c r="AX70" s="26">
        <v>500000</v>
      </c>
      <c r="AY70" s="26">
        <v>500000</v>
      </c>
      <c r="AZ70" s="26">
        <v>500000</v>
      </c>
      <c r="BA70" s="26">
        <v>500000</v>
      </c>
      <c r="BB70" s="26">
        <v>500000</v>
      </c>
      <c r="BC70" s="26">
        <v>500000</v>
      </c>
      <c r="BD70" s="26">
        <v>0</v>
      </c>
      <c r="BE70" s="26">
        <v>0</v>
      </c>
      <c r="BF70" s="26">
        <v>0</v>
      </c>
      <c r="BG70" s="26">
        <v>0</v>
      </c>
      <c r="BH70" s="26">
        <v>0</v>
      </c>
      <c r="BI70" s="26">
        <v>0</v>
      </c>
      <c r="BJ70" s="26">
        <v>0</v>
      </c>
      <c r="BK70" s="26">
        <v>0</v>
      </c>
      <c r="BL70" s="26">
        <v>0</v>
      </c>
      <c r="BM70" s="26">
        <v>0</v>
      </c>
      <c r="BN70" s="26">
        <v>0</v>
      </c>
      <c r="BO70" s="26">
        <v>0</v>
      </c>
      <c r="BP70" s="26">
        <v>1200000</v>
      </c>
      <c r="BQ70" s="26">
        <v>1200000</v>
      </c>
      <c r="BR70" s="26">
        <v>1200000</v>
      </c>
      <c r="BS70" s="26">
        <v>1200000</v>
      </c>
      <c r="BT70" s="26">
        <v>1200000</v>
      </c>
      <c r="BU70" s="26">
        <v>1200000</v>
      </c>
      <c r="BV70" s="26">
        <v>1200000</v>
      </c>
      <c r="BW70" s="26">
        <v>1200000</v>
      </c>
      <c r="BX70" s="26">
        <v>1200000</v>
      </c>
      <c r="BY70" s="26">
        <v>1200000</v>
      </c>
      <c r="BZ70" s="26">
        <v>1200000</v>
      </c>
      <c r="CA70" s="26">
        <v>1200000</v>
      </c>
      <c r="CB70" s="26">
        <v>3500000</v>
      </c>
      <c r="CC70" s="26">
        <v>3500000</v>
      </c>
      <c r="CD70" s="26">
        <v>3500000</v>
      </c>
      <c r="CE70" s="26">
        <v>3500000</v>
      </c>
      <c r="CF70" s="26">
        <v>3500000</v>
      </c>
      <c r="CG70" s="26">
        <v>3500000</v>
      </c>
      <c r="CH70" s="26">
        <v>3500000</v>
      </c>
      <c r="CI70" s="26">
        <v>3500000</v>
      </c>
      <c r="CJ70" s="26">
        <v>3500000</v>
      </c>
      <c r="CK70" s="26">
        <v>3500000</v>
      </c>
      <c r="CL70" s="26">
        <v>3500000</v>
      </c>
      <c r="CM70" s="26">
        <v>3500000</v>
      </c>
      <c r="CN70" s="26">
        <v>5007600</v>
      </c>
      <c r="CO70" s="26">
        <v>23</v>
      </c>
      <c r="CP70" s="26">
        <v>5007600</v>
      </c>
      <c r="CQ70" s="26">
        <v>730000</v>
      </c>
      <c r="CR70" s="26">
        <v>500000</v>
      </c>
      <c r="CS70" s="26">
        <v>1200000</v>
      </c>
      <c r="CT70" s="26">
        <v>3500000</v>
      </c>
      <c r="CU70" s="26">
        <v>5930000</v>
      </c>
    </row>
    <row r="71" spans="1:99" x14ac:dyDescent="0.3">
      <c r="A71" s="26">
        <v>6</v>
      </c>
      <c r="B71" s="27" t="s">
        <v>32</v>
      </c>
      <c r="C71" s="27" t="s">
        <v>33</v>
      </c>
      <c r="D71" s="27" t="s">
        <v>26</v>
      </c>
      <c r="E71" s="27" t="s">
        <v>27</v>
      </c>
      <c r="F71" s="26">
        <v>8111578577</v>
      </c>
      <c r="G71" s="27" t="s">
        <v>34</v>
      </c>
      <c r="H71" s="26">
        <v>5007600</v>
      </c>
      <c r="I71" s="26">
        <v>5007600</v>
      </c>
      <c r="J71" s="26">
        <v>5007600</v>
      </c>
      <c r="K71" s="26">
        <v>5007600</v>
      </c>
      <c r="L71" s="26">
        <v>5007600</v>
      </c>
      <c r="M71" s="26">
        <v>5007600</v>
      </c>
      <c r="N71" s="26">
        <v>5007600</v>
      </c>
      <c r="O71" s="26">
        <v>5007600</v>
      </c>
      <c r="P71" s="26">
        <v>5007600</v>
      </c>
      <c r="Q71" s="26">
        <v>5007600</v>
      </c>
      <c r="R71" s="26">
        <v>5007600</v>
      </c>
      <c r="S71" s="26">
        <v>5007600</v>
      </c>
      <c r="T71" s="26">
        <v>5007600</v>
      </c>
      <c r="U71" s="26">
        <v>5007600</v>
      </c>
      <c r="V71" s="26">
        <v>5007600</v>
      </c>
      <c r="W71" s="26">
        <v>5007600</v>
      </c>
      <c r="X71" s="26">
        <v>5007600</v>
      </c>
      <c r="Y71" s="26">
        <v>5007600</v>
      </c>
      <c r="Z71" s="26">
        <v>5007600</v>
      </c>
      <c r="AA71" s="26">
        <v>5007600</v>
      </c>
      <c r="AB71" s="26">
        <v>5007600</v>
      </c>
      <c r="AC71" s="26">
        <v>5007600</v>
      </c>
      <c r="AD71" s="26">
        <v>5007600</v>
      </c>
      <c r="AE71" s="26">
        <v>5007600</v>
      </c>
      <c r="AF71" s="26">
        <v>730000</v>
      </c>
      <c r="AG71" s="26">
        <v>730000</v>
      </c>
      <c r="AH71" s="26">
        <v>730000</v>
      </c>
      <c r="AI71" s="26">
        <v>730000</v>
      </c>
      <c r="AJ71" s="26">
        <v>730000</v>
      </c>
      <c r="AK71" s="26">
        <v>730000</v>
      </c>
      <c r="AL71" s="26">
        <v>730000</v>
      </c>
      <c r="AM71" s="26">
        <v>730000</v>
      </c>
      <c r="AN71" s="26">
        <v>730000</v>
      </c>
      <c r="AO71" s="26">
        <v>730000</v>
      </c>
      <c r="AP71" s="26">
        <v>730000</v>
      </c>
      <c r="AQ71" s="26">
        <v>730000</v>
      </c>
      <c r="AR71" s="26">
        <v>500000</v>
      </c>
      <c r="AS71" s="26">
        <v>500000</v>
      </c>
      <c r="AT71" s="26">
        <v>500000</v>
      </c>
      <c r="AU71" s="26">
        <v>500000</v>
      </c>
      <c r="AV71" s="26">
        <v>500000</v>
      </c>
      <c r="AW71" s="26">
        <v>500000</v>
      </c>
      <c r="AX71" s="26">
        <v>500000</v>
      </c>
      <c r="AY71" s="26">
        <v>500000</v>
      </c>
      <c r="AZ71" s="26">
        <v>500000</v>
      </c>
      <c r="BA71" s="26">
        <v>500000</v>
      </c>
      <c r="BB71" s="26">
        <v>500000</v>
      </c>
      <c r="BC71" s="26">
        <v>500000</v>
      </c>
      <c r="BD71" s="26">
        <v>0</v>
      </c>
      <c r="BE71" s="26">
        <v>0</v>
      </c>
      <c r="BF71" s="26">
        <v>0</v>
      </c>
      <c r="BG71" s="26">
        <v>0</v>
      </c>
      <c r="BH71" s="26">
        <v>0</v>
      </c>
      <c r="BI71" s="26">
        <v>0</v>
      </c>
      <c r="BJ71" s="26">
        <v>0</v>
      </c>
      <c r="BK71" s="26">
        <v>0</v>
      </c>
      <c r="BL71" s="26">
        <v>0</v>
      </c>
      <c r="BM71" s="26">
        <v>0</v>
      </c>
      <c r="BN71" s="26">
        <v>0</v>
      </c>
      <c r="BO71" s="26">
        <v>0</v>
      </c>
      <c r="BP71" s="26">
        <v>1200000</v>
      </c>
      <c r="BQ71" s="26">
        <v>1200000</v>
      </c>
      <c r="BR71" s="26">
        <v>1200000</v>
      </c>
      <c r="BS71" s="26">
        <v>1200000</v>
      </c>
      <c r="BT71" s="26">
        <v>1200000</v>
      </c>
      <c r="BU71" s="26">
        <v>1200000</v>
      </c>
      <c r="BV71" s="26">
        <v>1200000</v>
      </c>
      <c r="BW71" s="26">
        <v>1200000</v>
      </c>
      <c r="BX71" s="26">
        <v>1200000</v>
      </c>
      <c r="BY71" s="26">
        <v>1200000</v>
      </c>
      <c r="BZ71" s="26">
        <v>1200000</v>
      </c>
      <c r="CA71" s="26">
        <v>1200000</v>
      </c>
      <c r="CB71" s="26">
        <v>3500000</v>
      </c>
      <c r="CC71" s="26">
        <v>3500000</v>
      </c>
      <c r="CD71" s="26">
        <v>3500000</v>
      </c>
      <c r="CE71" s="26">
        <v>3500000</v>
      </c>
      <c r="CF71" s="26">
        <v>3500000</v>
      </c>
      <c r="CG71" s="26">
        <v>3500000</v>
      </c>
      <c r="CH71" s="26">
        <v>3500000</v>
      </c>
      <c r="CI71" s="26">
        <v>3500000</v>
      </c>
      <c r="CJ71" s="26">
        <v>3500000</v>
      </c>
      <c r="CK71" s="26">
        <v>3500000</v>
      </c>
      <c r="CL71" s="26">
        <v>3500000</v>
      </c>
      <c r="CM71" s="26">
        <v>3500000</v>
      </c>
      <c r="CN71" s="26">
        <v>5007600</v>
      </c>
      <c r="CO71" s="26">
        <v>20</v>
      </c>
      <c r="CP71" s="26">
        <v>5007600</v>
      </c>
      <c r="CQ71" s="26">
        <v>730000</v>
      </c>
      <c r="CR71" s="26">
        <v>500000</v>
      </c>
      <c r="CS71" s="26">
        <v>1200000</v>
      </c>
      <c r="CT71" s="26">
        <v>3500000</v>
      </c>
      <c r="CU71" s="26">
        <v>5930000</v>
      </c>
    </row>
    <row r="72" spans="1:99" x14ac:dyDescent="0.3">
      <c r="A72" s="26">
        <v>6</v>
      </c>
      <c r="B72" s="27" t="s">
        <v>32</v>
      </c>
      <c r="C72" s="27" t="s">
        <v>33</v>
      </c>
      <c r="D72" s="27" t="s">
        <v>26</v>
      </c>
      <c r="E72" s="27" t="s">
        <v>27</v>
      </c>
      <c r="F72" s="26">
        <v>8111578577</v>
      </c>
      <c r="G72" s="27" t="s">
        <v>34</v>
      </c>
      <c r="H72" s="26">
        <v>5007600</v>
      </c>
      <c r="I72" s="26">
        <v>5007600</v>
      </c>
      <c r="J72" s="26">
        <v>5007600</v>
      </c>
      <c r="K72" s="26">
        <v>5007600</v>
      </c>
      <c r="L72" s="26">
        <v>5007600</v>
      </c>
      <c r="M72" s="26">
        <v>5007600</v>
      </c>
      <c r="N72" s="26">
        <v>5007600</v>
      </c>
      <c r="O72" s="26">
        <v>5007600</v>
      </c>
      <c r="P72" s="26">
        <v>5007600</v>
      </c>
      <c r="Q72" s="26">
        <v>5007600</v>
      </c>
      <c r="R72" s="26">
        <v>5007600</v>
      </c>
      <c r="S72" s="26">
        <v>5007600</v>
      </c>
      <c r="T72" s="26">
        <v>5007600</v>
      </c>
      <c r="U72" s="26">
        <v>5007600</v>
      </c>
      <c r="V72" s="26">
        <v>5007600</v>
      </c>
      <c r="W72" s="26">
        <v>5007600</v>
      </c>
      <c r="X72" s="26">
        <v>5007600</v>
      </c>
      <c r="Y72" s="26">
        <v>5007600</v>
      </c>
      <c r="Z72" s="26">
        <v>5007600</v>
      </c>
      <c r="AA72" s="26">
        <v>5007600</v>
      </c>
      <c r="AB72" s="26">
        <v>5007600</v>
      </c>
      <c r="AC72" s="26">
        <v>5007600</v>
      </c>
      <c r="AD72" s="26">
        <v>5007600</v>
      </c>
      <c r="AE72" s="26">
        <v>5007600</v>
      </c>
      <c r="AF72" s="26">
        <v>730000</v>
      </c>
      <c r="AG72" s="26">
        <v>730000</v>
      </c>
      <c r="AH72" s="26">
        <v>730000</v>
      </c>
      <c r="AI72" s="26">
        <v>730000</v>
      </c>
      <c r="AJ72" s="26">
        <v>730000</v>
      </c>
      <c r="AK72" s="26">
        <v>730000</v>
      </c>
      <c r="AL72" s="26">
        <v>730000</v>
      </c>
      <c r="AM72" s="26">
        <v>730000</v>
      </c>
      <c r="AN72" s="26">
        <v>730000</v>
      </c>
      <c r="AO72" s="26">
        <v>730000</v>
      </c>
      <c r="AP72" s="26">
        <v>730000</v>
      </c>
      <c r="AQ72" s="26">
        <v>730000</v>
      </c>
      <c r="AR72" s="26">
        <v>500000</v>
      </c>
      <c r="AS72" s="26">
        <v>500000</v>
      </c>
      <c r="AT72" s="26">
        <v>500000</v>
      </c>
      <c r="AU72" s="26">
        <v>500000</v>
      </c>
      <c r="AV72" s="26">
        <v>500000</v>
      </c>
      <c r="AW72" s="26">
        <v>500000</v>
      </c>
      <c r="AX72" s="26">
        <v>500000</v>
      </c>
      <c r="AY72" s="26">
        <v>500000</v>
      </c>
      <c r="AZ72" s="26">
        <v>500000</v>
      </c>
      <c r="BA72" s="26">
        <v>500000</v>
      </c>
      <c r="BB72" s="26">
        <v>500000</v>
      </c>
      <c r="BC72" s="26">
        <v>500000</v>
      </c>
      <c r="BD72" s="26">
        <v>0</v>
      </c>
      <c r="BE72" s="26">
        <v>0</v>
      </c>
      <c r="BF72" s="26">
        <v>0</v>
      </c>
      <c r="BG72" s="26">
        <v>0</v>
      </c>
      <c r="BH72" s="26">
        <v>0</v>
      </c>
      <c r="BI72" s="26">
        <v>0</v>
      </c>
      <c r="BJ72" s="26">
        <v>0</v>
      </c>
      <c r="BK72" s="26">
        <v>0</v>
      </c>
      <c r="BL72" s="26">
        <v>0</v>
      </c>
      <c r="BM72" s="26">
        <v>0</v>
      </c>
      <c r="BN72" s="26">
        <v>0</v>
      </c>
      <c r="BO72" s="26">
        <v>0</v>
      </c>
      <c r="BP72" s="26">
        <v>1200000</v>
      </c>
      <c r="BQ72" s="26">
        <v>1200000</v>
      </c>
      <c r="BR72" s="26">
        <v>1200000</v>
      </c>
      <c r="BS72" s="26">
        <v>1200000</v>
      </c>
      <c r="BT72" s="26">
        <v>1200000</v>
      </c>
      <c r="BU72" s="26">
        <v>1200000</v>
      </c>
      <c r="BV72" s="26">
        <v>1200000</v>
      </c>
      <c r="BW72" s="26">
        <v>1200000</v>
      </c>
      <c r="BX72" s="26">
        <v>1200000</v>
      </c>
      <c r="BY72" s="26">
        <v>1200000</v>
      </c>
      <c r="BZ72" s="26">
        <v>1200000</v>
      </c>
      <c r="CA72" s="26">
        <v>1200000</v>
      </c>
      <c r="CB72" s="26">
        <v>3500000</v>
      </c>
      <c r="CC72" s="26">
        <v>3500000</v>
      </c>
      <c r="CD72" s="26">
        <v>3500000</v>
      </c>
      <c r="CE72" s="26">
        <v>3500000</v>
      </c>
      <c r="CF72" s="26">
        <v>3500000</v>
      </c>
      <c r="CG72" s="26">
        <v>3500000</v>
      </c>
      <c r="CH72" s="26">
        <v>3500000</v>
      </c>
      <c r="CI72" s="26">
        <v>3500000</v>
      </c>
      <c r="CJ72" s="26">
        <v>3500000</v>
      </c>
      <c r="CK72" s="26">
        <v>3500000</v>
      </c>
      <c r="CL72" s="26">
        <v>3500000</v>
      </c>
      <c r="CM72" s="26">
        <v>3500000</v>
      </c>
      <c r="CN72" s="26">
        <v>5007600</v>
      </c>
      <c r="CO72" s="26">
        <v>23</v>
      </c>
      <c r="CP72" s="26">
        <v>5007600</v>
      </c>
      <c r="CQ72" s="26">
        <v>730000</v>
      </c>
      <c r="CR72" s="26">
        <v>500000</v>
      </c>
      <c r="CS72" s="26">
        <v>1200000</v>
      </c>
      <c r="CT72" s="26">
        <v>3500000</v>
      </c>
      <c r="CU72" s="26">
        <v>5930000</v>
      </c>
    </row>
    <row r="73" spans="1:99" x14ac:dyDescent="0.3">
      <c r="A73" s="26">
        <v>6</v>
      </c>
      <c r="B73" s="27" t="s">
        <v>32</v>
      </c>
      <c r="C73" s="27" t="s">
        <v>33</v>
      </c>
      <c r="D73" s="27" t="s">
        <v>26</v>
      </c>
      <c r="E73" s="27" t="s">
        <v>27</v>
      </c>
      <c r="F73" s="26">
        <v>8111578577</v>
      </c>
      <c r="G73" s="27" t="s">
        <v>34</v>
      </c>
      <c r="H73" s="26">
        <v>5007600</v>
      </c>
      <c r="I73" s="26">
        <v>5007600</v>
      </c>
      <c r="J73" s="26">
        <v>5007600</v>
      </c>
      <c r="K73" s="26">
        <v>5007600</v>
      </c>
      <c r="L73" s="26">
        <v>5007600</v>
      </c>
      <c r="M73" s="26">
        <v>5007600</v>
      </c>
      <c r="N73" s="26">
        <v>5007600</v>
      </c>
      <c r="O73" s="26">
        <v>5007600</v>
      </c>
      <c r="P73" s="26">
        <v>5007600</v>
      </c>
      <c r="Q73" s="26">
        <v>5007600</v>
      </c>
      <c r="R73" s="26">
        <v>5007600</v>
      </c>
      <c r="S73" s="26">
        <v>5007600</v>
      </c>
      <c r="T73" s="26">
        <v>5007600</v>
      </c>
      <c r="U73" s="26">
        <v>5007600</v>
      </c>
      <c r="V73" s="26">
        <v>5007600</v>
      </c>
      <c r="W73" s="26">
        <v>5007600</v>
      </c>
      <c r="X73" s="26">
        <v>5007600</v>
      </c>
      <c r="Y73" s="26">
        <v>5007600</v>
      </c>
      <c r="Z73" s="26">
        <v>5007600</v>
      </c>
      <c r="AA73" s="26">
        <v>5007600</v>
      </c>
      <c r="AB73" s="26">
        <v>5007600</v>
      </c>
      <c r="AC73" s="26">
        <v>5007600</v>
      </c>
      <c r="AD73" s="26">
        <v>5007600</v>
      </c>
      <c r="AE73" s="26">
        <v>5007600</v>
      </c>
      <c r="AF73" s="26">
        <v>730000</v>
      </c>
      <c r="AG73" s="26">
        <v>730000</v>
      </c>
      <c r="AH73" s="26">
        <v>730000</v>
      </c>
      <c r="AI73" s="26">
        <v>730000</v>
      </c>
      <c r="AJ73" s="26">
        <v>730000</v>
      </c>
      <c r="AK73" s="26">
        <v>730000</v>
      </c>
      <c r="AL73" s="26">
        <v>730000</v>
      </c>
      <c r="AM73" s="26">
        <v>730000</v>
      </c>
      <c r="AN73" s="26">
        <v>730000</v>
      </c>
      <c r="AO73" s="26">
        <v>730000</v>
      </c>
      <c r="AP73" s="26">
        <v>730000</v>
      </c>
      <c r="AQ73" s="26">
        <v>730000</v>
      </c>
      <c r="AR73" s="26">
        <v>500000</v>
      </c>
      <c r="AS73" s="26">
        <v>500000</v>
      </c>
      <c r="AT73" s="26">
        <v>500000</v>
      </c>
      <c r="AU73" s="26">
        <v>500000</v>
      </c>
      <c r="AV73" s="26">
        <v>500000</v>
      </c>
      <c r="AW73" s="26">
        <v>500000</v>
      </c>
      <c r="AX73" s="26">
        <v>500000</v>
      </c>
      <c r="AY73" s="26">
        <v>500000</v>
      </c>
      <c r="AZ73" s="26">
        <v>500000</v>
      </c>
      <c r="BA73" s="26">
        <v>500000</v>
      </c>
      <c r="BB73" s="26">
        <v>500000</v>
      </c>
      <c r="BC73" s="26">
        <v>500000</v>
      </c>
      <c r="BD73" s="26">
        <v>0</v>
      </c>
      <c r="BE73" s="26">
        <v>0</v>
      </c>
      <c r="BF73" s="26">
        <v>0</v>
      </c>
      <c r="BG73" s="26">
        <v>0</v>
      </c>
      <c r="BH73" s="26">
        <v>0</v>
      </c>
      <c r="BI73" s="26">
        <v>0</v>
      </c>
      <c r="BJ73" s="26">
        <v>0</v>
      </c>
      <c r="BK73" s="26">
        <v>0</v>
      </c>
      <c r="BL73" s="26">
        <v>0</v>
      </c>
      <c r="BM73" s="26">
        <v>0</v>
      </c>
      <c r="BN73" s="26">
        <v>0</v>
      </c>
      <c r="BO73" s="26">
        <v>0</v>
      </c>
      <c r="BP73" s="26">
        <v>1200000</v>
      </c>
      <c r="BQ73" s="26">
        <v>1200000</v>
      </c>
      <c r="BR73" s="26">
        <v>1200000</v>
      </c>
      <c r="BS73" s="26">
        <v>1200000</v>
      </c>
      <c r="BT73" s="26">
        <v>1200000</v>
      </c>
      <c r="BU73" s="26">
        <v>1200000</v>
      </c>
      <c r="BV73" s="26">
        <v>1200000</v>
      </c>
      <c r="BW73" s="26">
        <v>1200000</v>
      </c>
      <c r="BX73" s="26">
        <v>1200000</v>
      </c>
      <c r="BY73" s="26">
        <v>1200000</v>
      </c>
      <c r="BZ73" s="26">
        <v>1200000</v>
      </c>
      <c r="CA73" s="26">
        <v>1200000</v>
      </c>
      <c r="CB73" s="26">
        <v>3500000</v>
      </c>
      <c r="CC73" s="26">
        <v>3500000</v>
      </c>
      <c r="CD73" s="26">
        <v>3500000</v>
      </c>
      <c r="CE73" s="26">
        <v>3500000</v>
      </c>
      <c r="CF73" s="26">
        <v>3500000</v>
      </c>
      <c r="CG73" s="26">
        <v>3500000</v>
      </c>
      <c r="CH73" s="26">
        <v>3500000</v>
      </c>
      <c r="CI73" s="26">
        <v>3500000</v>
      </c>
      <c r="CJ73" s="26">
        <v>3500000</v>
      </c>
      <c r="CK73" s="26">
        <v>3500000</v>
      </c>
      <c r="CL73" s="26">
        <v>3500000</v>
      </c>
      <c r="CM73" s="26">
        <v>3500000</v>
      </c>
      <c r="CN73" s="26">
        <v>5007600</v>
      </c>
      <c r="CO73" s="26">
        <v>21</v>
      </c>
      <c r="CP73" s="26">
        <v>5007600</v>
      </c>
      <c r="CQ73" s="26">
        <v>730000</v>
      </c>
      <c r="CR73" s="26">
        <v>500000</v>
      </c>
      <c r="CS73" s="26">
        <v>1200000</v>
      </c>
      <c r="CT73" s="26">
        <v>3500000</v>
      </c>
      <c r="CU73" s="26">
        <v>5930000</v>
      </c>
    </row>
    <row r="74" spans="1:99" x14ac:dyDescent="0.3">
      <c r="A74" s="26">
        <v>7</v>
      </c>
      <c r="B74" s="27" t="s">
        <v>35</v>
      </c>
      <c r="C74" s="27" t="s">
        <v>36</v>
      </c>
      <c r="D74" s="27" t="s">
        <v>26</v>
      </c>
      <c r="E74" s="27" t="s">
        <v>27</v>
      </c>
      <c r="F74" s="26">
        <v>8506572285</v>
      </c>
      <c r="G74" s="27" t="s">
        <v>37</v>
      </c>
      <c r="H74" s="26">
        <v>5007600</v>
      </c>
      <c r="I74" s="26">
        <v>5007600</v>
      </c>
      <c r="J74" s="26">
        <v>5007600</v>
      </c>
      <c r="K74" s="26">
        <v>5007600</v>
      </c>
      <c r="L74" s="26">
        <v>5007600</v>
      </c>
      <c r="M74" s="26">
        <v>5007600</v>
      </c>
      <c r="N74" s="26">
        <v>5007600</v>
      </c>
      <c r="O74" s="26">
        <v>5007600</v>
      </c>
      <c r="P74" s="26">
        <v>5007600</v>
      </c>
      <c r="Q74" s="26">
        <v>5007600</v>
      </c>
      <c r="R74" s="26">
        <v>5007600</v>
      </c>
      <c r="S74" s="26">
        <v>5007600</v>
      </c>
      <c r="T74" s="26">
        <v>5007600</v>
      </c>
      <c r="U74" s="26">
        <v>5007600</v>
      </c>
      <c r="V74" s="26">
        <v>5007600</v>
      </c>
      <c r="W74" s="26">
        <v>5007600</v>
      </c>
      <c r="X74" s="26">
        <v>5007600</v>
      </c>
      <c r="Y74" s="26">
        <v>5007600</v>
      </c>
      <c r="Z74" s="26">
        <v>5007600</v>
      </c>
      <c r="AA74" s="26">
        <v>5007600</v>
      </c>
      <c r="AB74" s="26">
        <v>5007600</v>
      </c>
      <c r="AC74" s="26">
        <v>5007600</v>
      </c>
      <c r="AD74" s="26">
        <v>5007600</v>
      </c>
      <c r="AE74" s="26">
        <v>5007600</v>
      </c>
      <c r="AF74" s="26">
        <v>730000</v>
      </c>
      <c r="AG74" s="26">
        <v>730000</v>
      </c>
      <c r="AH74" s="26">
        <v>730000</v>
      </c>
      <c r="AI74" s="26">
        <v>730000</v>
      </c>
      <c r="AJ74" s="26">
        <v>730000</v>
      </c>
      <c r="AK74" s="26">
        <v>730000</v>
      </c>
      <c r="AL74" s="26">
        <v>730000</v>
      </c>
      <c r="AM74" s="26">
        <v>730000</v>
      </c>
      <c r="AN74" s="26">
        <v>730000</v>
      </c>
      <c r="AO74" s="26">
        <v>730000</v>
      </c>
      <c r="AP74" s="26">
        <v>730000</v>
      </c>
      <c r="AQ74" s="26">
        <v>730000</v>
      </c>
      <c r="AR74" s="26">
        <v>500000</v>
      </c>
      <c r="AS74" s="26">
        <v>500000</v>
      </c>
      <c r="AT74" s="26">
        <v>500000</v>
      </c>
      <c r="AU74" s="26">
        <v>500000</v>
      </c>
      <c r="AV74" s="26">
        <v>500000</v>
      </c>
      <c r="AW74" s="26">
        <v>500000</v>
      </c>
      <c r="AX74" s="26">
        <v>500000</v>
      </c>
      <c r="AY74" s="26">
        <v>500000</v>
      </c>
      <c r="AZ74" s="26">
        <v>500000</v>
      </c>
      <c r="BA74" s="26">
        <v>500000</v>
      </c>
      <c r="BB74" s="26">
        <v>500000</v>
      </c>
      <c r="BC74" s="26">
        <v>500000</v>
      </c>
      <c r="BD74" s="26">
        <v>0</v>
      </c>
      <c r="BE74" s="26">
        <v>0</v>
      </c>
      <c r="BF74" s="26">
        <v>0</v>
      </c>
      <c r="BG74" s="26">
        <v>0</v>
      </c>
      <c r="BH74" s="26">
        <v>0</v>
      </c>
      <c r="BI74" s="26">
        <v>0</v>
      </c>
      <c r="BJ74" s="26">
        <v>0</v>
      </c>
      <c r="BK74" s="26">
        <v>0</v>
      </c>
      <c r="BL74" s="26">
        <v>0</v>
      </c>
      <c r="BM74" s="26">
        <v>0</v>
      </c>
      <c r="BN74" s="26">
        <v>0</v>
      </c>
      <c r="BO74" s="26">
        <v>0</v>
      </c>
      <c r="BP74" s="26">
        <v>1200000</v>
      </c>
      <c r="BQ74" s="26">
        <v>1200000</v>
      </c>
      <c r="BR74" s="26">
        <v>1200000</v>
      </c>
      <c r="BS74" s="26">
        <v>1200000</v>
      </c>
      <c r="BT74" s="26">
        <v>1200000</v>
      </c>
      <c r="BU74" s="26">
        <v>1200000</v>
      </c>
      <c r="BV74" s="26">
        <v>1200000</v>
      </c>
      <c r="BW74" s="26">
        <v>1200000</v>
      </c>
      <c r="BX74" s="26">
        <v>1200000</v>
      </c>
      <c r="BY74" s="26">
        <v>1200000</v>
      </c>
      <c r="BZ74" s="26">
        <v>1200000</v>
      </c>
      <c r="CA74" s="26">
        <v>1200000</v>
      </c>
      <c r="CB74" s="26">
        <v>3500000</v>
      </c>
      <c r="CC74" s="26">
        <v>3500000</v>
      </c>
      <c r="CD74" s="26">
        <v>3500000</v>
      </c>
      <c r="CE74" s="26">
        <v>3500000</v>
      </c>
      <c r="CF74" s="26">
        <v>3500000</v>
      </c>
      <c r="CG74" s="26">
        <v>3500000</v>
      </c>
      <c r="CH74" s="26">
        <v>3500000</v>
      </c>
      <c r="CI74" s="26">
        <v>3500000</v>
      </c>
      <c r="CJ74" s="26">
        <v>3500000</v>
      </c>
      <c r="CK74" s="26">
        <v>3500000</v>
      </c>
      <c r="CL74" s="26">
        <v>3500000</v>
      </c>
      <c r="CM74" s="26">
        <v>3500000</v>
      </c>
      <c r="CN74" s="26">
        <v>5007600</v>
      </c>
      <c r="CO74" s="26">
        <v>21</v>
      </c>
      <c r="CP74" s="26">
        <v>5007600</v>
      </c>
      <c r="CQ74" s="26">
        <v>730000</v>
      </c>
      <c r="CR74" s="26">
        <v>500000</v>
      </c>
      <c r="CS74" s="26">
        <v>1200000</v>
      </c>
      <c r="CT74" s="26">
        <v>3500000</v>
      </c>
      <c r="CU74" s="26">
        <v>5930000</v>
      </c>
    </row>
    <row r="75" spans="1:99" x14ac:dyDescent="0.3">
      <c r="A75" s="26">
        <v>7</v>
      </c>
      <c r="B75" s="27" t="s">
        <v>35</v>
      </c>
      <c r="C75" s="27" t="s">
        <v>36</v>
      </c>
      <c r="D75" s="27" t="s">
        <v>26</v>
      </c>
      <c r="E75" s="27" t="s">
        <v>27</v>
      </c>
      <c r="F75" s="26">
        <v>8506572285</v>
      </c>
      <c r="G75" s="27" t="s">
        <v>37</v>
      </c>
      <c r="H75" s="26">
        <v>5007600</v>
      </c>
      <c r="I75" s="26">
        <v>5007600</v>
      </c>
      <c r="J75" s="26">
        <v>5007600</v>
      </c>
      <c r="K75" s="26">
        <v>5007600</v>
      </c>
      <c r="L75" s="26">
        <v>5007600</v>
      </c>
      <c r="M75" s="26">
        <v>5007600</v>
      </c>
      <c r="N75" s="26">
        <v>5007600</v>
      </c>
      <c r="O75" s="26">
        <v>5007600</v>
      </c>
      <c r="P75" s="26">
        <v>5007600</v>
      </c>
      <c r="Q75" s="26">
        <v>5007600</v>
      </c>
      <c r="R75" s="26">
        <v>5007600</v>
      </c>
      <c r="S75" s="26">
        <v>5007600</v>
      </c>
      <c r="T75" s="26">
        <v>5007600</v>
      </c>
      <c r="U75" s="26">
        <v>5007600</v>
      </c>
      <c r="V75" s="26">
        <v>5007600</v>
      </c>
      <c r="W75" s="26">
        <v>5007600</v>
      </c>
      <c r="X75" s="26">
        <v>5007600</v>
      </c>
      <c r="Y75" s="26">
        <v>5007600</v>
      </c>
      <c r="Z75" s="26">
        <v>5007600</v>
      </c>
      <c r="AA75" s="26">
        <v>5007600</v>
      </c>
      <c r="AB75" s="26">
        <v>5007600</v>
      </c>
      <c r="AC75" s="26">
        <v>5007600</v>
      </c>
      <c r="AD75" s="26">
        <v>5007600</v>
      </c>
      <c r="AE75" s="26">
        <v>5007600</v>
      </c>
      <c r="AF75" s="26">
        <v>730000</v>
      </c>
      <c r="AG75" s="26">
        <v>730000</v>
      </c>
      <c r="AH75" s="26">
        <v>730000</v>
      </c>
      <c r="AI75" s="26">
        <v>730000</v>
      </c>
      <c r="AJ75" s="26">
        <v>730000</v>
      </c>
      <c r="AK75" s="26">
        <v>730000</v>
      </c>
      <c r="AL75" s="26">
        <v>730000</v>
      </c>
      <c r="AM75" s="26">
        <v>730000</v>
      </c>
      <c r="AN75" s="26">
        <v>730000</v>
      </c>
      <c r="AO75" s="26">
        <v>730000</v>
      </c>
      <c r="AP75" s="26">
        <v>730000</v>
      </c>
      <c r="AQ75" s="26">
        <v>730000</v>
      </c>
      <c r="AR75" s="26">
        <v>500000</v>
      </c>
      <c r="AS75" s="26">
        <v>500000</v>
      </c>
      <c r="AT75" s="26">
        <v>500000</v>
      </c>
      <c r="AU75" s="26">
        <v>500000</v>
      </c>
      <c r="AV75" s="26">
        <v>500000</v>
      </c>
      <c r="AW75" s="26">
        <v>500000</v>
      </c>
      <c r="AX75" s="26">
        <v>500000</v>
      </c>
      <c r="AY75" s="26">
        <v>500000</v>
      </c>
      <c r="AZ75" s="26">
        <v>500000</v>
      </c>
      <c r="BA75" s="26">
        <v>500000</v>
      </c>
      <c r="BB75" s="26">
        <v>500000</v>
      </c>
      <c r="BC75" s="26">
        <v>500000</v>
      </c>
      <c r="BD75" s="26">
        <v>0</v>
      </c>
      <c r="BE75" s="26">
        <v>0</v>
      </c>
      <c r="BF75" s="26">
        <v>0</v>
      </c>
      <c r="BG75" s="26">
        <v>0</v>
      </c>
      <c r="BH75" s="26">
        <v>0</v>
      </c>
      <c r="BI75" s="26">
        <v>0</v>
      </c>
      <c r="BJ75" s="26">
        <v>0</v>
      </c>
      <c r="BK75" s="26">
        <v>0</v>
      </c>
      <c r="BL75" s="26">
        <v>0</v>
      </c>
      <c r="BM75" s="26">
        <v>0</v>
      </c>
      <c r="BN75" s="26">
        <v>0</v>
      </c>
      <c r="BO75" s="26">
        <v>0</v>
      </c>
      <c r="BP75" s="26">
        <v>1200000</v>
      </c>
      <c r="BQ75" s="26">
        <v>1200000</v>
      </c>
      <c r="BR75" s="26">
        <v>1200000</v>
      </c>
      <c r="BS75" s="26">
        <v>1200000</v>
      </c>
      <c r="BT75" s="26">
        <v>1200000</v>
      </c>
      <c r="BU75" s="26">
        <v>1200000</v>
      </c>
      <c r="BV75" s="26">
        <v>1200000</v>
      </c>
      <c r="BW75" s="26">
        <v>1200000</v>
      </c>
      <c r="BX75" s="26">
        <v>1200000</v>
      </c>
      <c r="BY75" s="26">
        <v>1200000</v>
      </c>
      <c r="BZ75" s="26">
        <v>1200000</v>
      </c>
      <c r="CA75" s="26">
        <v>1200000</v>
      </c>
      <c r="CB75" s="26">
        <v>3500000</v>
      </c>
      <c r="CC75" s="26">
        <v>3500000</v>
      </c>
      <c r="CD75" s="26">
        <v>3500000</v>
      </c>
      <c r="CE75" s="26">
        <v>3500000</v>
      </c>
      <c r="CF75" s="26">
        <v>3500000</v>
      </c>
      <c r="CG75" s="26">
        <v>3500000</v>
      </c>
      <c r="CH75" s="26">
        <v>3500000</v>
      </c>
      <c r="CI75" s="26">
        <v>3500000</v>
      </c>
      <c r="CJ75" s="26">
        <v>3500000</v>
      </c>
      <c r="CK75" s="26">
        <v>3500000</v>
      </c>
      <c r="CL75" s="26">
        <v>3500000</v>
      </c>
      <c r="CM75" s="26">
        <v>3500000</v>
      </c>
      <c r="CN75" s="26">
        <v>5007600</v>
      </c>
      <c r="CO75" s="26">
        <v>22</v>
      </c>
      <c r="CP75" s="26">
        <v>5007600</v>
      </c>
      <c r="CQ75" s="26">
        <v>730000</v>
      </c>
      <c r="CR75" s="26">
        <v>500000</v>
      </c>
      <c r="CS75" s="26">
        <v>1200000</v>
      </c>
      <c r="CT75" s="26">
        <v>3500000</v>
      </c>
      <c r="CU75" s="26">
        <v>5930000</v>
      </c>
    </row>
    <row r="76" spans="1:99" x14ac:dyDescent="0.3">
      <c r="A76" s="26">
        <v>7</v>
      </c>
      <c r="B76" s="27" t="s">
        <v>35</v>
      </c>
      <c r="C76" s="27" t="s">
        <v>36</v>
      </c>
      <c r="D76" s="27" t="s">
        <v>26</v>
      </c>
      <c r="E76" s="27" t="s">
        <v>27</v>
      </c>
      <c r="F76" s="26">
        <v>8506572285</v>
      </c>
      <c r="G76" s="27" t="s">
        <v>37</v>
      </c>
      <c r="H76" s="26">
        <v>5007600</v>
      </c>
      <c r="I76" s="26">
        <v>5007600</v>
      </c>
      <c r="J76" s="26">
        <v>5007600</v>
      </c>
      <c r="K76" s="26">
        <v>5007600</v>
      </c>
      <c r="L76" s="26">
        <v>5007600</v>
      </c>
      <c r="M76" s="26">
        <v>5007600</v>
      </c>
      <c r="N76" s="26">
        <v>5007600</v>
      </c>
      <c r="O76" s="26">
        <v>5007600</v>
      </c>
      <c r="P76" s="26">
        <v>5007600</v>
      </c>
      <c r="Q76" s="26">
        <v>5007600</v>
      </c>
      <c r="R76" s="26">
        <v>5007600</v>
      </c>
      <c r="S76" s="26">
        <v>5007600</v>
      </c>
      <c r="T76" s="26">
        <v>5007600</v>
      </c>
      <c r="U76" s="26">
        <v>5007600</v>
      </c>
      <c r="V76" s="26">
        <v>5007600</v>
      </c>
      <c r="W76" s="26">
        <v>5007600</v>
      </c>
      <c r="X76" s="26">
        <v>5007600</v>
      </c>
      <c r="Y76" s="26">
        <v>5007600</v>
      </c>
      <c r="Z76" s="26">
        <v>5007600</v>
      </c>
      <c r="AA76" s="26">
        <v>5007600</v>
      </c>
      <c r="AB76" s="26">
        <v>5007600</v>
      </c>
      <c r="AC76" s="26">
        <v>5007600</v>
      </c>
      <c r="AD76" s="26">
        <v>5007600</v>
      </c>
      <c r="AE76" s="26">
        <v>5007600</v>
      </c>
      <c r="AF76" s="26">
        <v>730000</v>
      </c>
      <c r="AG76" s="26">
        <v>730000</v>
      </c>
      <c r="AH76" s="26">
        <v>730000</v>
      </c>
      <c r="AI76" s="26">
        <v>730000</v>
      </c>
      <c r="AJ76" s="26">
        <v>730000</v>
      </c>
      <c r="AK76" s="26">
        <v>730000</v>
      </c>
      <c r="AL76" s="26">
        <v>730000</v>
      </c>
      <c r="AM76" s="26">
        <v>730000</v>
      </c>
      <c r="AN76" s="26">
        <v>730000</v>
      </c>
      <c r="AO76" s="26">
        <v>730000</v>
      </c>
      <c r="AP76" s="26">
        <v>730000</v>
      </c>
      <c r="AQ76" s="26">
        <v>730000</v>
      </c>
      <c r="AR76" s="26">
        <v>500000</v>
      </c>
      <c r="AS76" s="26">
        <v>500000</v>
      </c>
      <c r="AT76" s="26">
        <v>500000</v>
      </c>
      <c r="AU76" s="26">
        <v>500000</v>
      </c>
      <c r="AV76" s="26">
        <v>500000</v>
      </c>
      <c r="AW76" s="26">
        <v>500000</v>
      </c>
      <c r="AX76" s="26">
        <v>500000</v>
      </c>
      <c r="AY76" s="26">
        <v>500000</v>
      </c>
      <c r="AZ76" s="26">
        <v>500000</v>
      </c>
      <c r="BA76" s="26">
        <v>500000</v>
      </c>
      <c r="BB76" s="26">
        <v>500000</v>
      </c>
      <c r="BC76" s="26">
        <v>500000</v>
      </c>
      <c r="BD76" s="26">
        <v>0</v>
      </c>
      <c r="BE76" s="26">
        <v>0</v>
      </c>
      <c r="BF76" s="26">
        <v>0</v>
      </c>
      <c r="BG76" s="26">
        <v>0</v>
      </c>
      <c r="BH76" s="26">
        <v>0</v>
      </c>
      <c r="BI76" s="26">
        <v>0</v>
      </c>
      <c r="BJ76" s="26">
        <v>0</v>
      </c>
      <c r="BK76" s="26">
        <v>0</v>
      </c>
      <c r="BL76" s="26">
        <v>0</v>
      </c>
      <c r="BM76" s="26">
        <v>0</v>
      </c>
      <c r="BN76" s="26">
        <v>0</v>
      </c>
      <c r="BO76" s="26">
        <v>0</v>
      </c>
      <c r="BP76" s="26">
        <v>1200000</v>
      </c>
      <c r="BQ76" s="26">
        <v>1200000</v>
      </c>
      <c r="BR76" s="26">
        <v>1200000</v>
      </c>
      <c r="BS76" s="26">
        <v>1200000</v>
      </c>
      <c r="BT76" s="26">
        <v>1200000</v>
      </c>
      <c r="BU76" s="26">
        <v>1200000</v>
      </c>
      <c r="BV76" s="26">
        <v>1200000</v>
      </c>
      <c r="BW76" s="26">
        <v>1200000</v>
      </c>
      <c r="BX76" s="26">
        <v>1200000</v>
      </c>
      <c r="BY76" s="26">
        <v>1200000</v>
      </c>
      <c r="BZ76" s="26">
        <v>1200000</v>
      </c>
      <c r="CA76" s="26">
        <v>1200000</v>
      </c>
      <c r="CB76" s="26">
        <v>3500000</v>
      </c>
      <c r="CC76" s="26">
        <v>3500000</v>
      </c>
      <c r="CD76" s="26">
        <v>3500000</v>
      </c>
      <c r="CE76" s="26">
        <v>3500000</v>
      </c>
      <c r="CF76" s="26">
        <v>3500000</v>
      </c>
      <c r="CG76" s="26">
        <v>3500000</v>
      </c>
      <c r="CH76" s="26">
        <v>3500000</v>
      </c>
      <c r="CI76" s="26">
        <v>3500000</v>
      </c>
      <c r="CJ76" s="26">
        <v>3500000</v>
      </c>
      <c r="CK76" s="26">
        <v>3500000</v>
      </c>
      <c r="CL76" s="26">
        <v>3500000</v>
      </c>
      <c r="CM76" s="26">
        <v>3500000</v>
      </c>
      <c r="CN76" s="26">
        <v>5007600</v>
      </c>
      <c r="CO76" s="26">
        <v>22</v>
      </c>
      <c r="CP76" s="26">
        <v>5007600</v>
      </c>
      <c r="CQ76" s="26">
        <v>730000</v>
      </c>
      <c r="CR76" s="26">
        <v>500000</v>
      </c>
      <c r="CS76" s="26">
        <v>1200000</v>
      </c>
      <c r="CT76" s="26">
        <v>3500000</v>
      </c>
      <c r="CU76" s="26">
        <v>5930000</v>
      </c>
    </row>
    <row r="77" spans="1:99" x14ac:dyDescent="0.3">
      <c r="A77" s="26">
        <v>7</v>
      </c>
      <c r="B77" s="27" t="s">
        <v>35</v>
      </c>
      <c r="C77" s="27" t="s">
        <v>36</v>
      </c>
      <c r="D77" s="27" t="s">
        <v>26</v>
      </c>
      <c r="E77" s="27" t="s">
        <v>27</v>
      </c>
      <c r="F77" s="26">
        <v>8506572285</v>
      </c>
      <c r="G77" s="27" t="s">
        <v>37</v>
      </c>
      <c r="H77" s="26">
        <v>5007600</v>
      </c>
      <c r="I77" s="26">
        <v>5007600</v>
      </c>
      <c r="J77" s="26">
        <v>5007600</v>
      </c>
      <c r="K77" s="26">
        <v>5007600</v>
      </c>
      <c r="L77" s="26">
        <v>5007600</v>
      </c>
      <c r="M77" s="26">
        <v>5007600</v>
      </c>
      <c r="N77" s="26">
        <v>5007600</v>
      </c>
      <c r="O77" s="26">
        <v>5007600</v>
      </c>
      <c r="P77" s="26">
        <v>5007600</v>
      </c>
      <c r="Q77" s="26">
        <v>5007600</v>
      </c>
      <c r="R77" s="26">
        <v>5007600</v>
      </c>
      <c r="S77" s="26">
        <v>5007600</v>
      </c>
      <c r="T77" s="26">
        <v>5007600</v>
      </c>
      <c r="U77" s="26">
        <v>5007600</v>
      </c>
      <c r="V77" s="26">
        <v>5007600</v>
      </c>
      <c r="W77" s="26">
        <v>5007600</v>
      </c>
      <c r="X77" s="26">
        <v>5007600</v>
      </c>
      <c r="Y77" s="26">
        <v>5007600</v>
      </c>
      <c r="Z77" s="26">
        <v>5007600</v>
      </c>
      <c r="AA77" s="26">
        <v>5007600</v>
      </c>
      <c r="AB77" s="26">
        <v>5007600</v>
      </c>
      <c r="AC77" s="26">
        <v>5007600</v>
      </c>
      <c r="AD77" s="26">
        <v>5007600</v>
      </c>
      <c r="AE77" s="26">
        <v>5007600</v>
      </c>
      <c r="AF77" s="26">
        <v>730000</v>
      </c>
      <c r="AG77" s="26">
        <v>730000</v>
      </c>
      <c r="AH77" s="26">
        <v>730000</v>
      </c>
      <c r="AI77" s="26">
        <v>730000</v>
      </c>
      <c r="AJ77" s="26">
        <v>730000</v>
      </c>
      <c r="AK77" s="26">
        <v>730000</v>
      </c>
      <c r="AL77" s="26">
        <v>730000</v>
      </c>
      <c r="AM77" s="26">
        <v>730000</v>
      </c>
      <c r="AN77" s="26">
        <v>730000</v>
      </c>
      <c r="AO77" s="26">
        <v>730000</v>
      </c>
      <c r="AP77" s="26">
        <v>730000</v>
      </c>
      <c r="AQ77" s="26">
        <v>730000</v>
      </c>
      <c r="AR77" s="26">
        <v>500000</v>
      </c>
      <c r="AS77" s="26">
        <v>500000</v>
      </c>
      <c r="AT77" s="26">
        <v>500000</v>
      </c>
      <c r="AU77" s="26">
        <v>500000</v>
      </c>
      <c r="AV77" s="26">
        <v>500000</v>
      </c>
      <c r="AW77" s="26">
        <v>500000</v>
      </c>
      <c r="AX77" s="26">
        <v>500000</v>
      </c>
      <c r="AY77" s="26">
        <v>500000</v>
      </c>
      <c r="AZ77" s="26">
        <v>500000</v>
      </c>
      <c r="BA77" s="26">
        <v>500000</v>
      </c>
      <c r="BB77" s="26">
        <v>500000</v>
      </c>
      <c r="BC77" s="26">
        <v>500000</v>
      </c>
      <c r="BD77" s="26">
        <v>0</v>
      </c>
      <c r="BE77" s="26">
        <v>0</v>
      </c>
      <c r="BF77" s="26">
        <v>0</v>
      </c>
      <c r="BG77" s="26">
        <v>0</v>
      </c>
      <c r="BH77" s="26">
        <v>0</v>
      </c>
      <c r="BI77" s="26">
        <v>0</v>
      </c>
      <c r="BJ77" s="26">
        <v>0</v>
      </c>
      <c r="BK77" s="26">
        <v>0</v>
      </c>
      <c r="BL77" s="26">
        <v>0</v>
      </c>
      <c r="BM77" s="26">
        <v>0</v>
      </c>
      <c r="BN77" s="26">
        <v>0</v>
      </c>
      <c r="BO77" s="26">
        <v>0</v>
      </c>
      <c r="BP77" s="26">
        <v>1200000</v>
      </c>
      <c r="BQ77" s="26">
        <v>1200000</v>
      </c>
      <c r="BR77" s="26">
        <v>1200000</v>
      </c>
      <c r="BS77" s="26">
        <v>1200000</v>
      </c>
      <c r="BT77" s="26">
        <v>1200000</v>
      </c>
      <c r="BU77" s="26">
        <v>1200000</v>
      </c>
      <c r="BV77" s="26">
        <v>1200000</v>
      </c>
      <c r="BW77" s="26">
        <v>1200000</v>
      </c>
      <c r="BX77" s="26">
        <v>1200000</v>
      </c>
      <c r="BY77" s="26">
        <v>1200000</v>
      </c>
      <c r="BZ77" s="26">
        <v>1200000</v>
      </c>
      <c r="CA77" s="26">
        <v>1200000</v>
      </c>
      <c r="CB77" s="26">
        <v>3500000</v>
      </c>
      <c r="CC77" s="26">
        <v>3500000</v>
      </c>
      <c r="CD77" s="26">
        <v>3500000</v>
      </c>
      <c r="CE77" s="26">
        <v>3500000</v>
      </c>
      <c r="CF77" s="26">
        <v>3500000</v>
      </c>
      <c r="CG77" s="26">
        <v>3500000</v>
      </c>
      <c r="CH77" s="26">
        <v>3500000</v>
      </c>
      <c r="CI77" s="26">
        <v>3500000</v>
      </c>
      <c r="CJ77" s="26">
        <v>3500000</v>
      </c>
      <c r="CK77" s="26">
        <v>3500000</v>
      </c>
      <c r="CL77" s="26">
        <v>3500000</v>
      </c>
      <c r="CM77" s="26">
        <v>3500000</v>
      </c>
      <c r="CN77" s="26">
        <v>5007600</v>
      </c>
      <c r="CO77" s="26">
        <v>22</v>
      </c>
      <c r="CP77" s="26">
        <v>5007600</v>
      </c>
      <c r="CQ77" s="26">
        <v>730000</v>
      </c>
      <c r="CR77" s="26">
        <v>500000</v>
      </c>
      <c r="CS77" s="26">
        <v>1200000</v>
      </c>
      <c r="CT77" s="26">
        <v>3500000</v>
      </c>
      <c r="CU77" s="26">
        <v>5930000</v>
      </c>
    </row>
    <row r="78" spans="1:99" x14ac:dyDescent="0.3">
      <c r="A78" s="26">
        <v>7</v>
      </c>
      <c r="B78" s="27" t="s">
        <v>35</v>
      </c>
      <c r="C78" s="27" t="s">
        <v>36</v>
      </c>
      <c r="D78" s="27" t="s">
        <v>26</v>
      </c>
      <c r="E78" s="27" t="s">
        <v>27</v>
      </c>
      <c r="F78" s="26">
        <v>8506572285</v>
      </c>
      <c r="G78" s="27" t="s">
        <v>37</v>
      </c>
      <c r="H78" s="26">
        <v>5007600</v>
      </c>
      <c r="I78" s="26">
        <v>5007600</v>
      </c>
      <c r="J78" s="26">
        <v>5007600</v>
      </c>
      <c r="K78" s="26">
        <v>5007600</v>
      </c>
      <c r="L78" s="26">
        <v>5007600</v>
      </c>
      <c r="M78" s="26">
        <v>5007600</v>
      </c>
      <c r="N78" s="26">
        <v>5007600</v>
      </c>
      <c r="O78" s="26">
        <v>5007600</v>
      </c>
      <c r="P78" s="26">
        <v>5007600</v>
      </c>
      <c r="Q78" s="26">
        <v>5007600</v>
      </c>
      <c r="R78" s="26">
        <v>5007600</v>
      </c>
      <c r="S78" s="26">
        <v>5007600</v>
      </c>
      <c r="T78" s="26">
        <v>5007600</v>
      </c>
      <c r="U78" s="26">
        <v>5007600</v>
      </c>
      <c r="V78" s="26">
        <v>5007600</v>
      </c>
      <c r="W78" s="26">
        <v>5007600</v>
      </c>
      <c r="X78" s="26">
        <v>5007600</v>
      </c>
      <c r="Y78" s="26">
        <v>5007600</v>
      </c>
      <c r="Z78" s="26">
        <v>5007600</v>
      </c>
      <c r="AA78" s="26">
        <v>5007600</v>
      </c>
      <c r="AB78" s="26">
        <v>5007600</v>
      </c>
      <c r="AC78" s="26">
        <v>5007600</v>
      </c>
      <c r="AD78" s="26">
        <v>5007600</v>
      </c>
      <c r="AE78" s="26">
        <v>5007600</v>
      </c>
      <c r="AF78" s="26">
        <v>730000</v>
      </c>
      <c r="AG78" s="26">
        <v>730000</v>
      </c>
      <c r="AH78" s="26">
        <v>730000</v>
      </c>
      <c r="AI78" s="26">
        <v>730000</v>
      </c>
      <c r="AJ78" s="26">
        <v>730000</v>
      </c>
      <c r="AK78" s="26">
        <v>730000</v>
      </c>
      <c r="AL78" s="26">
        <v>730000</v>
      </c>
      <c r="AM78" s="26">
        <v>730000</v>
      </c>
      <c r="AN78" s="26">
        <v>730000</v>
      </c>
      <c r="AO78" s="26">
        <v>730000</v>
      </c>
      <c r="AP78" s="26">
        <v>730000</v>
      </c>
      <c r="AQ78" s="26">
        <v>730000</v>
      </c>
      <c r="AR78" s="26">
        <v>500000</v>
      </c>
      <c r="AS78" s="26">
        <v>500000</v>
      </c>
      <c r="AT78" s="26">
        <v>500000</v>
      </c>
      <c r="AU78" s="26">
        <v>500000</v>
      </c>
      <c r="AV78" s="26">
        <v>500000</v>
      </c>
      <c r="AW78" s="26">
        <v>500000</v>
      </c>
      <c r="AX78" s="26">
        <v>500000</v>
      </c>
      <c r="AY78" s="26">
        <v>500000</v>
      </c>
      <c r="AZ78" s="26">
        <v>500000</v>
      </c>
      <c r="BA78" s="26">
        <v>500000</v>
      </c>
      <c r="BB78" s="26">
        <v>500000</v>
      </c>
      <c r="BC78" s="26">
        <v>500000</v>
      </c>
      <c r="BD78" s="26">
        <v>0</v>
      </c>
      <c r="BE78" s="26">
        <v>0</v>
      </c>
      <c r="BF78" s="26">
        <v>0</v>
      </c>
      <c r="BG78" s="26">
        <v>0</v>
      </c>
      <c r="BH78" s="26">
        <v>0</v>
      </c>
      <c r="BI78" s="26">
        <v>0</v>
      </c>
      <c r="BJ78" s="26">
        <v>0</v>
      </c>
      <c r="BK78" s="26">
        <v>0</v>
      </c>
      <c r="BL78" s="26">
        <v>0</v>
      </c>
      <c r="BM78" s="26">
        <v>0</v>
      </c>
      <c r="BN78" s="26">
        <v>0</v>
      </c>
      <c r="BO78" s="26">
        <v>0</v>
      </c>
      <c r="BP78" s="26">
        <v>1200000</v>
      </c>
      <c r="BQ78" s="26">
        <v>1200000</v>
      </c>
      <c r="BR78" s="26">
        <v>1200000</v>
      </c>
      <c r="BS78" s="26">
        <v>1200000</v>
      </c>
      <c r="BT78" s="26">
        <v>1200000</v>
      </c>
      <c r="BU78" s="26">
        <v>1200000</v>
      </c>
      <c r="BV78" s="26">
        <v>1200000</v>
      </c>
      <c r="BW78" s="26">
        <v>1200000</v>
      </c>
      <c r="BX78" s="26">
        <v>1200000</v>
      </c>
      <c r="BY78" s="26">
        <v>1200000</v>
      </c>
      <c r="BZ78" s="26">
        <v>1200000</v>
      </c>
      <c r="CA78" s="26">
        <v>1200000</v>
      </c>
      <c r="CB78" s="26">
        <v>3500000</v>
      </c>
      <c r="CC78" s="26">
        <v>3500000</v>
      </c>
      <c r="CD78" s="26">
        <v>3500000</v>
      </c>
      <c r="CE78" s="26">
        <v>3500000</v>
      </c>
      <c r="CF78" s="26">
        <v>3500000</v>
      </c>
      <c r="CG78" s="26">
        <v>3500000</v>
      </c>
      <c r="CH78" s="26">
        <v>3500000</v>
      </c>
      <c r="CI78" s="26">
        <v>3500000</v>
      </c>
      <c r="CJ78" s="26">
        <v>3500000</v>
      </c>
      <c r="CK78" s="26">
        <v>3500000</v>
      </c>
      <c r="CL78" s="26">
        <v>3500000</v>
      </c>
      <c r="CM78" s="26">
        <v>3500000</v>
      </c>
      <c r="CN78" s="26">
        <v>5007600</v>
      </c>
      <c r="CO78" s="26">
        <v>23</v>
      </c>
      <c r="CP78" s="26">
        <v>5007600</v>
      </c>
      <c r="CQ78" s="26">
        <v>730000</v>
      </c>
      <c r="CR78" s="26">
        <v>500000</v>
      </c>
      <c r="CS78" s="26">
        <v>1200000</v>
      </c>
      <c r="CT78" s="26">
        <v>3500000</v>
      </c>
      <c r="CU78" s="26">
        <v>5930000</v>
      </c>
    </row>
    <row r="79" spans="1:99" x14ac:dyDescent="0.3">
      <c r="A79" s="26">
        <v>7</v>
      </c>
      <c r="B79" s="27" t="s">
        <v>35</v>
      </c>
      <c r="C79" s="27" t="s">
        <v>36</v>
      </c>
      <c r="D79" s="27" t="s">
        <v>26</v>
      </c>
      <c r="E79" s="27" t="s">
        <v>27</v>
      </c>
      <c r="F79" s="26">
        <v>8506572285</v>
      </c>
      <c r="G79" s="27" t="s">
        <v>37</v>
      </c>
      <c r="H79" s="26">
        <v>5007600</v>
      </c>
      <c r="I79" s="26">
        <v>5007600</v>
      </c>
      <c r="J79" s="26">
        <v>5007600</v>
      </c>
      <c r="K79" s="26">
        <v>5007600</v>
      </c>
      <c r="L79" s="26">
        <v>5007600</v>
      </c>
      <c r="M79" s="26">
        <v>5007600</v>
      </c>
      <c r="N79" s="26">
        <v>5007600</v>
      </c>
      <c r="O79" s="26">
        <v>5007600</v>
      </c>
      <c r="P79" s="26">
        <v>5007600</v>
      </c>
      <c r="Q79" s="26">
        <v>5007600</v>
      </c>
      <c r="R79" s="26">
        <v>5007600</v>
      </c>
      <c r="S79" s="26">
        <v>5007600</v>
      </c>
      <c r="T79" s="26">
        <v>5007600</v>
      </c>
      <c r="U79" s="26">
        <v>5007600</v>
      </c>
      <c r="V79" s="26">
        <v>5007600</v>
      </c>
      <c r="W79" s="26">
        <v>5007600</v>
      </c>
      <c r="X79" s="26">
        <v>5007600</v>
      </c>
      <c r="Y79" s="26">
        <v>5007600</v>
      </c>
      <c r="Z79" s="26">
        <v>5007600</v>
      </c>
      <c r="AA79" s="26">
        <v>5007600</v>
      </c>
      <c r="AB79" s="26">
        <v>5007600</v>
      </c>
      <c r="AC79" s="26">
        <v>5007600</v>
      </c>
      <c r="AD79" s="26">
        <v>5007600</v>
      </c>
      <c r="AE79" s="26">
        <v>5007600</v>
      </c>
      <c r="AF79" s="26">
        <v>730000</v>
      </c>
      <c r="AG79" s="26">
        <v>730000</v>
      </c>
      <c r="AH79" s="26">
        <v>730000</v>
      </c>
      <c r="AI79" s="26">
        <v>730000</v>
      </c>
      <c r="AJ79" s="26">
        <v>730000</v>
      </c>
      <c r="AK79" s="26">
        <v>730000</v>
      </c>
      <c r="AL79" s="26">
        <v>730000</v>
      </c>
      <c r="AM79" s="26">
        <v>730000</v>
      </c>
      <c r="AN79" s="26">
        <v>730000</v>
      </c>
      <c r="AO79" s="26">
        <v>730000</v>
      </c>
      <c r="AP79" s="26">
        <v>730000</v>
      </c>
      <c r="AQ79" s="26">
        <v>730000</v>
      </c>
      <c r="AR79" s="26">
        <v>500000</v>
      </c>
      <c r="AS79" s="26">
        <v>500000</v>
      </c>
      <c r="AT79" s="26">
        <v>500000</v>
      </c>
      <c r="AU79" s="26">
        <v>500000</v>
      </c>
      <c r="AV79" s="26">
        <v>500000</v>
      </c>
      <c r="AW79" s="26">
        <v>500000</v>
      </c>
      <c r="AX79" s="26">
        <v>500000</v>
      </c>
      <c r="AY79" s="26">
        <v>500000</v>
      </c>
      <c r="AZ79" s="26">
        <v>500000</v>
      </c>
      <c r="BA79" s="26">
        <v>500000</v>
      </c>
      <c r="BB79" s="26">
        <v>500000</v>
      </c>
      <c r="BC79" s="26">
        <v>500000</v>
      </c>
      <c r="BD79" s="26">
        <v>0</v>
      </c>
      <c r="BE79" s="26">
        <v>0</v>
      </c>
      <c r="BF79" s="26">
        <v>0</v>
      </c>
      <c r="BG79" s="26">
        <v>0</v>
      </c>
      <c r="BH79" s="26">
        <v>0</v>
      </c>
      <c r="BI79" s="26">
        <v>0</v>
      </c>
      <c r="BJ79" s="26">
        <v>0</v>
      </c>
      <c r="BK79" s="26">
        <v>0</v>
      </c>
      <c r="BL79" s="26">
        <v>0</v>
      </c>
      <c r="BM79" s="26">
        <v>0</v>
      </c>
      <c r="BN79" s="26">
        <v>0</v>
      </c>
      <c r="BO79" s="26">
        <v>0</v>
      </c>
      <c r="BP79" s="26">
        <v>1200000</v>
      </c>
      <c r="BQ79" s="26">
        <v>1200000</v>
      </c>
      <c r="BR79" s="26">
        <v>1200000</v>
      </c>
      <c r="BS79" s="26">
        <v>1200000</v>
      </c>
      <c r="BT79" s="26">
        <v>1200000</v>
      </c>
      <c r="BU79" s="26">
        <v>1200000</v>
      </c>
      <c r="BV79" s="26">
        <v>1200000</v>
      </c>
      <c r="BW79" s="26">
        <v>1200000</v>
      </c>
      <c r="BX79" s="26">
        <v>1200000</v>
      </c>
      <c r="BY79" s="26">
        <v>1200000</v>
      </c>
      <c r="BZ79" s="26">
        <v>1200000</v>
      </c>
      <c r="CA79" s="26">
        <v>1200000</v>
      </c>
      <c r="CB79" s="26">
        <v>3500000</v>
      </c>
      <c r="CC79" s="26">
        <v>3500000</v>
      </c>
      <c r="CD79" s="26">
        <v>3500000</v>
      </c>
      <c r="CE79" s="26">
        <v>3500000</v>
      </c>
      <c r="CF79" s="26">
        <v>3500000</v>
      </c>
      <c r="CG79" s="26">
        <v>3500000</v>
      </c>
      <c r="CH79" s="26">
        <v>3500000</v>
      </c>
      <c r="CI79" s="26">
        <v>3500000</v>
      </c>
      <c r="CJ79" s="26">
        <v>3500000</v>
      </c>
      <c r="CK79" s="26">
        <v>3500000</v>
      </c>
      <c r="CL79" s="26">
        <v>3500000</v>
      </c>
      <c r="CM79" s="26">
        <v>3500000</v>
      </c>
      <c r="CN79" s="26">
        <v>5007600</v>
      </c>
      <c r="CO79" s="26">
        <v>22</v>
      </c>
      <c r="CP79" s="26">
        <v>5007600</v>
      </c>
      <c r="CQ79" s="26">
        <v>730000</v>
      </c>
      <c r="CR79" s="26">
        <v>500000</v>
      </c>
      <c r="CS79" s="26">
        <v>1200000</v>
      </c>
      <c r="CT79" s="26">
        <v>3500000</v>
      </c>
      <c r="CU79" s="26">
        <v>5930000</v>
      </c>
    </row>
    <row r="80" spans="1:99" x14ac:dyDescent="0.3">
      <c r="A80" s="26">
        <v>7</v>
      </c>
      <c r="B80" s="27" t="s">
        <v>35</v>
      </c>
      <c r="C80" s="27" t="s">
        <v>36</v>
      </c>
      <c r="D80" s="27" t="s">
        <v>26</v>
      </c>
      <c r="E80" s="27" t="s">
        <v>27</v>
      </c>
      <c r="F80" s="26">
        <v>8506572285</v>
      </c>
      <c r="G80" s="27" t="s">
        <v>37</v>
      </c>
      <c r="H80" s="26">
        <v>5007600</v>
      </c>
      <c r="I80" s="26">
        <v>5007600</v>
      </c>
      <c r="J80" s="26">
        <v>5007600</v>
      </c>
      <c r="K80" s="26">
        <v>5007600</v>
      </c>
      <c r="L80" s="26">
        <v>5007600</v>
      </c>
      <c r="M80" s="26">
        <v>5007600</v>
      </c>
      <c r="N80" s="26">
        <v>5007600</v>
      </c>
      <c r="O80" s="26">
        <v>5007600</v>
      </c>
      <c r="P80" s="26">
        <v>5007600</v>
      </c>
      <c r="Q80" s="26">
        <v>5007600</v>
      </c>
      <c r="R80" s="26">
        <v>5007600</v>
      </c>
      <c r="S80" s="26">
        <v>5007600</v>
      </c>
      <c r="T80" s="26">
        <v>5007600</v>
      </c>
      <c r="U80" s="26">
        <v>5007600</v>
      </c>
      <c r="V80" s="26">
        <v>5007600</v>
      </c>
      <c r="W80" s="26">
        <v>5007600</v>
      </c>
      <c r="X80" s="26">
        <v>5007600</v>
      </c>
      <c r="Y80" s="26">
        <v>5007600</v>
      </c>
      <c r="Z80" s="26">
        <v>5007600</v>
      </c>
      <c r="AA80" s="26">
        <v>5007600</v>
      </c>
      <c r="AB80" s="26">
        <v>5007600</v>
      </c>
      <c r="AC80" s="26">
        <v>5007600</v>
      </c>
      <c r="AD80" s="26">
        <v>5007600</v>
      </c>
      <c r="AE80" s="26">
        <v>5007600</v>
      </c>
      <c r="AF80" s="26">
        <v>730000</v>
      </c>
      <c r="AG80" s="26">
        <v>730000</v>
      </c>
      <c r="AH80" s="26">
        <v>730000</v>
      </c>
      <c r="AI80" s="26">
        <v>730000</v>
      </c>
      <c r="AJ80" s="26">
        <v>730000</v>
      </c>
      <c r="AK80" s="26">
        <v>730000</v>
      </c>
      <c r="AL80" s="26">
        <v>730000</v>
      </c>
      <c r="AM80" s="26">
        <v>730000</v>
      </c>
      <c r="AN80" s="26">
        <v>730000</v>
      </c>
      <c r="AO80" s="26">
        <v>730000</v>
      </c>
      <c r="AP80" s="26">
        <v>730000</v>
      </c>
      <c r="AQ80" s="26">
        <v>730000</v>
      </c>
      <c r="AR80" s="26">
        <v>500000</v>
      </c>
      <c r="AS80" s="26">
        <v>500000</v>
      </c>
      <c r="AT80" s="26">
        <v>500000</v>
      </c>
      <c r="AU80" s="26">
        <v>500000</v>
      </c>
      <c r="AV80" s="26">
        <v>500000</v>
      </c>
      <c r="AW80" s="26">
        <v>500000</v>
      </c>
      <c r="AX80" s="26">
        <v>500000</v>
      </c>
      <c r="AY80" s="26">
        <v>500000</v>
      </c>
      <c r="AZ80" s="26">
        <v>500000</v>
      </c>
      <c r="BA80" s="26">
        <v>500000</v>
      </c>
      <c r="BB80" s="26">
        <v>500000</v>
      </c>
      <c r="BC80" s="26">
        <v>500000</v>
      </c>
      <c r="BD80" s="26">
        <v>0</v>
      </c>
      <c r="BE80" s="26">
        <v>0</v>
      </c>
      <c r="BF80" s="26">
        <v>0</v>
      </c>
      <c r="BG80" s="26">
        <v>0</v>
      </c>
      <c r="BH80" s="26">
        <v>0</v>
      </c>
      <c r="BI80" s="26">
        <v>0</v>
      </c>
      <c r="BJ80" s="26">
        <v>0</v>
      </c>
      <c r="BK80" s="26">
        <v>0</v>
      </c>
      <c r="BL80" s="26">
        <v>0</v>
      </c>
      <c r="BM80" s="26">
        <v>0</v>
      </c>
      <c r="BN80" s="26">
        <v>0</v>
      </c>
      <c r="BO80" s="26">
        <v>0</v>
      </c>
      <c r="BP80" s="26">
        <v>1200000</v>
      </c>
      <c r="BQ80" s="26">
        <v>1200000</v>
      </c>
      <c r="BR80" s="26">
        <v>1200000</v>
      </c>
      <c r="BS80" s="26">
        <v>1200000</v>
      </c>
      <c r="BT80" s="26">
        <v>1200000</v>
      </c>
      <c r="BU80" s="26">
        <v>1200000</v>
      </c>
      <c r="BV80" s="26">
        <v>1200000</v>
      </c>
      <c r="BW80" s="26">
        <v>1200000</v>
      </c>
      <c r="BX80" s="26">
        <v>1200000</v>
      </c>
      <c r="BY80" s="26">
        <v>1200000</v>
      </c>
      <c r="BZ80" s="26">
        <v>1200000</v>
      </c>
      <c r="CA80" s="26">
        <v>1200000</v>
      </c>
      <c r="CB80" s="26">
        <v>3500000</v>
      </c>
      <c r="CC80" s="26">
        <v>3500000</v>
      </c>
      <c r="CD80" s="26">
        <v>3500000</v>
      </c>
      <c r="CE80" s="26">
        <v>3500000</v>
      </c>
      <c r="CF80" s="26">
        <v>3500000</v>
      </c>
      <c r="CG80" s="26">
        <v>3500000</v>
      </c>
      <c r="CH80" s="26">
        <v>3500000</v>
      </c>
      <c r="CI80" s="26">
        <v>3500000</v>
      </c>
      <c r="CJ80" s="26">
        <v>3500000</v>
      </c>
      <c r="CK80" s="26">
        <v>3500000</v>
      </c>
      <c r="CL80" s="26">
        <v>3500000</v>
      </c>
      <c r="CM80" s="26">
        <v>3500000</v>
      </c>
      <c r="CN80" s="26">
        <v>5007600</v>
      </c>
      <c r="CO80" s="26">
        <v>20</v>
      </c>
      <c r="CP80" s="26">
        <v>5007600</v>
      </c>
      <c r="CQ80" s="26">
        <v>730000</v>
      </c>
      <c r="CR80" s="26">
        <v>500000</v>
      </c>
      <c r="CS80" s="26">
        <v>1200000</v>
      </c>
      <c r="CT80" s="26">
        <v>3500000</v>
      </c>
      <c r="CU80" s="26">
        <v>5930000</v>
      </c>
    </row>
    <row r="81" spans="1:99" x14ac:dyDescent="0.3">
      <c r="A81" s="26">
        <v>7</v>
      </c>
      <c r="B81" s="27" t="s">
        <v>35</v>
      </c>
      <c r="C81" s="27" t="s">
        <v>36</v>
      </c>
      <c r="D81" s="27" t="s">
        <v>26</v>
      </c>
      <c r="E81" s="27" t="s">
        <v>27</v>
      </c>
      <c r="F81" s="26">
        <v>8506572285</v>
      </c>
      <c r="G81" s="27" t="s">
        <v>37</v>
      </c>
      <c r="H81" s="26">
        <v>5007600</v>
      </c>
      <c r="I81" s="26">
        <v>5007600</v>
      </c>
      <c r="J81" s="26">
        <v>5007600</v>
      </c>
      <c r="K81" s="26">
        <v>5007600</v>
      </c>
      <c r="L81" s="26">
        <v>5007600</v>
      </c>
      <c r="M81" s="26">
        <v>5007600</v>
      </c>
      <c r="N81" s="26">
        <v>5007600</v>
      </c>
      <c r="O81" s="26">
        <v>5007600</v>
      </c>
      <c r="P81" s="26">
        <v>5007600</v>
      </c>
      <c r="Q81" s="26">
        <v>5007600</v>
      </c>
      <c r="R81" s="26">
        <v>5007600</v>
      </c>
      <c r="S81" s="26">
        <v>5007600</v>
      </c>
      <c r="T81" s="26">
        <v>5007600</v>
      </c>
      <c r="U81" s="26">
        <v>5007600</v>
      </c>
      <c r="V81" s="26">
        <v>5007600</v>
      </c>
      <c r="W81" s="26">
        <v>5007600</v>
      </c>
      <c r="X81" s="26">
        <v>5007600</v>
      </c>
      <c r="Y81" s="26">
        <v>5007600</v>
      </c>
      <c r="Z81" s="26">
        <v>5007600</v>
      </c>
      <c r="AA81" s="26">
        <v>5007600</v>
      </c>
      <c r="AB81" s="26">
        <v>5007600</v>
      </c>
      <c r="AC81" s="26">
        <v>5007600</v>
      </c>
      <c r="AD81" s="26">
        <v>5007600</v>
      </c>
      <c r="AE81" s="26">
        <v>5007600</v>
      </c>
      <c r="AF81" s="26">
        <v>730000</v>
      </c>
      <c r="AG81" s="26">
        <v>730000</v>
      </c>
      <c r="AH81" s="26">
        <v>730000</v>
      </c>
      <c r="AI81" s="26">
        <v>730000</v>
      </c>
      <c r="AJ81" s="26">
        <v>730000</v>
      </c>
      <c r="AK81" s="26">
        <v>730000</v>
      </c>
      <c r="AL81" s="26">
        <v>730000</v>
      </c>
      <c r="AM81" s="26">
        <v>730000</v>
      </c>
      <c r="AN81" s="26">
        <v>730000</v>
      </c>
      <c r="AO81" s="26">
        <v>730000</v>
      </c>
      <c r="AP81" s="26">
        <v>730000</v>
      </c>
      <c r="AQ81" s="26">
        <v>730000</v>
      </c>
      <c r="AR81" s="26">
        <v>500000</v>
      </c>
      <c r="AS81" s="26">
        <v>500000</v>
      </c>
      <c r="AT81" s="26">
        <v>500000</v>
      </c>
      <c r="AU81" s="26">
        <v>500000</v>
      </c>
      <c r="AV81" s="26">
        <v>500000</v>
      </c>
      <c r="AW81" s="26">
        <v>500000</v>
      </c>
      <c r="AX81" s="26">
        <v>500000</v>
      </c>
      <c r="AY81" s="26">
        <v>500000</v>
      </c>
      <c r="AZ81" s="26">
        <v>500000</v>
      </c>
      <c r="BA81" s="26">
        <v>500000</v>
      </c>
      <c r="BB81" s="26">
        <v>500000</v>
      </c>
      <c r="BC81" s="26">
        <v>500000</v>
      </c>
      <c r="BD81" s="26">
        <v>0</v>
      </c>
      <c r="BE81" s="26">
        <v>0</v>
      </c>
      <c r="BF81" s="26">
        <v>0</v>
      </c>
      <c r="BG81" s="26">
        <v>0</v>
      </c>
      <c r="BH81" s="26">
        <v>0</v>
      </c>
      <c r="BI81" s="26">
        <v>0</v>
      </c>
      <c r="BJ81" s="26">
        <v>0</v>
      </c>
      <c r="BK81" s="26">
        <v>0</v>
      </c>
      <c r="BL81" s="26">
        <v>0</v>
      </c>
      <c r="BM81" s="26">
        <v>0</v>
      </c>
      <c r="BN81" s="26">
        <v>0</v>
      </c>
      <c r="BO81" s="26">
        <v>0</v>
      </c>
      <c r="BP81" s="26">
        <v>1200000</v>
      </c>
      <c r="BQ81" s="26">
        <v>1200000</v>
      </c>
      <c r="BR81" s="26">
        <v>1200000</v>
      </c>
      <c r="BS81" s="26">
        <v>1200000</v>
      </c>
      <c r="BT81" s="26">
        <v>1200000</v>
      </c>
      <c r="BU81" s="26">
        <v>1200000</v>
      </c>
      <c r="BV81" s="26">
        <v>1200000</v>
      </c>
      <c r="BW81" s="26">
        <v>1200000</v>
      </c>
      <c r="BX81" s="26">
        <v>1200000</v>
      </c>
      <c r="BY81" s="26">
        <v>1200000</v>
      </c>
      <c r="BZ81" s="26">
        <v>1200000</v>
      </c>
      <c r="CA81" s="26">
        <v>1200000</v>
      </c>
      <c r="CB81" s="26">
        <v>3500000</v>
      </c>
      <c r="CC81" s="26">
        <v>3500000</v>
      </c>
      <c r="CD81" s="26">
        <v>3500000</v>
      </c>
      <c r="CE81" s="26">
        <v>3500000</v>
      </c>
      <c r="CF81" s="26">
        <v>3500000</v>
      </c>
      <c r="CG81" s="26">
        <v>3500000</v>
      </c>
      <c r="CH81" s="26">
        <v>3500000</v>
      </c>
      <c r="CI81" s="26">
        <v>3500000</v>
      </c>
      <c r="CJ81" s="26">
        <v>3500000</v>
      </c>
      <c r="CK81" s="26">
        <v>3500000</v>
      </c>
      <c r="CL81" s="26">
        <v>3500000</v>
      </c>
      <c r="CM81" s="26">
        <v>3500000</v>
      </c>
      <c r="CN81" s="26">
        <v>5007600</v>
      </c>
      <c r="CO81" s="26">
        <v>23</v>
      </c>
      <c r="CP81" s="26">
        <v>5007600</v>
      </c>
      <c r="CQ81" s="26">
        <v>730000</v>
      </c>
      <c r="CR81" s="26">
        <v>500000</v>
      </c>
      <c r="CS81" s="26">
        <v>1200000</v>
      </c>
      <c r="CT81" s="26">
        <v>3500000</v>
      </c>
      <c r="CU81" s="26">
        <v>5930000</v>
      </c>
    </row>
    <row r="82" spans="1:99" x14ac:dyDescent="0.3">
      <c r="A82" s="26">
        <v>7</v>
      </c>
      <c r="B82" s="27" t="s">
        <v>35</v>
      </c>
      <c r="C82" s="27" t="s">
        <v>36</v>
      </c>
      <c r="D82" s="27" t="s">
        <v>26</v>
      </c>
      <c r="E82" s="27" t="s">
        <v>27</v>
      </c>
      <c r="F82" s="26">
        <v>8506572285</v>
      </c>
      <c r="G82" s="27" t="s">
        <v>37</v>
      </c>
      <c r="H82" s="26">
        <v>5007600</v>
      </c>
      <c r="I82" s="26">
        <v>5007600</v>
      </c>
      <c r="J82" s="26">
        <v>5007600</v>
      </c>
      <c r="K82" s="26">
        <v>5007600</v>
      </c>
      <c r="L82" s="26">
        <v>5007600</v>
      </c>
      <c r="M82" s="26">
        <v>5007600</v>
      </c>
      <c r="N82" s="26">
        <v>5007600</v>
      </c>
      <c r="O82" s="26">
        <v>5007600</v>
      </c>
      <c r="P82" s="26">
        <v>5007600</v>
      </c>
      <c r="Q82" s="26">
        <v>5007600</v>
      </c>
      <c r="R82" s="26">
        <v>5007600</v>
      </c>
      <c r="S82" s="26">
        <v>5007600</v>
      </c>
      <c r="T82" s="26">
        <v>5007600</v>
      </c>
      <c r="U82" s="26">
        <v>5007600</v>
      </c>
      <c r="V82" s="26">
        <v>5007600</v>
      </c>
      <c r="W82" s="26">
        <v>5007600</v>
      </c>
      <c r="X82" s="26">
        <v>5007600</v>
      </c>
      <c r="Y82" s="26">
        <v>5007600</v>
      </c>
      <c r="Z82" s="26">
        <v>5007600</v>
      </c>
      <c r="AA82" s="26">
        <v>5007600</v>
      </c>
      <c r="AB82" s="26">
        <v>5007600</v>
      </c>
      <c r="AC82" s="26">
        <v>5007600</v>
      </c>
      <c r="AD82" s="26">
        <v>5007600</v>
      </c>
      <c r="AE82" s="26">
        <v>5007600</v>
      </c>
      <c r="AF82" s="26">
        <v>730000</v>
      </c>
      <c r="AG82" s="26">
        <v>730000</v>
      </c>
      <c r="AH82" s="26">
        <v>730000</v>
      </c>
      <c r="AI82" s="26">
        <v>730000</v>
      </c>
      <c r="AJ82" s="26">
        <v>730000</v>
      </c>
      <c r="AK82" s="26">
        <v>730000</v>
      </c>
      <c r="AL82" s="26">
        <v>730000</v>
      </c>
      <c r="AM82" s="26">
        <v>730000</v>
      </c>
      <c r="AN82" s="26">
        <v>730000</v>
      </c>
      <c r="AO82" s="26">
        <v>730000</v>
      </c>
      <c r="AP82" s="26">
        <v>730000</v>
      </c>
      <c r="AQ82" s="26">
        <v>730000</v>
      </c>
      <c r="AR82" s="26">
        <v>500000</v>
      </c>
      <c r="AS82" s="26">
        <v>500000</v>
      </c>
      <c r="AT82" s="26">
        <v>500000</v>
      </c>
      <c r="AU82" s="26">
        <v>500000</v>
      </c>
      <c r="AV82" s="26">
        <v>500000</v>
      </c>
      <c r="AW82" s="26">
        <v>500000</v>
      </c>
      <c r="AX82" s="26">
        <v>500000</v>
      </c>
      <c r="AY82" s="26">
        <v>500000</v>
      </c>
      <c r="AZ82" s="26">
        <v>500000</v>
      </c>
      <c r="BA82" s="26">
        <v>500000</v>
      </c>
      <c r="BB82" s="26">
        <v>500000</v>
      </c>
      <c r="BC82" s="26">
        <v>500000</v>
      </c>
      <c r="BD82" s="26">
        <v>0</v>
      </c>
      <c r="BE82" s="26">
        <v>0</v>
      </c>
      <c r="BF82" s="26">
        <v>0</v>
      </c>
      <c r="BG82" s="26">
        <v>0</v>
      </c>
      <c r="BH82" s="26">
        <v>0</v>
      </c>
      <c r="BI82" s="26">
        <v>0</v>
      </c>
      <c r="BJ82" s="26">
        <v>0</v>
      </c>
      <c r="BK82" s="26">
        <v>0</v>
      </c>
      <c r="BL82" s="26">
        <v>0</v>
      </c>
      <c r="BM82" s="26">
        <v>0</v>
      </c>
      <c r="BN82" s="26">
        <v>0</v>
      </c>
      <c r="BO82" s="26">
        <v>0</v>
      </c>
      <c r="BP82" s="26">
        <v>1200000</v>
      </c>
      <c r="BQ82" s="26">
        <v>1200000</v>
      </c>
      <c r="BR82" s="26">
        <v>1200000</v>
      </c>
      <c r="BS82" s="26">
        <v>1200000</v>
      </c>
      <c r="BT82" s="26">
        <v>1200000</v>
      </c>
      <c r="BU82" s="26">
        <v>1200000</v>
      </c>
      <c r="BV82" s="26">
        <v>1200000</v>
      </c>
      <c r="BW82" s="26">
        <v>1200000</v>
      </c>
      <c r="BX82" s="26">
        <v>1200000</v>
      </c>
      <c r="BY82" s="26">
        <v>1200000</v>
      </c>
      <c r="BZ82" s="26">
        <v>1200000</v>
      </c>
      <c r="CA82" s="26">
        <v>1200000</v>
      </c>
      <c r="CB82" s="26">
        <v>3500000</v>
      </c>
      <c r="CC82" s="26">
        <v>3500000</v>
      </c>
      <c r="CD82" s="26">
        <v>3500000</v>
      </c>
      <c r="CE82" s="26">
        <v>3500000</v>
      </c>
      <c r="CF82" s="26">
        <v>3500000</v>
      </c>
      <c r="CG82" s="26">
        <v>3500000</v>
      </c>
      <c r="CH82" s="26">
        <v>3500000</v>
      </c>
      <c r="CI82" s="26">
        <v>3500000</v>
      </c>
      <c r="CJ82" s="26">
        <v>3500000</v>
      </c>
      <c r="CK82" s="26">
        <v>3500000</v>
      </c>
      <c r="CL82" s="26">
        <v>3500000</v>
      </c>
      <c r="CM82" s="26">
        <v>3500000</v>
      </c>
      <c r="CN82" s="26">
        <v>5007600</v>
      </c>
      <c r="CO82" s="26">
        <v>21</v>
      </c>
      <c r="CP82" s="26">
        <v>5007600</v>
      </c>
      <c r="CQ82" s="26">
        <v>730000</v>
      </c>
      <c r="CR82" s="26">
        <v>500000</v>
      </c>
      <c r="CS82" s="26">
        <v>1200000</v>
      </c>
      <c r="CT82" s="26">
        <v>3500000</v>
      </c>
      <c r="CU82" s="26">
        <v>5930000</v>
      </c>
    </row>
    <row r="83" spans="1:99" x14ac:dyDescent="0.3">
      <c r="A83" s="26">
        <v>7</v>
      </c>
      <c r="B83" s="27" t="s">
        <v>35</v>
      </c>
      <c r="C83" s="27" t="s">
        <v>36</v>
      </c>
      <c r="D83" s="27" t="s">
        <v>26</v>
      </c>
      <c r="E83" s="27" t="s">
        <v>27</v>
      </c>
      <c r="F83" s="26">
        <v>8506572285</v>
      </c>
      <c r="G83" s="27" t="s">
        <v>37</v>
      </c>
      <c r="H83" s="26">
        <v>5007600</v>
      </c>
      <c r="I83" s="26">
        <v>5007600</v>
      </c>
      <c r="J83" s="26">
        <v>5007600</v>
      </c>
      <c r="K83" s="26">
        <v>5007600</v>
      </c>
      <c r="L83" s="26">
        <v>5007600</v>
      </c>
      <c r="M83" s="26">
        <v>5007600</v>
      </c>
      <c r="N83" s="26">
        <v>5007600</v>
      </c>
      <c r="O83" s="26">
        <v>5007600</v>
      </c>
      <c r="P83" s="26">
        <v>5007600</v>
      </c>
      <c r="Q83" s="26">
        <v>5007600</v>
      </c>
      <c r="R83" s="26">
        <v>5007600</v>
      </c>
      <c r="S83" s="26">
        <v>5007600</v>
      </c>
      <c r="T83" s="26">
        <v>5007600</v>
      </c>
      <c r="U83" s="26">
        <v>5007600</v>
      </c>
      <c r="V83" s="26">
        <v>5007600</v>
      </c>
      <c r="W83" s="26">
        <v>5007600</v>
      </c>
      <c r="X83" s="26">
        <v>5007600</v>
      </c>
      <c r="Y83" s="26">
        <v>5007600</v>
      </c>
      <c r="Z83" s="26">
        <v>5007600</v>
      </c>
      <c r="AA83" s="26">
        <v>5007600</v>
      </c>
      <c r="AB83" s="26">
        <v>5007600</v>
      </c>
      <c r="AC83" s="26">
        <v>5007600</v>
      </c>
      <c r="AD83" s="26">
        <v>5007600</v>
      </c>
      <c r="AE83" s="26">
        <v>5007600</v>
      </c>
      <c r="AF83" s="26">
        <v>730000</v>
      </c>
      <c r="AG83" s="26">
        <v>730000</v>
      </c>
      <c r="AH83" s="26">
        <v>730000</v>
      </c>
      <c r="AI83" s="26">
        <v>730000</v>
      </c>
      <c r="AJ83" s="26">
        <v>730000</v>
      </c>
      <c r="AK83" s="26">
        <v>730000</v>
      </c>
      <c r="AL83" s="26">
        <v>730000</v>
      </c>
      <c r="AM83" s="26">
        <v>730000</v>
      </c>
      <c r="AN83" s="26">
        <v>730000</v>
      </c>
      <c r="AO83" s="26">
        <v>730000</v>
      </c>
      <c r="AP83" s="26">
        <v>730000</v>
      </c>
      <c r="AQ83" s="26">
        <v>730000</v>
      </c>
      <c r="AR83" s="26">
        <v>500000</v>
      </c>
      <c r="AS83" s="26">
        <v>500000</v>
      </c>
      <c r="AT83" s="26">
        <v>500000</v>
      </c>
      <c r="AU83" s="26">
        <v>500000</v>
      </c>
      <c r="AV83" s="26">
        <v>500000</v>
      </c>
      <c r="AW83" s="26">
        <v>500000</v>
      </c>
      <c r="AX83" s="26">
        <v>500000</v>
      </c>
      <c r="AY83" s="26">
        <v>500000</v>
      </c>
      <c r="AZ83" s="26">
        <v>500000</v>
      </c>
      <c r="BA83" s="26">
        <v>500000</v>
      </c>
      <c r="BB83" s="26">
        <v>500000</v>
      </c>
      <c r="BC83" s="26">
        <v>500000</v>
      </c>
      <c r="BD83" s="26">
        <v>0</v>
      </c>
      <c r="BE83" s="26">
        <v>0</v>
      </c>
      <c r="BF83" s="26">
        <v>0</v>
      </c>
      <c r="BG83" s="26">
        <v>0</v>
      </c>
      <c r="BH83" s="26">
        <v>0</v>
      </c>
      <c r="BI83" s="26">
        <v>0</v>
      </c>
      <c r="BJ83" s="26">
        <v>0</v>
      </c>
      <c r="BK83" s="26">
        <v>0</v>
      </c>
      <c r="BL83" s="26">
        <v>0</v>
      </c>
      <c r="BM83" s="26">
        <v>0</v>
      </c>
      <c r="BN83" s="26">
        <v>0</v>
      </c>
      <c r="BO83" s="26">
        <v>0</v>
      </c>
      <c r="BP83" s="26">
        <v>1200000</v>
      </c>
      <c r="BQ83" s="26">
        <v>1200000</v>
      </c>
      <c r="BR83" s="26">
        <v>1200000</v>
      </c>
      <c r="BS83" s="26">
        <v>1200000</v>
      </c>
      <c r="BT83" s="26">
        <v>1200000</v>
      </c>
      <c r="BU83" s="26">
        <v>1200000</v>
      </c>
      <c r="BV83" s="26">
        <v>1200000</v>
      </c>
      <c r="BW83" s="26">
        <v>1200000</v>
      </c>
      <c r="BX83" s="26">
        <v>1200000</v>
      </c>
      <c r="BY83" s="26">
        <v>1200000</v>
      </c>
      <c r="BZ83" s="26">
        <v>1200000</v>
      </c>
      <c r="CA83" s="26">
        <v>1200000</v>
      </c>
      <c r="CB83" s="26">
        <v>3500000</v>
      </c>
      <c r="CC83" s="26">
        <v>3500000</v>
      </c>
      <c r="CD83" s="26">
        <v>3500000</v>
      </c>
      <c r="CE83" s="26">
        <v>3500000</v>
      </c>
      <c r="CF83" s="26">
        <v>3500000</v>
      </c>
      <c r="CG83" s="26">
        <v>3500000</v>
      </c>
      <c r="CH83" s="26">
        <v>3500000</v>
      </c>
      <c r="CI83" s="26">
        <v>3500000</v>
      </c>
      <c r="CJ83" s="26">
        <v>3500000</v>
      </c>
      <c r="CK83" s="26">
        <v>3500000</v>
      </c>
      <c r="CL83" s="26">
        <v>3500000</v>
      </c>
      <c r="CM83" s="26">
        <v>3500000</v>
      </c>
      <c r="CN83" s="26">
        <v>5007600</v>
      </c>
      <c r="CO83" s="26">
        <v>23</v>
      </c>
      <c r="CP83" s="26">
        <v>5007600</v>
      </c>
      <c r="CQ83" s="26">
        <v>730000</v>
      </c>
      <c r="CR83" s="26">
        <v>500000</v>
      </c>
      <c r="CS83" s="26">
        <v>1200000</v>
      </c>
      <c r="CT83" s="26">
        <v>3500000</v>
      </c>
      <c r="CU83" s="26">
        <v>5930000</v>
      </c>
    </row>
    <row r="84" spans="1:99" x14ac:dyDescent="0.3">
      <c r="A84" s="26">
        <v>7</v>
      </c>
      <c r="B84" s="27" t="s">
        <v>35</v>
      </c>
      <c r="C84" s="27" t="s">
        <v>36</v>
      </c>
      <c r="D84" s="27" t="s">
        <v>26</v>
      </c>
      <c r="E84" s="27" t="s">
        <v>27</v>
      </c>
      <c r="F84" s="26">
        <v>8506572285</v>
      </c>
      <c r="G84" s="27" t="s">
        <v>37</v>
      </c>
      <c r="H84" s="26">
        <v>5007600</v>
      </c>
      <c r="I84" s="26">
        <v>5007600</v>
      </c>
      <c r="J84" s="26">
        <v>5007600</v>
      </c>
      <c r="K84" s="26">
        <v>5007600</v>
      </c>
      <c r="L84" s="26">
        <v>5007600</v>
      </c>
      <c r="M84" s="26">
        <v>5007600</v>
      </c>
      <c r="N84" s="26">
        <v>5007600</v>
      </c>
      <c r="O84" s="26">
        <v>5007600</v>
      </c>
      <c r="P84" s="26">
        <v>5007600</v>
      </c>
      <c r="Q84" s="26">
        <v>5007600</v>
      </c>
      <c r="R84" s="26">
        <v>5007600</v>
      </c>
      <c r="S84" s="26">
        <v>5007600</v>
      </c>
      <c r="T84" s="26">
        <v>5007600</v>
      </c>
      <c r="U84" s="26">
        <v>5007600</v>
      </c>
      <c r="V84" s="26">
        <v>5007600</v>
      </c>
      <c r="W84" s="26">
        <v>5007600</v>
      </c>
      <c r="X84" s="26">
        <v>5007600</v>
      </c>
      <c r="Y84" s="26">
        <v>5007600</v>
      </c>
      <c r="Z84" s="26">
        <v>5007600</v>
      </c>
      <c r="AA84" s="26">
        <v>5007600</v>
      </c>
      <c r="AB84" s="26">
        <v>5007600</v>
      </c>
      <c r="AC84" s="26">
        <v>5007600</v>
      </c>
      <c r="AD84" s="26">
        <v>5007600</v>
      </c>
      <c r="AE84" s="26">
        <v>5007600</v>
      </c>
      <c r="AF84" s="26">
        <v>730000</v>
      </c>
      <c r="AG84" s="26">
        <v>730000</v>
      </c>
      <c r="AH84" s="26">
        <v>730000</v>
      </c>
      <c r="AI84" s="26">
        <v>730000</v>
      </c>
      <c r="AJ84" s="26">
        <v>730000</v>
      </c>
      <c r="AK84" s="26">
        <v>730000</v>
      </c>
      <c r="AL84" s="26">
        <v>730000</v>
      </c>
      <c r="AM84" s="26">
        <v>730000</v>
      </c>
      <c r="AN84" s="26">
        <v>730000</v>
      </c>
      <c r="AO84" s="26">
        <v>730000</v>
      </c>
      <c r="AP84" s="26">
        <v>730000</v>
      </c>
      <c r="AQ84" s="26">
        <v>730000</v>
      </c>
      <c r="AR84" s="26">
        <v>500000</v>
      </c>
      <c r="AS84" s="26">
        <v>500000</v>
      </c>
      <c r="AT84" s="26">
        <v>500000</v>
      </c>
      <c r="AU84" s="26">
        <v>500000</v>
      </c>
      <c r="AV84" s="26">
        <v>500000</v>
      </c>
      <c r="AW84" s="26">
        <v>500000</v>
      </c>
      <c r="AX84" s="26">
        <v>500000</v>
      </c>
      <c r="AY84" s="26">
        <v>500000</v>
      </c>
      <c r="AZ84" s="26">
        <v>500000</v>
      </c>
      <c r="BA84" s="26">
        <v>500000</v>
      </c>
      <c r="BB84" s="26">
        <v>500000</v>
      </c>
      <c r="BC84" s="26">
        <v>500000</v>
      </c>
      <c r="BD84" s="26">
        <v>0</v>
      </c>
      <c r="BE84" s="26">
        <v>0</v>
      </c>
      <c r="BF84" s="26">
        <v>0</v>
      </c>
      <c r="BG84" s="26">
        <v>0</v>
      </c>
      <c r="BH84" s="26">
        <v>0</v>
      </c>
      <c r="BI84" s="26">
        <v>0</v>
      </c>
      <c r="BJ84" s="26">
        <v>0</v>
      </c>
      <c r="BK84" s="26">
        <v>0</v>
      </c>
      <c r="BL84" s="26">
        <v>0</v>
      </c>
      <c r="BM84" s="26">
        <v>0</v>
      </c>
      <c r="BN84" s="26">
        <v>0</v>
      </c>
      <c r="BO84" s="26">
        <v>0</v>
      </c>
      <c r="BP84" s="26">
        <v>1200000</v>
      </c>
      <c r="BQ84" s="26">
        <v>1200000</v>
      </c>
      <c r="BR84" s="26">
        <v>1200000</v>
      </c>
      <c r="BS84" s="26">
        <v>1200000</v>
      </c>
      <c r="BT84" s="26">
        <v>1200000</v>
      </c>
      <c r="BU84" s="26">
        <v>1200000</v>
      </c>
      <c r="BV84" s="26">
        <v>1200000</v>
      </c>
      <c r="BW84" s="26">
        <v>1200000</v>
      </c>
      <c r="BX84" s="26">
        <v>1200000</v>
      </c>
      <c r="BY84" s="26">
        <v>1200000</v>
      </c>
      <c r="BZ84" s="26">
        <v>1200000</v>
      </c>
      <c r="CA84" s="26">
        <v>1200000</v>
      </c>
      <c r="CB84" s="26">
        <v>3500000</v>
      </c>
      <c r="CC84" s="26">
        <v>3500000</v>
      </c>
      <c r="CD84" s="26">
        <v>3500000</v>
      </c>
      <c r="CE84" s="26">
        <v>3500000</v>
      </c>
      <c r="CF84" s="26">
        <v>3500000</v>
      </c>
      <c r="CG84" s="26">
        <v>3500000</v>
      </c>
      <c r="CH84" s="26">
        <v>3500000</v>
      </c>
      <c r="CI84" s="26">
        <v>3500000</v>
      </c>
      <c r="CJ84" s="26">
        <v>3500000</v>
      </c>
      <c r="CK84" s="26">
        <v>3500000</v>
      </c>
      <c r="CL84" s="26">
        <v>3500000</v>
      </c>
      <c r="CM84" s="26">
        <v>3500000</v>
      </c>
      <c r="CN84" s="26">
        <v>5007600</v>
      </c>
      <c r="CO84" s="26">
        <v>20</v>
      </c>
      <c r="CP84" s="26">
        <v>5007600</v>
      </c>
      <c r="CQ84" s="26">
        <v>730000</v>
      </c>
      <c r="CR84" s="26">
        <v>500000</v>
      </c>
      <c r="CS84" s="26">
        <v>1200000</v>
      </c>
      <c r="CT84" s="26">
        <v>3500000</v>
      </c>
      <c r="CU84" s="26">
        <v>5930000</v>
      </c>
    </row>
    <row r="85" spans="1:99" x14ac:dyDescent="0.3">
      <c r="A85" s="26">
        <v>7</v>
      </c>
      <c r="B85" s="27" t="s">
        <v>35</v>
      </c>
      <c r="C85" s="27" t="s">
        <v>36</v>
      </c>
      <c r="D85" s="27" t="s">
        <v>26</v>
      </c>
      <c r="E85" s="27" t="s">
        <v>27</v>
      </c>
      <c r="F85" s="26">
        <v>8506572285</v>
      </c>
      <c r="G85" s="27" t="s">
        <v>37</v>
      </c>
      <c r="H85" s="26">
        <v>5007600</v>
      </c>
      <c r="I85" s="26">
        <v>5007600</v>
      </c>
      <c r="J85" s="26">
        <v>5007600</v>
      </c>
      <c r="K85" s="26">
        <v>5007600</v>
      </c>
      <c r="L85" s="26">
        <v>5007600</v>
      </c>
      <c r="M85" s="26">
        <v>5007600</v>
      </c>
      <c r="N85" s="26">
        <v>5007600</v>
      </c>
      <c r="O85" s="26">
        <v>5007600</v>
      </c>
      <c r="P85" s="26">
        <v>5007600</v>
      </c>
      <c r="Q85" s="26">
        <v>5007600</v>
      </c>
      <c r="R85" s="26">
        <v>5007600</v>
      </c>
      <c r="S85" s="26">
        <v>5007600</v>
      </c>
      <c r="T85" s="26">
        <v>5007600</v>
      </c>
      <c r="U85" s="26">
        <v>5007600</v>
      </c>
      <c r="V85" s="26">
        <v>5007600</v>
      </c>
      <c r="W85" s="26">
        <v>5007600</v>
      </c>
      <c r="X85" s="26">
        <v>5007600</v>
      </c>
      <c r="Y85" s="26">
        <v>5007600</v>
      </c>
      <c r="Z85" s="26">
        <v>5007600</v>
      </c>
      <c r="AA85" s="26">
        <v>5007600</v>
      </c>
      <c r="AB85" s="26">
        <v>5007600</v>
      </c>
      <c r="AC85" s="26">
        <v>5007600</v>
      </c>
      <c r="AD85" s="26">
        <v>5007600</v>
      </c>
      <c r="AE85" s="26">
        <v>5007600</v>
      </c>
      <c r="AF85" s="26">
        <v>730000</v>
      </c>
      <c r="AG85" s="26">
        <v>730000</v>
      </c>
      <c r="AH85" s="26">
        <v>730000</v>
      </c>
      <c r="AI85" s="26">
        <v>730000</v>
      </c>
      <c r="AJ85" s="26">
        <v>730000</v>
      </c>
      <c r="AK85" s="26">
        <v>730000</v>
      </c>
      <c r="AL85" s="26">
        <v>730000</v>
      </c>
      <c r="AM85" s="26">
        <v>730000</v>
      </c>
      <c r="AN85" s="26">
        <v>730000</v>
      </c>
      <c r="AO85" s="26">
        <v>730000</v>
      </c>
      <c r="AP85" s="26">
        <v>730000</v>
      </c>
      <c r="AQ85" s="26">
        <v>730000</v>
      </c>
      <c r="AR85" s="26">
        <v>500000</v>
      </c>
      <c r="AS85" s="26">
        <v>500000</v>
      </c>
      <c r="AT85" s="26">
        <v>500000</v>
      </c>
      <c r="AU85" s="26">
        <v>500000</v>
      </c>
      <c r="AV85" s="26">
        <v>500000</v>
      </c>
      <c r="AW85" s="26">
        <v>500000</v>
      </c>
      <c r="AX85" s="26">
        <v>500000</v>
      </c>
      <c r="AY85" s="26">
        <v>500000</v>
      </c>
      <c r="AZ85" s="26">
        <v>500000</v>
      </c>
      <c r="BA85" s="26">
        <v>500000</v>
      </c>
      <c r="BB85" s="26">
        <v>500000</v>
      </c>
      <c r="BC85" s="26">
        <v>500000</v>
      </c>
      <c r="BD85" s="26">
        <v>0</v>
      </c>
      <c r="BE85" s="26">
        <v>0</v>
      </c>
      <c r="BF85" s="26">
        <v>0</v>
      </c>
      <c r="BG85" s="26">
        <v>0</v>
      </c>
      <c r="BH85" s="26">
        <v>0</v>
      </c>
      <c r="BI85" s="26">
        <v>0</v>
      </c>
      <c r="BJ85" s="26">
        <v>0</v>
      </c>
      <c r="BK85" s="26">
        <v>0</v>
      </c>
      <c r="BL85" s="26">
        <v>0</v>
      </c>
      <c r="BM85" s="26">
        <v>0</v>
      </c>
      <c r="BN85" s="26">
        <v>0</v>
      </c>
      <c r="BO85" s="26">
        <v>0</v>
      </c>
      <c r="BP85" s="26">
        <v>1200000</v>
      </c>
      <c r="BQ85" s="26">
        <v>1200000</v>
      </c>
      <c r="BR85" s="26">
        <v>1200000</v>
      </c>
      <c r="BS85" s="26">
        <v>1200000</v>
      </c>
      <c r="BT85" s="26">
        <v>1200000</v>
      </c>
      <c r="BU85" s="26">
        <v>1200000</v>
      </c>
      <c r="BV85" s="26">
        <v>1200000</v>
      </c>
      <c r="BW85" s="26">
        <v>1200000</v>
      </c>
      <c r="BX85" s="26">
        <v>1200000</v>
      </c>
      <c r="BY85" s="26">
        <v>1200000</v>
      </c>
      <c r="BZ85" s="26">
        <v>1200000</v>
      </c>
      <c r="CA85" s="26">
        <v>1200000</v>
      </c>
      <c r="CB85" s="26">
        <v>3500000</v>
      </c>
      <c r="CC85" s="26">
        <v>3500000</v>
      </c>
      <c r="CD85" s="26">
        <v>3500000</v>
      </c>
      <c r="CE85" s="26">
        <v>3500000</v>
      </c>
      <c r="CF85" s="26">
        <v>3500000</v>
      </c>
      <c r="CG85" s="26">
        <v>3500000</v>
      </c>
      <c r="CH85" s="26">
        <v>3500000</v>
      </c>
      <c r="CI85" s="26">
        <v>3500000</v>
      </c>
      <c r="CJ85" s="26">
        <v>3500000</v>
      </c>
      <c r="CK85" s="26">
        <v>3500000</v>
      </c>
      <c r="CL85" s="26">
        <v>3500000</v>
      </c>
      <c r="CM85" s="26">
        <v>3500000</v>
      </c>
      <c r="CN85" s="26">
        <v>5007600</v>
      </c>
      <c r="CO85" s="26">
        <v>21</v>
      </c>
      <c r="CP85" s="26">
        <v>5007600</v>
      </c>
      <c r="CQ85" s="26">
        <v>730000</v>
      </c>
      <c r="CR85" s="26">
        <v>500000</v>
      </c>
      <c r="CS85" s="26">
        <v>1200000</v>
      </c>
      <c r="CT85" s="26">
        <v>3500000</v>
      </c>
      <c r="CU85" s="26">
        <v>5930000</v>
      </c>
    </row>
    <row r="86" spans="1:99" x14ac:dyDescent="0.3">
      <c r="A86" s="26">
        <v>8</v>
      </c>
      <c r="B86" s="27" t="s">
        <v>38</v>
      </c>
      <c r="C86" s="27" t="s">
        <v>39</v>
      </c>
      <c r="D86" s="27" t="s">
        <v>26</v>
      </c>
      <c r="E86" s="27" t="s">
        <v>27</v>
      </c>
      <c r="F86" s="26">
        <v>8112553180</v>
      </c>
      <c r="G86" s="27" t="s">
        <v>40</v>
      </c>
      <c r="H86" s="26">
        <v>5007600</v>
      </c>
      <c r="I86" s="26">
        <v>5007600</v>
      </c>
      <c r="J86" s="26">
        <v>5007600</v>
      </c>
      <c r="K86" s="26">
        <v>5007600</v>
      </c>
      <c r="L86" s="26">
        <v>5007600</v>
      </c>
      <c r="M86" s="26">
        <v>5007600</v>
      </c>
      <c r="N86" s="26">
        <v>5007600</v>
      </c>
      <c r="O86" s="26">
        <v>5007600</v>
      </c>
      <c r="P86" s="26">
        <v>5007600</v>
      </c>
      <c r="Q86" s="26">
        <v>5007600</v>
      </c>
      <c r="R86" s="26">
        <v>5007600</v>
      </c>
      <c r="S86" s="26">
        <v>5007600</v>
      </c>
      <c r="T86" s="26">
        <v>5007600</v>
      </c>
      <c r="U86" s="26">
        <v>5007600</v>
      </c>
      <c r="V86" s="26">
        <v>5007600</v>
      </c>
      <c r="W86" s="26">
        <v>5007600</v>
      </c>
      <c r="X86" s="26">
        <v>5007600</v>
      </c>
      <c r="Y86" s="26">
        <v>5007600</v>
      </c>
      <c r="Z86" s="26">
        <v>5007600</v>
      </c>
      <c r="AA86" s="26">
        <v>5007600</v>
      </c>
      <c r="AB86" s="26">
        <v>5007600</v>
      </c>
      <c r="AC86" s="26">
        <v>5007600</v>
      </c>
      <c r="AD86" s="26">
        <v>5007600</v>
      </c>
      <c r="AE86" s="26">
        <v>5007600</v>
      </c>
      <c r="AF86" s="26">
        <v>730000</v>
      </c>
      <c r="AG86" s="26">
        <v>730000</v>
      </c>
      <c r="AH86" s="26">
        <v>730000</v>
      </c>
      <c r="AI86" s="26">
        <v>730000</v>
      </c>
      <c r="AJ86" s="26">
        <v>730000</v>
      </c>
      <c r="AK86" s="26">
        <v>730000</v>
      </c>
      <c r="AL86" s="26">
        <v>730000</v>
      </c>
      <c r="AM86" s="26">
        <v>730000</v>
      </c>
      <c r="AN86" s="26">
        <v>730000</v>
      </c>
      <c r="AO86" s="26">
        <v>730000</v>
      </c>
      <c r="AP86" s="26">
        <v>730000</v>
      </c>
      <c r="AQ86" s="26">
        <v>730000</v>
      </c>
      <c r="AR86" s="26">
        <v>500000</v>
      </c>
      <c r="AS86" s="26">
        <v>500000</v>
      </c>
      <c r="AT86" s="26">
        <v>500000</v>
      </c>
      <c r="AU86" s="26">
        <v>500000</v>
      </c>
      <c r="AV86" s="26">
        <v>500000</v>
      </c>
      <c r="AW86" s="26">
        <v>500000</v>
      </c>
      <c r="AX86" s="26">
        <v>500000</v>
      </c>
      <c r="AY86" s="26">
        <v>500000</v>
      </c>
      <c r="AZ86" s="26">
        <v>500000</v>
      </c>
      <c r="BA86" s="26">
        <v>500000</v>
      </c>
      <c r="BB86" s="26">
        <v>500000</v>
      </c>
      <c r="BC86" s="26">
        <v>500000</v>
      </c>
      <c r="BD86" s="26">
        <v>0</v>
      </c>
      <c r="BE86" s="26">
        <v>0</v>
      </c>
      <c r="BF86" s="26">
        <v>0</v>
      </c>
      <c r="BG86" s="26">
        <v>0</v>
      </c>
      <c r="BH86" s="26">
        <v>0</v>
      </c>
      <c r="BI86" s="26">
        <v>0</v>
      </c>
      <c r="BJ86" s="26">
        <v>0</v>
      </c>
      <c r="BK86" s="26">
        <v>0</v>
      </c>
      <c r="BL86" s="26">
        <v>0</v>
      </c>
      <c r="BM86" s="26">
        <v>0</v>
      </c>
      <c r="BN86" s="26">
        <v>0</v>
      </c>
      <c r="BO86" s="26">
        <v>0</v>
      </c>
      <c r="BP86" s="26">
        <v>1200000</v>
      </c>
      <c r="BQ86" s="26">
        <v>1200000</v>
      </c>
      <c r="BR86" s="26">
        <v>1200000</v>
      </c>
      <c r="BS86" s="26">
        <v>1200000</v>
      </c>
      <c r="BT86" s="26">
        <v>1200000</v>
      </c>
      <c r="BU86" s="26">
        <v>1200000</v>
      </c>
      <c r="BV86" s="26">
        <v>1200000</v>
      </c>
      <c r="BW86" s="26">
        <v>1200000</v>
      </c>
      <c r="BX86" s="26">
        <v>1200000</v>
      </c>
      <c r="BY86" s="26">
        <v>1200000</v>
      </c>
      <c r="BZ86" s="26">
        <v>1200000</v>
      </c>
      <c r="CA86" s="26">
        <v>1200000</v>
      </c>
      <c r="CB86" s="26">
        <v>3500000</v>
      </c>
      <c r="CC86" s="26">
        <v>3500000</v>
      </c>
      <c r="CD86" s="26">
        <v>3500000</v>
      </c>
      <c r="CE86" s="26">
        <v>3500000</v>
      </c>
      <c r="CF86" s="26">
        <v>3500000</v>
      </c>
      <c r="CG86" s="26">
        <v>3500000</v>
      </c>
      <c r="CH86" s="26">
        <v>3500000</v>
      </c>
      <c r="CI86" s="26">
        <v>3500000</v>
      </c>
      <c r="CJ86" s="26">
        <v>3500000</v>
      </c>
      <c r="CK86" s="26">
        <v>3500000</v>
      </c>
      <c r="CL86" s="26">
        <v>3500000</v>
      </c>
      <c r="CM86" s="26">
        <v>3500000</v>
      </c>
      <c r="CN86" s="26">
        <v>5007600</v>
      </c>
      <c r="CO86" s="26">
        <v>23</v>
      </c>
      <c r="CP86" s="26">
        <v>5007600</v>
      </c>
      <c r="CQ86" s="26">
        <v>730000</v>
      </c>
      <c r="CR86" s="26">
        <v>500000</v>
      </c>
      <c r="CS86" s="26">
        <v>1200000</v>
      </c>
      <c r="CT86" s="26">
        <v>3500000</v>
      </c>
      <c r="CU86" s="26">
        <v>5930000</v>
      </c>
    </row>
    <row r="87" spans="1:99" x14ac:dyDescent="0.3">
      <c r="A87" s="26">
        <v>8</v>
      </c>
      <c r="B87" s="27" t="s">
        <v>38</v>
      </c>
      <c r="C87" s="27" t="s">
        <v>39</v>
      </c>
      <c r="D87" s="27" t="s">
        <v>26</v>
      </c>
      <c r="E87" s="27" t="s">
        <v>27</v>
      </c>
      <c r="F87" s="26">
        <v>8112553180</v>
      </c>
      <c r="G87" s="27" t="s">
        <v>40</v>
      </c>
      <c r="H87" s="26">
        <v>5007600</v>
      </c>
      <c r="I87" s="26">
        <v>5007600</v>
      </c>
      <c r="J87" s="26">
        <v>5007600</v>
      </c>
      <c r="K87" s="26">
        <v>5007600</v>
      </c>
      <c r="L87" s="26">
        <v>5007600</v>
      </c>
      <c r="M87" s="26">
        <v>5007600</v>
      </c>
      <c r="N87" s="26">
        <v>5007600</v>
      </c>
      <c r="O87" s="26">
        <v>5007600</v>
      </c>
      <c r="P87" s="26">
        <v>5007600</v>
      </c>
      <c r="Q87" s="26">
        <v>5007600</v>
      </c>
      <c r="R87" s="26">
        <v>5007600</v>
      </c>
      <c r="S87" s="26">
        <v>5007600</v>
      </c>
      <c r="T87" s="26">
        <v>5007600</v>
      </c>
      <c r="U87" s="26">
        <v>5007600</v>
      </c>
      <c r="V87" s="26">
        <v>5007600</v>
      </c>
      <c r="W87" s="26">
        <v>5007600</v>
      </c>
      <c r="X87" s="26">
        <v>5007600</v>
      </c>
      <c r="Y87" s="26">
        <v>5007600</v>
      </c>
      <c r="Z87" s="26">
        <v>5007600</v>
      </c>
      <c r="AA87" s="26">
        <v>5007600</v>
      </c>
      <c r="AB87" s="26">
        <v>5007600</v>
      </c>
      <c r="AC87" s="26">
        <v>5007600</v>
      </c>
      <c r="AD87" s="26">
        <v>5007600</v>
      </c>
      <c r="AE87" s="26">
        <v>5007600</v>
      </c>
      <c r="AF87" s="26">
        <v>730000</v>
      </c>
      <c r="AG87" s="26">
        <v>730000</v>
      </c>
      <c r="AH87" s="26">
        <v>730000</v>
      </c>
      <c r="AI87" s="26">
        <v>730000</v>
      </c>
      <c r="AJ87" s="26">
        <v>730000</v>
      </c>
      <c r="AK87" s="26">
        <v>730000</v>
      </c>
      <c r="AL87" s="26">
        <v>730000</v>
      </c>
      <c r="AM87" s="26">
        <v>730000</v>
      </c>
      <c r="AN87" s="26">
        <v>730000</v>
      </c>
      <c r="AO87" s="26">
        <v>730000</v>
      </c>
      <c r="AP87" s="26">
        <v>730000</v>
      </c>
      <c r="AQ87" s="26">
        <v>730000</v>
      </c>
      <c r="AR87" s="26">
        <v>500000</v>
      </c>
      <c r="AS87" s="26">
        <v>500000</v>
      </c>
      <c r="AT87" s="26">
        <v>500000</v>
      </c>
      <c r="AU87" s="26">
        <v>500000</v>
      </c>
      <c r="AV87" s="26">
        <v>500000</v>
      </c>
      <c r="AW87" s="26">
        <v>500000</v>
      </c>
      <c r="AX87" s="26">
        <v>500000</v>
      </c>
      <c r="AY87" s="26">
        <v>500000</v>
      </c>
      <c r="AZ87" s="26">
        <v>500000</v>
      </c>
      <c r="BA87" s="26">
        <v>500000</v>
      </c>
      <c r="BB87" s="26">
        <v>500000</v>
      </c>
      <c r="BC87" s="26">
        <v>500000</v>
      </c>
      <c r="BD87" s="26">
        <v>0</v>
      </c>
      <c r="BE87" s="26">
        <v>0</v>
      </c>
      <c r="BF87" s="26">
        <v>0</v>
      </c>
      <c r="BG87" s="26">
        <v>0</v>
      </c>
      <c r="BH87" s="26">
        <v>0</v>
      </c>
      <c r="BI87" s="26">
        <v>0</v>
      </c>
      <c r="BJ87" s="26">
        <v>0</v>
      </c>
      <c r="BK87" s="26">
        <v>0</v>
      </c>
      <c r="BL87" s="26">
        <v>0</v>
      </c>
      <c r="BM87" s="26">
        <v>0</v>
      </c>
      <c r="BN87" s="26">
        <v>0</v>
      </c>
      <c r="BO87" s="26">
        <v>0</v>
      </c>
      <c r="BP87" s="26">
        <v>1200000</v>
      </c>
      <c r="BQ87" s="26">
        <v>1200000</v>
      </c>
      <c r="BR87" s="26">
        <v>1200000</v>
      </c>
      <c r="BS87" s="26">
        <v>1200000</v>
      </c>
      <c r="BT87" s="26">
        <v>1200000</v>
      </c>
      <c r="BU87" s="26">
        <v>1200000</v>
      </c>
      <c r="BV87" s="26">
        <v>1200000</v>
      </c>
      <c r="BW87" s="26">
        <v>1200000</v>
      </c>
      <c r="BX87" s="26">
        <v>1200000</v>
      </c>
      <c r="BY87" s="26">
        <v>1200000</v>
      </c>
      <c r="BZ87" s="26">
        <v>1200000</v>
      </c>
      <c r="CA87" s="26">
        <v>1200000</v>
      </c>
      <c r="CB87" s="26">
        <v>3500000</v>
      </c>
      <c r="CC87" s="26">
        <v>3500000</v>
      </c>
      <c r="CD87" s="26">
        <v>3500000</v>
      </c>
      <c r="CE87" s="26">
        <v>3500000</v>
      </c>
      <c r="CF87" s="26">
        <v>3500000</v>
      </c>
      <c r="CG87" s="26">
        <v>3500000</v>
      </c>
      <c r="CH87" s="26">
        <v>3500000</v>
      </c>
      <c r="CI87" s="26">
        <v>3500000</v>
      </c>
      <c r="CJ87" s="26">
        <v>3500000</v>
      </c>
      <c r="CK87" s="26">
        <v>3500000</v>
      </c>
      <c r="CL87" s="26">
        <v>3500000</v>
      </c>
      <c r="CM87" s="26">
        <v>3500000</v>
      </c>
      <c r="CN87" s="26">
        <v>5007600</v>
      </c>
      <c r="CO87" s="26">
        <v>20</v>
      </c>
      <c r="CP87" s="26">
        <v>5007600</v>
      </c>
      <c r="CQ87" s="26">
        <v>730000</v>
      </c>
      <c r="CR87" s="26">
        <v>500000</v>
      </c>
      <c r="CS87" s="26">
        <v>1200000</v>
      </c>
      <c r="CT87" s="26">
        <v>3500000</v>
      </c>
      <c r="CU87" s="26">
        <v>5930000</v>
      </c>
    </row>
    <row r="88" spans="1:99" x14ac:dyDescent="0.3">
      <c r="A88" s="26">
        <v>8</v>
      </c>
      <c r="B88" s="27" t="s">
        <v>38</v>
      </c>
      <c r="C88" s="27" t="s">
        <v>39</v>
      </c>
      <c r="D88" s="27" t="s">
        <v>26</v>
      </c>
      <c r="E88" s="27" t="s">
        <v>27</v>
      </c>
      <c r="F88" s="26">
        <v>8112553180</v>
      </c>
      <c r="G88" s="27" t="s">
        <v>40</v>
      </c>
      <c r="H88" s="26">
        <v>5007600</v>
      </c>
      <c r="I88" s="26">
        <v>5007600</v>
      </c>
      <c r="J88" s="26">
        <v>5007600</v>
      </c>
      <c r="K88" s="26">
        <v>5007600</v>
      </c>
      <c r="L88" s="26">
        <v>5007600</v>
      </c>
      <c r="M88" s="26">
        <v>5007600</v>
      </c>
      <c r="N88" s="26">
        <v>5007600</v>
      </c>
      <c r="O88" s="26">
        <v>5007600</v>
      </c>
      <c r="P88" s="26">
        <v>5007600</v>
      </c>
      <c r="Q88" s="26">
        <v>5007600</v>
      </c>
      <c r="R88" s="26">
        <v>5007600</v>
      </c>
      <c r="S88" s="26">
        <v>5007600</v>
      </c>
      <c r="T88" s="26">
        <v>5007600</v>
      </c>
      <c r="U88" s="26">
        <v>5007600</v>
      </c>
      <c r="V88" s="26">
        <v>5007600</v>
      </c>
      <c r="W88" s="26">
        <v>5007600</v>
      </c>
      <c r="X88" s="26">
        <v>5007600</v>
      </c>
      <c r="Y88" s="26">
        <v>5007600</v>
      </c>
      <c r="Z88" s="26">
        <v>5007600</v>
      </c>
      <c r="AA88" s="26">
        <v>5007600</v>
      </c>
      <c r="AB88" s="26">
        <v>5007600</v>
      </c>
      <c r="AC88" s="26">
        <v>5007600</v>
      </c>
      <c r="AD88" s="26">
        <v>5007600</v>
      </c>
      <c r="AE88" s="26">
        <v>5007600</v>
      </c>
      <c r="AF88" s="26">
        <v>730000</v>
      </c>
      <c r="AG88" s="26">
        <v>730000</v>
      </c>
      <c r="AH88" s="26">
        <v>730000</v>
      </c>
      <c r="AI88" s="26">
        <v>730000</v>
      </c>
      <c r="AJ88" s="26">
        <v>730000</v>
      </c>
      <c r="AK88" s="26">
        <v>730000</v>
      </c>
      <c r="AL88" s="26">
        <v>730000</v>
      </c>
      <c r="AM88" s="26">
        <v>730000</v>
      </c>
      <c r="AN88" s="26">
        <v>730000</v>
      </c>
      <c r="AO88" s="26">
        <v>730000</v>
      </c>
      <c r="AP88" s="26">
        <v>730000</v>
      </c>
      <c r="AQ88" s="26">
        <v>730000</v>
      </c>
      <c r="AR88" s="26">
        <v>500000</v>
      </c>
      <c r="AS88" s="26">
        <v>500000</v>
      </c>
      <c r="AT88" s="26">
        <v>500000</v>
      </c>
      <c r="AU88" s="26">
        <v>500000</v>
      </c>
      <c r="AV88" s="26">
        <v>500000</v>
      </c>
      <c r="AW88" s="26">
        <v>500000</v>
      </c>
      <c r="AX88" s="26">
        <v>500000</v>
      </c>
      <c r="AY88" s="26">
        <v>500000</v>
      </c>
      <c r="AZ88" s="26">
        <v>500000</v>
      </c>
      <c r="BA88" s="26">
        <v>500000</v>
      </c>
      <c r="BB88" s="26">
        <v>500000</v>
      </c>
      <c r="BC88" s="26">
        <v>500000</v>
      </c>
      <c r="BD88" s="26">
        <v>0</v>
      </c>
      <c r="BE88" s="26">
        <v>0</v>
      </c>
      <c r="BF88" s="26">
        <v>0</v>
      </c>
      <c r="BG88" s="26">
        <v>0</v>
      </c>
      <c r="BH88" s="26">
        <v>0</v>
      </c>
      <c r="BI88" s="26">
        <v>0</v>
      </c>
      <c r="BJ88" s="26">
        <v>0</v>
      </c>
      <c r="BK88" s="26">
        <v>0</v>
      </c>
      <c r="BL88" s="26">
        <v>0</v>
      </c>
      <c r="BM88" s="26">
        <v>0</v>
      </c>
      <c r="BN88" s="26">
        <v>0</v>
      </c>
      <c r="BO88" s="26">
        <v>0</v>
      </c>
      <c r="BP88" s="26">
        <v>1200000</v>
      </c>
      <c r="BQ88" s="26">
        <v>1200000</v>
      </c>
      <c r="BR88" s="26">
        <v>1200000</v>
      </c>
      <c r="BS88" s="26">
        <v>1200000</v>
      </c>
      <c r="BT88" s="26">
        <v>1200000</v>
      </c>
      <c r="BU88" s="26">
        <v>1200000</v>
      </c>
      <c r="BV88" s="26">
        <v>1200000</v>
      </c>
      <c r="BW88" s="26">
        <v>1200000</v>
      </c>
      <c r="BX88" s="26">
        <v>1200000</v>
      </c>
      <c r="BY88" s="26">
        <v>1200000</v>
      </c>
      <c r="BZ88" s="26">
        <v>1200000</v>
      </c>
      <c r="CA88" s="26">
        <v>1200000</v>
      </c>
      <c r="CB88" s="26">
        <v>3500000</v>
      </c>
      <c r="CC88" s="26">
        <v>3500000</v>
      </c>
      <c r="CD88" s="26">
        <v>3500000</v>
      </c>
      <c r="CE88" s="26">
        <v>3500000</v>
      </c>
      <c r="CF88" s="26">
        <v>3500000</v>
      </c>
      <c r="CG88" s="26">
        <v>3500000</v>
      </c>
      <c r="CH88" s="26">
        <v>3500000</v>
      </c>
      <c r="CI88" s="26">
        <v>3500000</v>
      </c>
      <c r="CJ88" s="26">
        <v>3500000</v>
      </c>
      <c r="CK88" s="26">
        <v>3500000</v>
      </c>
      <c r="CL88" s="26">
        <v>3500000</v>
      </c>
      <c r="CM88" s="26">
        <v>3500000</v>
      </c>
      <c r="CN88" s="26">
        <v>5007600</v>
      </c>
      <c r="CO88" s="26">
        <v>20</v>
      </c>
      <c r="CP88" s="26">
        <v>5007600</v>
      </c>
      <c r="CQ88" s="26">
        <v>730000</v>
      </c>
      <c r="CR88" s="26">
        <v>500000</v>
      </c>
      <c r="CS88" s="26">
        <v>1200000</v>
      </c>
      <c r="CT88" s="26">
        <v>3500000</v>
      </c>
      <c r="CU88" s="26">
        <v>5930000</v>
      </c>
    </row>
    <row r="89" spans="1:99" x14ac:dyDescent="0.3">
      <c r="A89" s="26">
        <v>8</v>
      </c>
      <c r="B89" s="27" t="s">
        <v>38</v>
      </c>
      <c r="C89" s="27" t="s">
        <v>39</v>
      </c>
      <c r="D89" s="27" t="s">
        <v>26</v>
      </c>
      <c r="E89" s="27" t="s">
        <v>27</v>
      </c>
      <c r="F89" s="26">
        <v>8112553180</v>
      </c>
      <c r="G89" s="27" t="s">
        <v>40</v>
      </c>
      <c r="H89" s="26">
        <v>5007600</v>
      </c>
      <c r="I89" s="26">
        <v>5007600</v>
      </c>
      <c r="J89" s="26">
        <v>5007600</v>
      </c>
      <c r="K89" s="26">
        <v>5007600</v>
      </c>
      <c r="L89" s="26">
        <v>5007600</v>
      </c>
      <c r="M89" s="26">
        <v>5007600</v>
      </c>
      <c r="N89" s="26">
        <v>5007600</v>
      </c>
      <c r="O89" s="26">
        <v>5007600</v>
      </c>
      <c r="P89" s="26">
        <v>5007600</v>
      </c>
      <c r="Q89" s="26">
        <v>5007600</v>
      </c>
      <c r="R89" s="26">
        <v>5007600</v>
      </c>
      <c r="S89" s="26">
        <v>5007600</v>
      </c>
      <c r="T89" s="26">
        <v>5007600</v>
      </c>
      <c r="U89" s="26">
        <v>5007600</v>
      </c>
      <c r="V89" s="26">
        <v>5007600</v>
      </c>
      <c r="W89" s="26">
        <v>5007600</v>
      </c>
      <c r="X89" s="26">
        <v>5007600</v>
      </c>
      <c r="Y89" s="26">
        <v>5007600</v>
      </c>
      <c r="Z89" s="26">
        <v>5007600</v>
      </c>
      <c r="AA89" s="26">
        <v>5007600</v>
      </c>
      <c r="AB89" s="26">
        <v>5007600</v>
      </c>
      <c r="AC89" s="26">
        <v>5007600</v>
      </c>
      <c r="AD89" s="26">
        <v>5007600</v>
      </c>
      <c r="AE89" s="26">
        <v>5007600</v>
      </c>
      <c r="AF89" s="26">
        <v>730000</v>
      </c>
      <c r="AG89" s="26">
        <v>730000</v>
      </c>
      <c r="AH89" s="26">
        <v>730000</v>
      </c>
      <c r="AI89" s="26">
        <v>730000</v>
      </c>
      <c r="AJ89" s="26">
        <v>730000</v>
      </c>
      <c r="AK89" s="26">
        <v>730000</v>
      </c>
      <c r="AL89" s="26">
        <v>730000</v>
      </c>
      <c r="AM89" s="26">
        <v>730000</v>
      </c>
      <c r="AN89" s="26">
        <v>730000</v>
      </c>
      <c r="AO89" s="26">
        <v>730000</v>
      </c>
      <c r="AP89" s="26">
        <v>730000</v>
      </c>
      <c r="AQ89" s="26">
        <v>730000</v>
      </c>
      <c r="AR89" s="26">
        <v>500000</v>
      </c>
      <c r="AS89" s="26">
        <v>500000</v>
      </c>
      <c r="AT89" s="26">
        <v>500000</v>
      </c>
      <c r="AU89" s="26">
        <v>500000</v>
      </c>
      <c r="AV89" s="26">
        <v>500000</v>
      </c>
      <c r="AW89" s="26">
        <v>500000</v>
      </c>
      <c r="AX89" s="26">
        <v>500000</v>
      </c>
      <c r="AY89" s="26">
        <v>500000</v>
      </c>
      <c r="AZ89" s="26">
        <v>500000</v>
      </c>
      <c r="BA89" s="26">
        <v>500000</v>
      </c>
      <c r="BB89" s="26">
        <v>500000</v>
      </c>
      <c r="BC89" s="26">
        <v>500000</v>
      </c>
      <c r="BD89" s="26">
        <v>0</v>
      </c>
      <c r="BE89" s="26">
        <v>0</v>
      </c>
      <c r="BF89" s="26">
        <v>0</v>
      </c>
      <c r="BG89" s="26">
        <v>0</v>
      </c>
      <c r="BH89" s="26">
        <v>0</v>
      </c>
      <c r="BI89" s="26">
        <v>0</v>
      </c>
      <c r="BJ89" s="26">
        <v>0</v>
      </c>
      <c r="BK89" s="26">
        <v>0</v>
      </c>
      <c r="BL89" s="26">
        <v>0</v>
      </c>
      <c r="BM89" s="26">
        <v>0</v>
      </c>
      <c r="BN89" s="26">
        <v>0</v>
      </c>
      <c r="BO89" s="26">
        <v>0</v>
      </c>
      <c r="BP89" s="26">
        <v>1200000</v>
      </c>
      <c r="BQ89" s="26">
        <v>1200000</v>
      </c>
      <c r="BR89" s="26">
        <v>1200000</v>
      </c>
      <c r="BS89" s="26">
        <v>1200000</v>
      </c>
      <c r="BT89" s="26">
        <v>1200000</v>
      </c>
      <c r="BU89" s="26">
        <v>1200000</v>
      </c>
      <c r="BV89" s="26">
        <v>1200000</v>
      </c>
      <c r="BW89" s="26">
        <v>1200000</v>
      </c>
      <c r="BX89" s="26">
        <v>1200000</v>
      </c>
      <c r="BY89" s="26">
        <v>1200000</v>
      </c>
      <c r="BZ89" s="26">
        <v>1200000</v>
      </c>
      <c r="CA89" s="26">
        <v>1200000</v>
      </c>
      <c r="CB89" s="26">
        <v>3500000</v>
      </c>
      <c r="CC89" s="26">
        <v>3500000</v>
      </c>
      <c r="CD89" s="26">
        <v>3500000</v>
      </c>
      <c r="CE89" s="26">
        <v>3500000</v>
      </c>
      <c r="CF89" s="26">
        <v>3500000</v>
      </c>
      <c r="CG89" s="26">
        <v>3500000</v>
      </c>
      <c r="CH89" s="26">
        <v>3500000</v>
      </c>
      <c r="CI89" s="26">
        <v>3500000</v>
      </c>
      <c r="CJ89" s="26">
        <v>3500000</v>
      </c>
      <c r="CK89" s="26">
        <v>3500000</v>
      </c>
      <c r="CL89" s="26">
        <v>3500000</v>
      </c>
      <c r="CM89" s="26">
        <v>3500000</v>
      </c>
      <c r="CN89" s="26">
        <v>5007600</v>
      </c>
      <c r="CO89" s="26">
        <v>21</v>
      </c>
      <c r="CP89" s="26">
        <v>5007600</v>
      </c>
      <c r="CQ89" s="26">
        <v>730000</v>
      </c>
      <c r="CR89" s="26">
        <v>500000</v>
      </c>
      <c r="CS89" s="26">
        <v>1200000</v>
      </c>
      <c r="CT89" s="26">
        <v>3500000</v>
      </c>
      <c r="CU89" s="26">
        <v>5930000</v>
      </c>
    </row>
    <row r="90" spans="1:99" x14ac:dyDescent="0.3">
      <c r="A90" s="26">
        <v>8</v>
      </c>
      <c r="B90" s="27" t="s">
        <v>38</v>
      </c>
      <c r="C90" s="27" t="s">
        <v>39</v>
      </c>
      <c r="D90" s="27" t="s">
        <v>26</v>
      </c>
      <c r="E90" s="27" t="s">
        <v>27</v>
      </c>
      <c r="F90" s="26">
        <v>8112553180</v>
      </c>
      <c r="G90" s="27" t="s">
        <v>40</v>
      </c>
      <c r="H90" s="26">
        <v>5007600</v>
      </c>
      <c r="I90" s="26">
        <v>5007600</v>
      </c>
      <c r="J90" s="26">
        <v>5007600</v>
      </c>
      <c r="K90" s="26">
        <v>5007600</v>
      </c>
      <c r="L90" s="26">
        <v>5007600</v>
      </c>
      <c r="M90" s="26">
        <v>5007600</v>
      </c>
      <c r="N90" s="26">
        <v>5007600</v>
      </c>
      <c r="O90" s="26">
        <v>5007600</v>
      </c>
      <c r="P90" s="26">
        <v>5007600</v>
      </c>
      <c r="Q90" s="26">
        <v>5007600</v>
      </c>
      <c r="R90" s="26">
        <v>5007600</v>
      </c>
      <c r="S90" s="26">
        <v>5007600</v>
      </c>
      <c r="T90" s="26">
        <v>5007600</v>
      </c>
      <c r="U90" s="26">
        <v>5007600</v>
      </c>
      <c r="V90" s="26">
        <v>5007600</v>
      </c>
      <c r="W90" s="26">
        <v>5007600</v>
      </c>
      <c r="X90" s="26">
        <v>5007600</v>
      </c>
      <c r="Y90" s="26">
        <v>5007600</v>
      </c>
      <c r="Z90" s="26">
        <v>5007600</v>
      </c>
      <c r="AA90" s="26">
        <v>5007600</v>
      </c>
      <c r="AB90" s="26">
        <v>5007600</v>
      </c>
      <c r="AC90" s="26">
        <v>5007600</v>
      </c>
      <c r="AD90" s="26">
        <v>5007600</v>
      </c>
      <c r="AE90" s="26">
        <v>5007600</v>
      </c>
      <c r="AF90" s="26">
        <v>730000</v>
      </c>
      <c r="AG90" s="26">
        <v>730000</v>
      </c>
      <c r="AH90" s="26">
        <v>730000</v>
      </c>
      <c r="AI90" s="26">
        <v>730000</v>
      </c>
      <c r="AJ90" s="26">
        <v>730000</v>
      </c>
      <c r="AK90" s="26">
        <v>730000</v>
      </c>
      <c r="AL90" s="26">
        <v>730000</v>
      </c>
      <c r="AM90" s="26">
        <v>730000</v>
      </c>
      <c r="AN90" s="26">
        <v>730000</v>
      </c>
      <c r="AO90" s="26">
        <v>730000</v>
      </c>
      <c r="AP90" s="26">
        <v>730000</v>
      </c>
      <c r="AQ90" s="26">
        <v>730000</v>
      </c>
      <c r="AR90" s="26">
        <v>500000</v>
      </c>
      <c r="AS90" s="26">
        <v>500000</v>
      </c>
      <c r="AT90" s="26">
        <v>500000</v>
      </c>
      <c r="AU90" s="26">
        <v>500000</v>
      </c>
      <c r="AV90" s="26">
        <v>500000</v>
      </c>
      <c r="AW90" s="26">
        <v>500000</v>
      </c>
      <c r="AX90" s="26">
        <v>500000</v>
      </c>
      <c r="AY90" s="26">
        <v>500000</v>
      </c>
      <c r="AZ90" s="26">
        <v>500000</v>
      </c>
      <c r="BA90" s="26">
        <v>500000</v>
      </c>
      <c r="BB90" s="26">
        <v>500000</v>
      </c>
      <c r="BC90" s="26">
        <v>500000</v>
      </c>
      <c r="BD90" s="26">
        <v>0</v>
      </c>
      <c r="BE90" s="26">
        <v>0</v>
      </c>
      <c r="BF90" s="26">
        <v>0</v>
      </c>
      <c r="BG90" s="26">
        <v>0</v>
      </c>
      <c r="BH90" s="26">
        <v>0</v>
      </c>
      <c r="BI90" s="26">
        <v>0</v>
      </c>
      <c r="BJ90" s="26">
        <v>0</v>
      </c>
      <c r="BK90" s="26">
        <v>0</v>
      </c>
      <c r="BL90" s="26">
        <v>0</v>
      </c>
      <c r="BM90" s="26">
        <v>0</v>
      </c>
      <c r="BN90" s="26">
        <v>0</v>
      </c>
      <c r="BO90" s="26">
        <v>0</v>
      </c>
      <c r="BP90" s="26">
        <v>1200000</v>
      </c>
      <c r="BQ90" s="26">
        <v>1200000</v>
      </c>
      <c r="BR90" s="26">
        <v>1200000</v>
      </c>
      <c r="BS90" s="26">
        <v>1200000</v>
      </c>
      <c r="BT90" s="26">
        <v>1200000</v>
      </c>
      <c r="BU90" s="26">
        <v>1200000</v>
      </c>
      <c r="BV90" s="26">
        <v>1200000</v>
      </c>
      <c r="BW90" s="26">
        <v>1200000</v>
      </c>
      <c r="BX90" s="26">
        <v>1200000</v>
      </c>
      <c r="BY90" s="26">
        <v>1200000</v>
      </c>
      <c r="BZ90" s="26">
        <v>1200000</v>
      </c>
      <c r="CA90" s="26">
        <v>1200000</v>
      </c>
      <c r="CB90" s="26">
        <v>3500000</v>
      </c>
      <c r="CC90" s="26">
        <v>3500000</v>
      </c>
      <c r="CD90" s="26">
        <v>3500000</v>
      </c>
      <c r="CE90" s="26">
        <v>3500000</v>
      </c>
      <c r="CF90" s="26">
        <v>3500000</v>
      </c>
      <c r="CG90" s="26">
        <v>3500000</v>
      </c>
      <c r="CH90" s="26">
        <v>3500000</v>
      </c>
      <c r="CI90" s="26">
        <v>3500000</v>
      </c>
      <c r="CJ90" s="26">
        <v>3500000</v>
      </c>
      <c r="CK90" s="26">
        <v>3500000</v>
      </c>
      <c r="CL90" s="26">
        <v>3500000</v>
      </c>
      <c r="CM90" s="26">
        <v>3500000</v>
      </c>
      <c r="CN90" s="26">
        <v>5007600</v>
      </c>
      <c r="CO90" s="26">
        <v>22</v>
      </c>
      <c r="CP90" s="26">
        <v>5007600</v>
      </c>
      <c r="CQ90" s="26">
        <v>730000</v>
      </c>
      <c r="CR90" s="26">
        <v>500000</v>
      </c>
      <c r="CS90" s="26">
        <v>1200000</v>
      </c>
      <c r="CT90" s="26">
        <v>3500000</v>
      </c>
      <c r="CU90" s="26">
        <v>5930000</v>
      </c>
    </row>
    <row r="91" spans="1:99" x14ac:dyDescent="0.3">
      <c r="A91" s="26">
        <v>8</v>
      </c>
      <c r="B91" s="27" t="s">
        <v>38</v>
      </c>
      <c r="C91" s="27" t="s">
        <v>39</v>
      </c>
      <c r="D91" s="27" t="s">
        <v>26</v>
      </c>
      <c r="E91" s="27" t="s">
        <v>27</v>
      </c>
      <c r="F91" s="26">
        <v>8112553180</v>
      </c>
      <c r="G91" s="27" t="s">
        <v>40</v>
      </c>
      <c r="H91" s="26">
        <v>5007600</v>
      </c>
      <c r="I91" s="26">
        <v>5007600</v>
      </c>
      <c r="J91" s="26">
        <v>5007600</v>
      </c>
      <c r="K91" s="26">
        <v>5007600</v>
      </c>
      <c r="L91" s="26">
        <v>5007600</v>
      </c>
      <c r="M91" s="26">
        <v>5007600</v>
      </c>
      <c r="N91" s="26">
        <v>5007600</v>
      </c>
      <c r="O91" s="26">
        <v>5007600</v>
      </c>
      <c r="P91" s="26">
        <v>5007600</v>
      </c>
      <c r="Q91" s="26">
        <v>5007600</v>
      </c>
      <c r="R91" s="26">
        <v>5007600</v>
      </c>
      <c r="S91" s="26">
        <v>5007600</v>
      </c>
      <c r="T91" s="26">
        <v>5007600</v>
      </c>
      <c r="U91" s="26">
        <v>5007600</v>
      </c>
      <c r="V91" s="26">
        <v>5007600</v>
      </c>
      <c r="W91" s="26">
        <v>5007600</v>
      </c>
      <c r="X91" s="26">
        <v>5007600</v>
      </c>
      <c r="Y91" s="26">
        <v>5007600</v>
      </c>
      <c r="Z91" s="26">
        <v>5007600</v>
      </c>
      <c r="AA91" s="26">
        <v>5007600</v>
      </c>
      <c r="AB91" s="26">
        <v>5007600</v>
      </c>
      <c r="AC91" s="26">
        <v>5007600</v>
      </c>
      <c r="AD91" s="26">
        <v>5007600</v>
      </c>
      <c r="AE91" s="26">
        <v>5007600</v>
      </c>
      <c r="AF91" s="26">
        <v>730000</v>
      </c>
      <c r="AG91" s="26">
        <v>730000</v>
      </c>
      <c r="AH91" s="26">
        <v>730000</v>
      </c>
      <c r="AI91" s="26">
        <v>730000</v>
      </c>
      <c r="AJ91" s="26">
        <v>730000</v>
      </c>
      <c r="AK91" s="26">
        <v>730000</v>
      </c>
      <c r="AL91" s="26">
        <v>730000</v>
      </c>
      <c r="AM91" s="26">
        <v>730000</v>
      </c>
      <c r="AN91" s="26">
        <v>730000</v>
      </c>
      <c r="AO91" s="26">
        <v>730000</v>
      </c>
      <c r="AP91" s="26">
        <v>730000</v>
      </c>
      <c r="AQ91" s="26">
        <v>730000</v>
      </c>
      <c r="AR91" s="26">
        <v>500000</v>
      </c>
      <c r="AS91" s="26">
        <v>500000</v>
      </c>
      <c r="AT91" s="26">
        <v>500000</v>
      </c>
      <c r="AU91" s="26">
        <v>500000</v>
      </c>
      <c r="AV91" s="26">
        <v>500000</v>
      </c>
      <c r="AW91" s="26">
        <v>500000</v>
      </c>
      <c r="AX91" s="26">
        <v>500000</v>
      </c>
      <c r="AY91" s="26">
        <v>500000</v>
      </c>
      <c r="AZ91" s="26">
        <v>500000</v>
      </c>
      <c r="BA91" s="26">
        <v>500000</v>
      </c>
      <c r="BB91" s="26">
        <v>500000</v>
      </c>
      <c r="BC91" s="26">
        <v>500000</v>
      </c>
      <c r="BD91" s="26">
        <v>0</v>
      </c>
      <c r="BE91" s="26">
        <v>0</v>
      </c>
      <c r="BF91" s="26">
        <v>0</v>
      </c>
      <c r="BG91" s="26">
        <v>0</v>
      </c>
      <c r="BH91" s="26">
        <v>0</v>
      </c>
      <c r="BI91" s="26">
        <v>0</v>
      </c>
      <c r="BJ91" s="26">
        <v>0</v>
      </c>
      <c r="BK91" s="26">
        <v>0</v>
      </c>
      <c r="BL91" s="26">
        <v>0</v>
      </c>
      <c r="BM91" s="26">
        <v>0</v>
      </c>
      <c r="BN91" s="26">
        <v>0</v>
      </c>
      <c r="BO91" s="26">
        <v>0</v>
      </c>
      <c r="BP91" s="26">
        <v>1200000</v>
      </c>
      <c r="BQ91" s="26">
        <v>1200000</v>
      </c>
      <c r="BR91" s="26">
        <v>1200000</v>
      </c>
      <c r="BS91" s="26">
        <v>1200000</v>
      </c>
      <c r="BT91" s="26">
        <v>1200000</v>
      </c>
      <c r="BU91" s="26">
        <v>1200000</v>
      </c>
      <c r="BV91" s="26">
        <v>1200000</v>
      </c>
      <c r="BW91" s="26">
        <v>1200000</v>
      </c>
      <c r="BX91" s="26">
        <v>1200000</v>
      </c>
      <c r="BY91" s="26">
        <v>1200000</v>
      </c>
      <c r="BZ91" s="26">
        <v>1200000</v>
      </c>
      <c r="CA91" s="26">
        <v>1200000</v>
      </c>
      <c r="CB91" s="26">
        <v>3500000</v>
      </c>
      <c r="CC91" s="26">
        <v>3500000</v>
      </c>
      <c r="CD91" s="26">
        <v>3500000</v>
      </c>
      <c r="CE91" s="26">
        <v>3500000</v>
      </c>
      <c r="CF91" s="26">
        <v>3500000</v>
      </c>
      <c r="CG91" s="26">
        <v>3500000</v>
      </c>
      <c r="CH91" s="26">
        <v>3500000</v>
      </c>
      <c r="CI91" s="26">
        <v>3500000</v>
      </c>
      <c r="CJ91" s="26">
        <v>3500000</v>
      </c>
      <c r="CK91" s="26">
        <v>3500000</v>
      </c>
      <c r="CL91" s="26">
        <v>3500000</v>
      </c>
      <c r="CM91" s="26">
        <v>3500000</v>
      </c>
      <c r="CN91" s="26">
        <v>5007600</v>
      </c>
      <c r="CO91" s="26">
        <v>22</v>
      </c>
      <c r="CP91" s="26">
        <v>5007600</v>
      </c>
      <c r="CQ91" s="26">
        <v>730000</v>
      </c>
      <c r="CR91" s="26">
        <v>500000</v>
      </c>
      <c r="CS91" s="26">
        <v>1200000</v>
      </c>
      <c r="CT91" s="26">
        <v>3500000</v>
      </c>
      <c r="CU91" s="26">
        <v>5930000</v>
      </c>
    </row>
    <row r="92" spans="1:99" x14ac:dyDescent="0.3">
      <c r="A92" s="26">
        <v>8</v>
      </c>
      <c r="B92" s="27" t="s">
        <v>38</v>
      </c>
      <c r="C92" s="27" t="s">
        <v>39</v>
      </c>
      <c r="D92" s="27" t="s">
        <v>26</v>
      </c>
      <c r="E92" s="27" t="s">
        <v>27</v>
      </c>
      <c r="F92" s="26">
        <v>8112553180</v>
      </c>
      <c r="G92" s="27" t="s">
        <v>40</v>
      </c>
      <c r="H92" s="26">
        <v>5007600</v>
      </c>
      <c r="I92" s="26">
        <v>5007600</v>
      </c>
      <c r="J92" s="26">
        <v>5007600</v>
      </c>
      <c r="K92" s="26">
        <v>5007600</v>
      </c>
      <c r="L92" s="26">
        <v>5007600</v>
      </c>
      <c r="M92" s="26">
        <v>5007600</v>
      </c>
      <c r="N92" s="26">
        <v>5007600</v>
      </c>
      <c r="O92" s="26">
        <v>5007600</v>
      </c>
      <c r="P92" s="26">
        <v>5007600</v>
      </c>
      <c r="Q92" s="26">
        <v>5007600</v>
      </c>
      <c r="R92" s="26">
        <v>5007600</v>
      </c>
      <c r="S92" s="26">
        <v>5007600</v>
      </c>
      <c r="T92" s="26">
        <v>5007600</v>
      </c>
      <c r="U92" s="26">
        <v>5007600</v>
      </c>
      <c r="V92" s="26">
        <v>5007600</v>
      </c>
      <c r="W92" s="26">
        <v>5007600</v>
      </c>
      <c r="X92" s="26">
        <v>5007600</v>
      </c>
      <c r="Y92" s="26">
        <v>5007600</v>
      </c>
      <c r="Z92" s="26">
        <v>5007600</v>
      </c>
      <c r="AA92" s="26">
        <v>5007600</v>
      </c>
      <c r="AB92" s="26">
        <v>5007600</v>
      </c>
      <c r="AC92" s="26">
        <v>5007600</v>
      </c>
      <c r="AD92" s="26">
        <v>5007600</v>
      </c>
      <c r="AE92" s="26">
        <v>5007600</v>
      </c>
      <c r="AF92" s="26">
        <v>730000</v>
      </c>
      <c r="AG92" s="26">
        <v>730000</v>
      </c>
      <c r="AH92" s="26">
        <v>730000</v>
      </c>
      <c r="AI92" s="26">
        <v>730000</v>
      </c>
      <c r="AJ92" s="26">
        <v>730000</v>
      </c>
      <c r="AK92" s="26">
        <v>730000</v>
      </c>
      <c r="AL92" s="26">
        <v>730000</v>
      </c>
      <c r="AM92" s="26">
        <v>730000</v>
      </c>
      <c r="AN92" s="26">
        <v>730000</v>
      </c>
      <c r="AO92" s="26">
        <v>730000</v>
      </c>
      <c r="AP92" s="26">
        <v>730000</v>
      </c>
      <c r="AQ92" s="26">
        <v>730000</v>
      </c>
      <c r="AR92" s="26">
        <v>500000</v>
      </c>
      <c r="AS92" s="26">
        <v>500000</v>
      </c>
      <c r="AT92" s="26">
        <v>500000</v>
      </c>
      <c r="AU92" s="26">
        <v>500000</v>
      </c>
      <c r="AV92" s="26">
        <v>500000</v>
      </c>
      <c r="AW92" s="26">
        <v>500000</v>
      </c>
      <c r="AX92" s="26">
        <v>500000</v>
      </c>
      <c r="AY92" s="26">
        <v>500000</v>
      </c>
      <c r="AZ92" s="26">
        <v>500000</v>
      </c>
      <c r="BA92" s="26">
        <v>500000</v>
      </c>
      <c r="BB92" s="26">
        <v>500000</v>
      </c>
      <c r="BC92" s="26">
        <v>500000</v>
      </c>
      <c r="BD92" s="26">
        <v>0</v>
      </c>
      <c r="BE92" s="26">
        <v>0</v>
      </c>
      <c r="BF92" s="26">
        <v>0</v>
      </c>
      <c r="BG92" s="26">
        <v>0</v>
      </c>
      <c r="BH92" s="26">
        <v>0</v>
      </c>
      <c r="BI92" s="26">
        <v>0</v>
      </c>
      <c r="BJ92" s="26">
        <v>0</v>
      </c>
      <c r="BK92" s="26">
        <v>0</v>
      </c>
      <c r="BL92" s="26">
        <v>0</v>
      </c>
      <c r="BM92" s="26">
        <v>0</v>
      </c>
      <c r="BN92" s="26">
        <v>0</v>
      </c>
      <c r="BO92" s="26">
        <v>0</v>
      </c>
      <c r="BP92" s="26">
        <v>1200000</v>
      </c>
      <c r="BQ92" s="26">
        <v>1200000</v>
      </c>
      <c r="BR92" s="26">
        <v>1200000</v>
      </c>
      <c r="BS92" s="26">
        <v>1200000</v>
      </c>
      <c r="BT92" s="26">
        <v>1200000</v>
      </c>
      <c r="BU92" s="26">
        <v>1200000</v>
      </c>
      <c r="BV92" s="26">
        <v>1200000</v>
      </c>
      <c r="BW92" s="26">
        <v>1200000</v>
      </c>
      <c r="BX92" s="26">
        <v>1200000</v>
      </c>
      <c r="BY92" s="26">
        <v>1200000</v>
      </c>
      <c r="BZ92" s="26">
        <v>1200000</v>
      </c>
      <c r="CA92" s="26">
        <v>1200000</v>
      </c>
      <c r="CB92" s="26">
        <v>3500000</v>
      </c>
      <c r="CC92" s="26">
        <v>3500000</v>
      </c>
      <c r="CD92" s="26">
        <v>3500000</v>
      </c>
      <c r="CE92" s="26">
        <v>3500000</v>
      </c>
      <c r="CF92" s="26">
        <v>3500000</v>
      </c>
      <c r="CG92" s="26">
        <v>3500000</v>
      </c>
      <c r="CH92" s="26">
        <v>3500000</v>
      </c>
      <c r="CI92" s="26">
        <v>3500000</v>
      </c>
      <c r="CJ92" s="26">
        <v>3500000</v>
      </c>
      <c r="CK92" s="26">
        <v>3500000</v>
      </c>
      <c r="CL92" s="26">
        <v>3500000</v>
      </c>
      <c r="CM92" s="26">
        <v>3500000</v>
      </c>
      <c r="CN92" s="26">
        <v>5007600</v>
      </c>
      <c r="CO92" s="26">
        <v>23</v>
      </c>
      <c r="CP92" s="26">
        <v>5007600</v>
      </c>
      <c r="CQ92" s="26">
        <v>730000</v>
      </c>
      <c r="CR92" s="26">
        <v>500000</v>
      </c>
      <c r="CS92" s="26">
        <v>1200000</v>
      </c>
      <c r="CT92" s="26">
        <v>3500000</v>
      </c>
      <c r="CU92" s="26">
        <v>5930000</v>
      </c>
    </row>
    <row r="93" spans="1:99" x14ac:dyDescent="0.3">
      <c r="A93" s="26">
        <v>8</v>
      </c>
      <c r="B93" s="27" t="s">
        <v>38</v>
      </c>
      <c r="C93" s="27" t="s">
        <v>39</v>
      </c>
      <c r="D93" s="27" t="s">
        <v>26</v>
      </c>
      <c r="E93" s="27" t="s">
        <v>27</v>
      </c>
      <c r="F93" s="26">
        <v>8112553180</v>
      </c>
      <c r="G93" s="27" t="s">
        <v>40</v>
      </c>
      <c r="H93" s="26">
        <v>5007600</v>
      </c>
      <c r="I93" s="26">
        <v>5007600</v>
      </c>
      <c r="J93" s="26">
        <v>5007600</v>
      </c>
      <c r="K93" s="26">
        <v>5007600</v>
      </c>
      <c r="L93" s="26">
        <v>5007600</v>
      </c>
      <c r="M93" s="26">
        <v>5007600</v>
      </c>
      <c r="N93" s="26">
        <v>5007600</v>
      </c>
      <c r="O93" s="26">
        <v>5007600</v>
      </c>
      <c r="P93" s="26">
        <v>5007600</v>
      </c>
      <c r="Q93" s="26">
        <v>5007600</v>
      </c>
      <c r="R93" s="26">
        <v>5007600</v>
      </c>
      <c r="S93" s="26">
        <v>5007600</v>
      </c>
      <c r="T93" s="26">
        <v>5007600</v>
      </c>
      <c r="U93" s="26">
        <v>5007600</v>
      </c>
      <c r="V93" s="26">
        <v>5007600</v>
      </c>
      <c r="W93" s="26">
        <v>5007600</v>
      </c>
      <c r="X93" s="26">
        <v>5007600</v>
      </c>
      <c r="Y93" s="26">
        <v>5007600</v>
      </c>
      <c r="Z93" s="26">
        <v>5007600</v>
      </c>
      <c r="AA93" s="26">
        <v>5007600</v>
      </c>
      <c r="AB93" s="26">
        <v>5007600</v>
      </c>
      <c r="AC93" s="26">
        <v>5007600</v>
      </c>
      <c r="AD93" s="26">
        <v>5007600</v>
      </c>
      <c r="AE93" s="26">
        <v>5007600</v>
      </c>
      <c r="AF93" s="26">
        <v>730000</v>
      </c>
      <c r="AG93" s="26">
        <v>730000</v>
      </c>
      <c r="AH93" s="26">
        <v>730000</v>
      </c>
      <c r="AI93" s="26">
        <v>730000</v>
      </c>
      <c r="AJ93" s="26">
        <v>730000</v>
      </c>
      <c r="AK93" s="26">
        <v>730000</v>
      </c>
      <c r="AL93" s="26">
        <v>730000</v>
      </c>
      <c r="AM93" s="26">
        <v>730000</v>
      </c>
      <c r="AN93" s="26">
        <v>730000</v>
      </c>
      <c r="AO93" s="26">
        <v>730000</v>
      </c>
      <c r="AP93" s="26">
        <v>730000</v>
      </c>
      <c r="AQ93" s="26">
        <v>730000</v>
      </c>
      <c r="AR93" s="26">
        <v>500000</v>
      </c>
      <c r="AS93" s="26">
        <v>500000</v>
      </c>
      <c r="AT93" s="26">
        <v>500000</v>
      </c>
      <c r="AU93" s="26">
        <v>500000</v>
      </c>
      <c r="AV93" s="26">
        <v>500000</v>
      </c>
      <c r="AW93" s="26">
        <v>500000</v>
      </c>
      <c r="AX93" s="26">
        <v>500000</v>
      </c>
      <c r="AY93" s="26">
        <v>500000</v>
      </c>
      <c r="AZ93" s="26">
        <v>500000</v>
      </c>
      <c r="BA93" s="26">
        <v>500000</v>
      </c>
      <c r="BB93" s="26">
        <v>500000</v>
      </c>
      <c r="BC93" s="26">
        <v>500000</v>
      </c>
      <c r="BD93" s="26">
        <v>0</v>
      </c>
      <c r="BE93" s="26">
        <v>0</v>
      </c>
      <c r="BF93" s="26">
        <v>0</v>
      </c>
      <c r="BG93" s="26">
        <v>0</v>
      </c>
      <c r="BH93" s="26">
        <v>0</v>
      </c>
      <c r="BI93" s="26">
        <v>0</v>
      </c>
      <c r="BJ93" s="26">
        <v>0</v>
      </c>
      <c r="BK93" s="26">
        <v>0</v>
      </c>
      <c r="BL93" s="26">
        <v>0</v>
      </c>
      <c r="BM93" s="26">
        <v>0</v>
      </c>
      <c r="BN93" s="26">
        <v>0</v>
      </c>
      <c r="BO93" s="26">
        <v>0</v>
      </c>
      <c r="BP93" s="26">
        <v>1200000</v>
      </c>
      <c r="BQ93" s="26">
        <v>1200000</v>
      </c>
      <c r="BR93" s="26">
        <v>1200000</v>
      </c>
      <c r="BS93" s="26">
        <v>1200000</v>
      </c>
      <c r="BT93" s="26">
        <v>1200000</v>
      </c>
      <c r="BU93" s="26">
        <v>1200000</v>
      </c>
      <c r="BV93" s="26">
        <v>1200000</v>
      </c>
      <c r="BW93" s="26">
        <v>1200000</v>
      </c>
      <c r="BX93" s="26">
        <v>1200000</v>
      </c>
      <c r="BY93" s="26">
        <v>1200000</v>
      </c>
      <c r="BZ93" s="26">
        <v>1200000</v>
      </c>
      <c r="CA93" s="26">
        <v>1200000</v>
      </c>
      <c r="CB93" s="26">
        <v>3500000</v>
      </c>
      <c r="CC93" s="26">
        <v>3500000</v>
      </c>
      <c r="CD93" s="26">
        <v>3500000</v>
      </c>
      <c r="CE93" s="26">
        <v>3500000</v>
      </c>
      <c r="CF93" s="26">
        <v>3500000</v>
      </c>
      <c r="CG93" s="26">
        <v>3500000</v>
      </c>
      <c r="CH93" s="26">
        <v>3500000</v>
      </c>
      <c r="CI93" s="26">
        <v>3500000</v>
      </c>
      <c r="CJ93" s="26">
        <v>3500000</v>
      </c>
      <c r="CK93" s="26">
        <v>3500000</v>
      </c>
      <c r="CL93" s="26">
        <v>3500000</v>
      </c>
      <c r="CM93" s="26">
        <v>3500000</v>
      </c>
      <c r="CN93" s="26">
        <v>5007600</v>
      </c>
      <c r="CO93" s="26">
        <v>21</v>
      </c>
      <c r="CP93" s="26">
        <v>5007600</v>
      </c>
      <c r="CQ93" s="26">
        <v>730000</v>
      </c>
      <c r="CR93" s="26">
        <v>500000</v>
      </c>
      <c r="CS93" s="26">
        <v>1200000</v>
      </c>
      <c r="CT93" s="26">
        <v>3500000</v>
      </c>
      <c r="CU93" s="26">
        <v>5930000</v>
      </c>
    </row>
    <row r="94" spans="1:99" x14ac:dyDescent="0.3">
      <c r="A94" s="26">
        <v>8</v>
      </c>
      <c r="B94" s="27" t="s">
        <v>38</v>
      </c>
      <c r="C94" s="27" t="s">
        <v>39</v>
      </c>
      <c r="D94" s="27" t="s">
        <v>26</v>
      </c>
      <c r="E94" s="27" t="s">
        <v>27</v>
      </c>
      <c r="F94" s="26">
        <v>8112553180</v>
      </c>
      <c r="G94" s="27" t="s">
        <v>40</v>
      </c>
      <c r="H94" s="26">
        <v>5007600</v>
      </c>
      <c r="I94" s="26">
        <v>5007600</v>
      </c>
      <c r="J94" s="26">
        <v>5007600</v>
      </c>
      <c r="K94" s="26">
        <v>5007600</v>
      </c>
      <c r="L94" s="26">
        <v>5007600</v>
      </c>
      <c r="M94" s="26">
        <v>5007600</v>
      </c>
      <c r="N94" s="26">
        <v>5007600</v>
      </c>
      <c r="O94" s="26">
        <v>5007600</v>
      </c>
      <c r="P94" s="26">
        <v>5007600</v>
      </c>
      <c r="Q94" s="26">
        <v>5007600</v>
      </c>
      <c r="R94" s="26">
        <v>5007600</v>
      </c>
      <c r="S94" s="26">
        <v>5007600</v>
      </c>
      <c r="T94" s="26">
        <v>5007600</v>
      </c>
      <c r="U94" s="26">
        <v>5007600</v>
      </c>
      <c r="V94" s="26">
        <v>5007600</v>
      </c>
      <c r="W94" s="26">
        <v>5007600</v>
      </c>
      <c r="X94" s="26">
        <v>5007600</v>
      </c>
      <c r="Y94" s="26">
        <v>5007600</v>
      </c>
      <c r="Z94" s="26">
        <v>5007600</v>
      </c>
      <c r="AA94" s="26">
        <v>5007600</v>
      </c>
      <c r="AB94" s="26">
        <v>5007600</v>
      </c>
      <c r="AC94" s="26">
        <v>5007600</v>
      </c>
      <c r="AD94" s="26">
        <v>5007600</v>
      </c>
      <c r="AE94" s="26">
        <v>5007600</v>
      </c>
      <c r="AF94" s="26">
        <v>730000</v>
      </c>
      <c r="AG94" s="26">
        <v>730000</v>
      </c>
      <c r="AH94" s="26">
        <v>730000</v>
      </c>
      <c r="AI94" s="26">
        <v>730000</v>
      </c>
      <c r="AJ94" s="26">
        <v>730000</v>
      </c>
      <c r="AK94" s="26">
        <v>730000</v>
      </c>
      <c r="AL94" s="26">
        <v>730000</v>
      </c>
      <c r="AM94" s="26">
        <v>730000</v>
      </c>
      <c r="AN94" s="26">
        <v>730000</v>
      </c>
      <c r="AO94" s="26">
        <v>730000</v>
      </c>
      <c r="AP94" s="26">
        <v>730000</v>
      </c>
      <c r="AQ94" s="26">
        <v>730000</v>
      </c>
      <c r="AR94" s="26">
        <v>500000</v>
      </c>
      <c r="AS94" s="26">
        <v>500000</v>
      </c>
      <c r="AT94" s="26">
        <v>500000</v>
      </c>
      <c r="AU94" s="26">
        <v>500000</v>
      </c>
      <c r="AV94" s="26">
        <v>500000</v>
      </c>
      <c r="AW94" s="26">
        <v>500000</v>
      </c>
      <c r="AX94" s="26">
        <v>500000</v>
      </c>
      <c r="AY94" s="26">
        <v>500000</v>
      </c>
      <c r="AZ94" s="26">
        <v>500000</v>
      </c>
      <c r="BA94" s="26">
        <v>500000</v>
      </c>
      <c r="BB94" s="26">
        <v>500000</v>
      </c>
      <c r="BC94" s="26">
        <v>500000</v>
      </c>
      <c r="BD94" s="26">
        <v>0</v>
      </c>
      <c r="BE94" s="26">
        <v>0</v>
      </c>
      <c r="BF94" s="26">
        <v>0</v>
      </c>
      <c r="BG94" s="26">
        <v>0</v>
      </c>
      <c r="BH94" s="26">
        <v>0</v>
      </c>
      <c r="BI94" s="26">
        <v>0</v>
      </c>
      <c r="BJ94" s="26">
        <v>0</v>
      </c>
      <c r="BK94" s="26">
        <v>0</v>
      </c>
      <c r="BL94" s="26">
        <v>0</v>
      </c>
      <c r="BM94" s="26">
        <v>0</v>
      </c>
      <c r="BN94" s="26">
        <v>0</v>
      </c>
      <c r="BO94" s="26">
        <v>0</v>
      </c>
      <c r="BP94" s="26">
        <v>1200000</v>
      </c>
      <c r="BQ94" s="26">
        <v>1200000</v>
      </c>
      <c r="BR94" s="26">
        <v>1200000</v>
      </c>
      <c r="BS94" s="26">
        <v>1200000</v>
      </c>
      <c r="BT94" s="26">
        <v>1200000</v>
      </c>
      <c r="BU94" s="26">
        <v>1200000</v>
      </c>
      <c r="BV94" s="26">
        <v>1200000</v>
      </c>
      <c r="BW94" s="26">
        <v>1200000</v>
      </c>
      <c r="BX94" s="26">
        <v>1200000</v>
      </c>
      <c r="BY94" s="26">
        <v>1200000</v>
      </c>
      <c r="BZ94" s="26">
        <v>1200000</v>
      </c>
      <c r="CA94" s="26">
        <v>1200000</v>
      </c>
      <c r="CB94" s="26">
        <v>3500000</v>
      </c>
      <c r="CC94" s="26">
        <v>3500000</v>
      </c>
      <c r="CD94" s="26">
        <v>3500000</v>
      </c>
      <c r="CE94" s="26">
        <v>3500000</v>
      </c>
      <c r="CF94" s="26">
        <v>3500000</v>
      </c>
      <c r="CG94" s="26">
        <v>3500000</v>
      </c>
      <c r="CH94" s="26">
        <v>3500000</v>
      </c>
      <c r="CI94" s="26">
        <v>3500000</v>
      </c>
      <c r="CJ94" s="26">
        <v>3500000</v>
      </c>
      <c r="CK94" s="26">
        <v>3500000</v>
      </c>
      <c r="CL94" s="26">
        <v>3500000</v>
      </c>
      <c r="CM94" s="26">
        <v>3500000</v>
      </c>
      <c r="CN94" s="26">
        <v>5007600</v>
      </c>
      <c r="CO94" s="26">
        <v>23</v>
      </c>
      <c r="CP94" s="26">
        <v>5007600</v>
      </c>
      <c r="CQ94" s="26">
        <v>730000</v>
      </c>
      <c r="CR94" s="26">
        <v>500000</v>
      </c>
      <c r="CS94" s="26">
        <v>1200000</v>
      </c>
      <c r="CT94" s="26">
        <v>3500000</v>
      </c>
      <c r="CU94" s="26">
        <v>5930000</v>
      </c>
    </row>
    <row r="95" spans="1:99" x14ac:dyDescent="0.3">
      <c r="A95" s="26">
        <v>8</v>
      </c>
      <c r="B95" s="27" t="s">
        <v>38</v>
      </c>
      <c r="C95" s="27" t="s">
        <v>39</v>
      </c>
      <c r="D95" s="27" t="s">
        <v>26</v>
      </c>
      <c r="E95" s="27" t="s">
        <v>27</v>
      </c>
      <c r="F95" s="26">
        <v>8112553180</v>
      </c>
      <c r="G95" s="27" t="s">
        <v>40</v>
      </c>
      <c r="H95" s="26">
        <v>5007600</v>
      </c>
      <c r="I95" s="26">
        <v>5007600</v>
      </c>
      <c r="J95" s="26">
        <v>5007600</v>
      </c>
      <c r="K95" s="26">
        <v>5007600</v>
      </c>
      <c r="L95" s="26">
        <v>5007600</v>
      </c>
      <c r="M95" s="26">
        <v>5007600</v>
      </c>
      <c r="N95" s="26">
        <v>5007600</v>
      </c>
      <c r="O95" s="26">
        <v>5007600</v>
      </c>
      <c r="P95" s="26">
        <v>5007600</v>
      </c>
      <c r="Q95" s="26">
        <v>5007600</v>
      </c>
      <c r="R95" s="26">
        <v>5007600</v>
      </c>
      <c r="S95" s="26">
        <v>5007600</v>
      </c>
      <c r="T95" s="26">
        <v>5007600</v>
      </c>
      <c r="U95" s="26">
        <v>5007600</v>
      </c>
      <c r="V95" s="26">
        <v>5007600</v>
      </c>
      <c r="W95" s="26">
        <v>5007600</v>
      </c>
      <c r="X95" s="26">
        <v>5007600</v>
      </c>
      <c r="Y95" s="26">
        <v>5007600</v>
      </c>
      <c r="Z95" s="26">
        <v>5007600</v>
      </c>
      <c r="AA95" s="26">
        <v>5007600</v>
      </c>
      <c r="AB95" s="26">
        <v>5007600</v>
      </c>
      <c r="AC95" s="26">
        <v>5007600</v>
      </c>
      <c r="AD95" s="26">
        <v>5007600</v>
      </c>
      <c r="AE95" s="26">
        <v>5007600</v>
      </c>
      <c r="AF95" s="26">
        <v>730000</v>
      </c>
      <c r="AG95" s="26">
        <v>730000</v>
      </c>
      <c r="AH95" s="26">
        <v>730000</v>
      </c>
      <c r="AI95" s="26">
        <v>730000</v>
      </c>
      <c r="AJ95" s="26">
        <v>730000</v>
      </c>
      <c r="AK95" s="26">
        <v>730000</v>
      </c>
      <c r="AL95" s="26">
        <v>730000</v>
      </c>
      <c r="AM95" s="26">
        <v>730000</v>
      </c>
      <c r="AN95" s="26">
        <v>730000</v>
      </c>
      <c r="AO95" s="26">
        <v>730000</v>
      </c>
      <c r="AP95" s="26">
        <v>730000</v>
      </c>
      <c r="AQ95" s="26">
        <v>730000</v>
      </c>
      <c r="AR95" s="26">
        <v>500000</v>
      </c>
      <c r="AS95" s="26">
        <v>500000</v>
      </c>
      <c r="AT95" s="26">
        <v>500000</v>
      </c>
      <c r="AU95" s="26">
        <v>500000</v>
      </c>
      <c r="AV95" s="26">
        <v>500000</v>
      </c>
      <c r="AW95" s="26">
        <v>500000</v>
      </c>
      <c r="AX95" s="26">
        <v>500000</v>
      </c>
      <c r="AY95" s="26">
        <v>500000</v>
      </c>
      <c r="AZ95" s="26">
        <v>500000</v>
      </c>
      <c r="BA95" s="26">
        <v>500000</v>
      </c>
      <c r="BB95" s="26">
        <v>500000</v>
      </c>
      <c r="BC95" s="26">
        <v>500000</v>
      </c>
      <c r="BD95" s="26">
        <v>0</v>
      </c>
      <c r="BE95" s="26">
        <v>0</v>
      </c>
      <c r="BF95" s="26">
        <v>0</v>
      </c>
      <c r="BG95" s="26">
        <v>0</v>
      </c>
      <c r="BH95" s="26">
        <v>0</v>
      </c>
      <c r="BI95" s="26">
        <v>0</v>
      </c>
      <c r="BJ95" s="26">
        <v>0</v>
      </c>
      <c r="BK95" s="26">
        <v>0</v>
      </c>
      <c r="BL95" s="26">
        <v>0</v>
      </c>
      <c r="BM95" s="26">
        <v>0</v>
      </c>
      <c r="BN95" s="26">
        <v>0</v>
      </c>
      <c r="BO95" s="26">
        <v>0</v>
      </c>
      <c r="BP95" s="26">
        <v>1200000</v>
      </c>
      <c r="BQ95" s="26">
        <v>1200000</v>
      </c>
      <c r="BR95" s="26">
        <v>1200000</v>
      </c>
      <c r="BS95" s="26">
        <v>1200000</v>
      </c>
      <c r="BT95" s="26">
        <v>1200000</v>
      </c>
      <c r="BU95" s="26">
        <v>1200000</v>
      </c>
      <c r="BV95" s="26">
        <v>1200000</v>
      </c>
      <c r="BW95" s="26">
        <v>1200000</v>
      </c>
      <c r="BX95" s="26">
        <v>1200000</v>
      </c>
      <c r="BY95" s="26">
        <v>1200000</v>
      </c>
      <c r="BZ95" s="26">
        <v>1200000</v>
      </c>
      <c r="CA95" s="26">
        <v>1200000</v>
      </c>
      <c r="CB95" s="26">
        <v>3500000</v>
      </c>
      <c r="CC95" s="26">
        <v>3500000</v>
      </c>
      <c r="CD95" s="26">
        <v>3500000</v>
      </c>
      <c r="CE95" s="26">
        <v>3500000</v>
      </c>
      <c r="CF95" s="26">
        <v>3500000</v>
      </c>
      <c r="CG95" s="26">
        <v>3500000</v>
      </c>
      <c r="CH95" s="26">
        <v>3500000</v>
      </c>
      <c r="CI95" s="26">
        <v>3500000</v>
      </c>
      <c r="CJ95" s="26">
        <v>3500000</v>
      </c>
      <c r="CK95" s="26">
        <v>3500000</v>
      </c>
      <c r="CL95" s="26">
        <v>3500000</v>
      </c>
      <c r="CM95" s="26">
        <v>3500000</v>
      </c>
      <c r="CN95" s="26">
        <v>5007600</v>
      </c>
      <c r="CO95" s="26">
        <v>22</v>
      </c>
      <c r="CP95" s="26">
        <v>5007600</v>
      </c>
      <c r="CQ95" s="26">
        <v>730000</v>
      </c>
      <c r="CR95" s="26">
        <v>500000</v>
      </c>
      <c r="CS95" s="26">
        <v>1200000</v>
      </c>
      <c r="CT95" s="26">
        <v>3500000</v>
      </c>
      <c r="CU95" s="26">
        <v>5930000</v>
      </c>
    </row>
    <row r="96" spans="1:99" x14ac:dyDescent="0.3">
      <c r="A96" s="26">
        <v>8</v>
      </c>
      <c r="B96" s="27" t="s">
        <v>38</v>
      </c>
      <c r="C96" s="27" t="s">
        <v>39</v>
      </c>
      <c r="D96" s="27" t="s">
        <v>26</v>
      </c>
      <c r="E96" s="27" t="s">
        <v>27</v>
      </c>
      <c r="F96" s="26">
        <v>8112553180</v>
      </c>
      <c r="G96" s="27" t="s">
        <v>40</v>
      </c>
      <c r="H96" s="26">
        <v>5007600</v>
      </c>
      <c r="I96" s="26">
        <v>5007600</v>
      </c>
      <c r="J96" s="26">
        <v>5007600</v>
      </c>
      <c r="K96" s="26">
        <v>5007600</v>
      </c>
      <c r="L96" s="26">
        <v>5007600</v>
      </c>
      <c r="M96" s="26">
        <v>5007600</v>
      </c>
      <c r="N96" s="26">
        <v>5007600</v>
      </c>
      <c r="O96" s="26">
        <v>5007600</v>
      </c>
      <c r="P96" s="26">
        <v>5007600</v>
      </c>
      <c r="Q96" s="26">
        <v>5007600</v>
      </c>
      <c r="R96" s="26">
        <v>5007600</v>
      </c>
      <c r="S96" s="26">
        <v>5007600</v>
      </c>
      <c r="T96" s="26">
        <v>5007600</v>
      </c>
      <c r="U96" s="26">
        <v>5007600</v>
      </c>
      <c r="V96" s="26">
        <v>5007600</v>
      </c>
      <c r="W96" s="26">
        <v>5007600</v>
      </c>
      <c r="X96" s="26">
        <v>5007600</v>
      </c>
      <c r="Y96" s="26">
        <v>5007600</v>
      </c>
      <c r="Z96" s="26">
        <v>5007600</v>
      </c>
      <c r="AA96" s="26">
        <v>5007600</v>
      </c>
      <c r="AB96" s="26">
        <v>5007600</v>
      </c>
      <c r="AC96" s="26">
        <v>5007600</v>
      </c>
      <c r="AD96" s="26">
        <v>5007600</v>
      </c>
      <c r="AE96" s="26">
        <v>5007600</v>
      </c>
      <c r="AF96" s="26">
        <v>730000</v>
      </c>
      <c r="AG96" s="26">
        <v>730000</v>
      </c>
      <c r="AH96" s="26">
        <v>730000</v>
      </c>
      <c r="AI96" s="26">
        <v>730000</v>
      </c>
      <c r="AJ96" s="26">
        <v>730000</v>
      </c>
      <c r="AK96" s="26">
        <v>730000</v>
      </c>
      <c r="AL96" s="26">
        <v>730000</v>
      </c>
      <c r="AM96" s="26">
        <v>730000</v>
      </c>
      <c r="AN96" s="26">
        <v>730000</v>
      </c>
      <c r="AO96" s="26">
        <v>730000</v>
      </c>
      <c r="AP96" s="26">
        <v>730000</v>
      </c>
      <c r="AQ96" s="26">
        <v>730000</v>
      </c>
      <c r="AR96" s="26">
        <v>500000</v>
      </c>
      <c r="AS96" s="26">
        <v>500000</v>
      </c>
      <c r="AT96" s="26">
        <v>500000</v>
      </c>
      <c r="AU96" s="26">
        <v>500000</v>
      </c>
      <c r="AV96" s="26">
        <v>500000</v>
      </c>
      <c r="AW96" s="26">
        <v>500000</v>
      </c>
      <c r="AX96" s="26">
        <v>500000</v>
      </c>
      <c r="AY96" s="26">
        <v>500000</v>
      </c>
      <c r="AZ96" s="26">
        <v>500000</v>
      </c>
      <c r="BA96" s="26">
        <v>500000</v>
      </c>
      <c r="BB96" s="26">
        <v>500000</v>
      </c>
      <c r="BC96" s="26">
        <v>500000</v>
      </c>
      <c r="BD96" s="26">
        <v>0</v>
      </c>
      <c r="BE96" s="26">
        <v>0</v>
      </c>
      <c r="BF96" s="26">
        <v>0</v>
      </c>
      <c r="BG96" s="26">
        <v>0</v>
      </c>
      <c r="BH96" s="26">
        <v>0</v>
      </c>
      <c r="BI96" s="26">
        <v>0</v>
      </c>
      <c r="BJ96" s="26">
        <v>0</v>
      </c>
      <c r="BK96" s="26">
        <v>0</v>
      </c>
      <c r="BL96" s="26">
        <v>0</v>
      </c>
      <c r="BM96" s="26">
        <v>0</v>
      </c>
      <c r="BN96" s="26">
        <v>0</v>
      </c>
      <c r="BO96" s="26">
        <v>0</v>
      </c>
      <c r="BP96" s="26">
        <v>1200000</v>
      </c>
      <c r="BQ96" s="26">
        <v>1200000</v>
      </c>
      <c r="BR96" s="26">
        <v>1200000</v>
      </c>
      <c r="BS96" s="26">
        <v>1200000</v>
      </c>
      <c r="BT96" s="26">
        <v>1200000</v>
      </c>
      <c r="BU96" s="26">
        <v>1200000</v>
      </c>
      <c r="BV96" s="26">
        <v>1200000</v>
      </c>
      <c r="BW96" s="26">
        <v>1200000</v>
      </c>
      <c r="BX96" s="26">
        <v>1200000</v>
      </c>
      <c r="BY96" s="26">
        <v>1200000</v>
      </c>
      <c r="BZ96" s="26">
        <v>1200000</v>
      </c>
      <c r="CA96" s="26">
        <v>1200000</v>
      </c>
      <c r="CB96" s="26">
        <v>3500000</v>
      </c>
      <c r="CC96" s="26">
        <v>3500000</v>
      </c>
      <c r="CD96" s="26">
        <v>3500000</v>
      </c>
      <c r="CE96" s="26">
        <v>3500000</v>
      </c>
      <c r="CF96" s="26">
        <v>3500000</v>
      </c>
      <c r="CG96" s="26">
        <v>3500000</v>
      </c>
      <c r="CH96" s="26">
        <v>3500000</v>
      </c>
      <c r="CI96" s="26">
        <v>3500000</v>
      </c>
      <c r="CJ96" s="26">
        <v>3500000</v>
      </c>
      <c r="CK96" s="26">
        <v>3500000</v>
      </c>
      <c r="CL96" s="26">
        <v>3500000</v>
      </c>
      <c r="CM96" s="26">
        <v>3500000</v>
      </c>
      <c r="CN96" s="26">
        <v>5007600</v>
      </c>
      <c r="CO96" s="26">
        <v>22</v>
      </c>
      <c r="CP96" s="26">
        <v>5007600</v>
      </c>
      <c r="CQ96" s="26">
        <v>730000</v>
      </c>
      <c r="CR96" s="26">
        <v>500000</v>
      </c>
      <c r="CS96" s="26">
        <v>1200000</v>
      </c>
      <c r="CT96" s="26">
        <v>3500000</v>
      </c>
      <c r="CU96" s="26">
        <v>5930000</v>
      </c>
    </row>
    <row r="97" spans="1:99" x14ac:dyDescent="0.3">
      <c r="A97" s="26">
        <v>8</v>
      </c>
      <c r="B97" s="27" t="s">
        <v>38</v>
      </c>
      <c r="C97" s="27" t="s">
        <v>39</v>
      </c>
      <c r="D97" s="27" t="s">
        <v>26</v>
      </c>
      <c r="E97" s="27" t="s">
        <v>27</v>
      </c>
      <c r="F97" s="26">
        <v>8112553180</v>
      </c>
      <c r="G97" s="27" t="s">
        <v>40</v>
      </c>
      <c r="H97" s="26">
        <v>5007600</v>
      </c>
      <c r="I97" s="26">
        <v>5007600</v>
      </c>
      <c r="J97" s="26">
        <v>5007600</v>
      </c>
      <c r="K97" s="26">
        <v>5007600</v>
      </c>
      <c r="L97" s="26">
        <v>5007600</v>
      </c>
      <c r="M97" s="26">
        <v>5007600</v>
      </c>
      <c r="N97" s="26">
        <v>5007600</v>
      </c>
      <c r="O97" s="26">
        <v>5007600</v>
      </c>
      <c r="P97" s="26">
        <v>5007600</v>
      </c>
      <c r="Q97" s="26">
        <v>5007600</v>
      </c>
      <c r="R97" s="26">
        <v>5007600</v>
      </c>
      <c r="S97" s="26">
        <v>5007600</v>
      </c>
      <c r="T97" s="26">
        <v>5007600</v>
      </c>
      <c r="U97" s="26">
        <v>5007600</v>
      </c>
      <c r="V97" s="26">
        <v>5007600</v>
      </c>
      <c r="W97" s="26">
        <v>5007600</v>
      </c>
      <c r="X97" s="26">
        <v>5007600</v>
      </c>
      <c r="Y97" s="26">
        <v>5007600</v>
      </c>
      <c r="Z97" s="26">
        <v>5007600</v>
      </c>
      <c r="AA97" s="26">
        <v>5007600</v>
      </c>
      <c r="AB97" s="26">
        <v>5007600</v>
      </c>
      <c r="AC97" s="26">
        <v>5007600</v>
      </c>
      <c r="AD97" s="26">
        <v>5007600</v>
      </c>
      <c r="AE97" s="26">
        <v>5007600</v>
      </c>
      <c r="AF97" s="26">
        <v>730000</v>
      </c>
      <c r="AG97" s="26">
        <v>730000</v>
      </c>
      <c r="AH97" s="26">
        <v>730000</v>
      </c>
      <c r="AI97" s="26">
        <v>730000</v>
      </c>
      <c r="AJ97" s="26">
        <v>730000</v>
      </c>
      <c r="AK97" s="26">
        <v>730000</v>
      </c>
      <c r="AL97" s="26">
        <v>730000</v>
      </c>
      <c r="AM97" s="26">
        <v>730000</v>
      </c>
      <c r="AN97" s="26">
        <v>730000</v>
      </c>
      <c r="AO97" s="26">
        <v>730000</v>
      </c>
      <c r="AP97" s="26">
        <v>730000</v>
      </c>
      <c r="AQ97" s="26">
        <v>730000</v>
      </c>
      <c r="AR97" s="26">
        <v>500000</v>
      </c>
      <c r="AS97" s="26">
        <v>500000</v>
      </c>
      <c r="AT97" s="26">
        <v>500000</v>
      </c>
      <c r="AU97" s="26">
        <v>500000</v>
      </c>
      <c r="AV97" s="26">
        <v>500000</v>
      </c>
      <c r="AW97" s="26">
        <v>500000</v>
      </c>
      <c r="AX97" s="26">
        <v>500000</v>
      </c>
      <c r="AY97" s="26">
        <v>500000</v>
      </c>
      <c r="AZ97" s="26">
        <v>500000</v>
      </c>
      <c r="BA97" s="26">
        <v>500000</v>
      </c>
      <c r="BB97" s="26">
        <v>500000</v>
      </c>
      <c r="BC97" s="26">
        <v>500000</v>
      </c>
      <c r="BD97" s="26">
        <v>0</v>
      </c>
      <c r="BE97" s="26">
        <v>0</v>
      </c>
      <c r="BF97" s="26">
        <v>0</v>
      </c>
      <c r="BG97" s="26">
        <v>0</v>
      </c>
      <c r="BH97" s="26">
        <v>0</v>
      </c>
      <c r="BI97" s="26">
        <v>0</v>
      </c>
      <c r="BJ97" s="26">
        <v>0</v>
      </c>
      <c r="BK97" s="26">
        <v>0</v>
      </c>
      <c r="BL97" s="26">
        <v>0</v>
      </c>
      <c r="BM97" s="26">
        <v>0</v>
      </c>
      <c r="BN97" s="26">
        <v>0</v>
      </c>
      <c r="BO97" s="26">
        <v>0</v>
      </c>
      <c r="BP97" s="26">
        <v>1200000</v>
      </c>
      <c r="BQ97" s="26">
        <v>1200000</v>
      </c>
      <c r="BR97" s="26">
        <v>1200000</v>
      </c>
      <c r="BS97" s="26">
        <v>1200000</v>
      </c>
      <c r="BT97" s="26">
        <v>1200000</v>
      </c>
      <c r="BU97" s="26">
        <v>1200000</v>
      </c>
      <c r="BV97" s="26">
        <v>1200000</v>
      </c>
      <c r="BW97" s="26">
        <v>1200000</v>
      </c>
      <c r="BX97" s="26">
        <v>1200000</v>
      </c>
      <c r="BY97" s="26">
        <v>1200000</v>
      </c>
      <c r="BZ97" s="26">
        <v>1200000</v>
      </c>
      <c r="CA97" s="26">
        <v>1200000</v>
      </c>
      <c r="CB97" s="26">
        <v>3500000</v>
      </c>
      <c r="CC97" s="26">
        <v>3500000</v>
      </c>
      <c r="CD97" s="26">
        <v>3500000</v>
      </c>
      <c r="CE97" s="26">
        <v>3500000</v>
      </c>
      <c r="CF97" s="26">
        <v>3500000</v>
      </c>
      <c r="CG97" s="26">
        <v>3500000</v>
      </c>
      <c r="CH97" s="26">
        <v>3500000</v>
      </c>
      <c r="CI97" s="26">
        <v>3500000</v>
      </c>
      <c r="CJ97" s="26">
        <v>3500000</v>
      </c>
      <c r="CK97" s="26">
        <v>3500000</v>
      </c>
      <c r="CL97" s="26">
        <v>3500000</v>
      </c>
      <c r="CM97" s="26">
        <v>3500000</v>
      </c>
      <c r="CN97" s="26">
        <v>5007600</v>
      </c>
      <c r="CO97" s="26">
        <v>21</v>
      </c>
      <c r="CP97" s="26">
        <v>5007600</v>
      </c>
      <c r="CQ97" s="26">
        <v>730000</v>
      </c>
      <c r="CR97" s="26">
        <v>500000</v>
      </c>
      <c r="CS97" s="26">
        <v>1200000</v>
      </c>
      <c r="CT97" s="26">
        <v>3500000</v>
      </c>
      <c r="CU97" s="26">
        <v>5930000</v>
      </c>
    </row>
    <row r="98" spans="1:99" x14ac:dyDescent="0.3">
      <c r="A98" s="26">
        <v>9</v>
      </c>
      <c r="B98" s="27" t="s">
        <v>41</v>
      </c>
      <c r="C98" s="27" t="s">
        <v>42</v>
      </c>
      <c r="D98" s="27" t="s">
        <v>26</v>
      </c>
      <c r="E98" s="27" t="s">
        <v>27</v>
      </c>
      <c r="F98" s="26">
        <v>8444465474</v>
      </c>
      <c r="G98" s="27" t="s">
        <v>43</v>
      </c>
      <c r="H98" s="26">
        <v>5007600</v>
      </c>
      <c r="I98" s="26">
        <v>5007600</v>
      </c>
      <c r="J98" s="26">
        <v>5007600</v>
      </c>
      <c r="K98" s="26">
        <v>5007600</v>
      </c>
      <c r="L98" s="26">
        <v>5007600</v>
      </c>
      <c r="M98" s="26">
        <v>5007600</v>
      </c>
      <c r="N98" s="26">
        <v>5007600</v>
      </c>
      <c r="O98" s="26">
        <v>5007600</v>
      </c>
      <c r="P98" s="26">
        <v>5007600</v>
      </c>
      <c r="Q98" s="26">
        <v>5007600</v>
      </c>
      <c r="R98" s="26">
        <v>5007600</v>
      </c>
      <c r="S98" s="26">
        <v>5007600</v>
      </c>
      <c r="T98" s="26">
        <v>5007600</v>
      </c>
      <c r="U98" s="26">
        <v>5007600</v>
      </c>
      <c r="V98" s="26">
        <v>5007600</v>
      </c>
      <c r="W98" s="26">
        <v>5007600</v>
      </c>
      <c r="X98" s="26">
        <v>5007600</v>
      </c>
      <c r="Y98" s="26">
        <v>5007600</v>
      </c>
      <c r="Z98" s="26">
        <v>5007600</v>
      </c>
      <c r="AA98" s="26">
        <v>5007600</v>
      </c>
      <c r="AB98" s="26">
        <v>5007600</v>
      </c>
      <c r="AC98" s="26">
        <v>5007600</v>
      </c>
      <c r="AD98" s="26">
        <v>5007600</v>
      </c>
      <c r="AE98" s="26">
        <v>5007600</v>
      </c>
      <c r="AF98" s="26">
        <v>730000</v>
      </c>
      <c r="AG98" s="26">
        <v>730000</v>
      </c>
      <c r="AH98" s="26">
        <v>730000</v>
      </c>
      <c r="AI98" s="26">
        <v>730000</v>
      </c>
      <c r="AJ98" s="26">
        <v>730000</v>
      </c>
      <c r="AK98" s="26">
        <v>730000</v>
      </c>
      <c r="AL98" s="26">
        <v>730000</v>
      </c>
      <c r="AM98" s="26">
        <v>730000</v>
      </c>
      <c r="AN98" s="26">
        <v>730000</v>
      </c>
      <c r="AO98" s="26">
        <v>730000</v>
      </c>
      <c r="AP98" s="26">
        <v>730000</v>
      </c>
      <c r="AQ98" s="26">
        <v>730000</v>
      </c>
      <c r="AR98" s="26">
        <v>500000</v>
      </c>
      <c r="AS98" s="26">
        <v>500000</v>
      </c>
      <c r="AT98" s="26">
        <v>500000</v>
      </c>
      <c r="AU98" s="26">
        <v>500000</v>
      </c>
      <c r="AV98" s="26">
        <v>500000</v>
      </c>
      <c r="AW98" s="26">
        <v>500000</v>
      </c>
      <c r="AX98" s="26">
        <v>500000</v>
      </c>
      <c r="AY98" s="26">
        <v>500000</v>
      </c>
      <c r="AZ98" s="26">
        <v>500000</v>
      </c>
      <c r="BA98" s="26">
        <v>500000</v>
      </c>
      <c r="BB98" s="26">
        <v>500000</v>
      </c>
      <c r="BC98" s="26">
        <v>500000</v>
      </c>
      <c r="BD98" s="26">
        <v>0</v>
      </c>
      <c r="BE98" s="26">
        <v>0</v>
      </c>
      <c r="BF98" s="26">
        <v>0</v>
      </c>
      <c r="BG98" s="26">
        <v>0</v>
      </c>
      <c r="BH98" s="26">
        <v>0</v>
      </c>
      <c r="BI98" s="26">
        <v>0</v>
      </c>
      <c r="BJ98" s="26">
        <v>0</v>
      </c>
      <c r="BK98" s="26">
        <v>0</v>
      </c>
      <c r="BL98" s="26">
        <v>0</v>
      </c>
      <c r="BM98" s="26">
        <v>0</v>
      </c>
      <c r="BN98" s="26">
        <v>0</v>
      </c>
      <c r="BO98" s="26">
        <v>0</v>
      </c>
      <c r="BP98" s="26">
        <v>1200000</v>
      </c>
      <c r="BQ98" s="26">
        <v>1200000</v>
      </c>
      <c r="BR98" s="26">
        <v>1200000</v>
      </c>
      <c r="BS98" s="26">
        <v>1200000</v>
      </c>
      <c r="BT98" s="26">
        <v>1200000</v>
      </c>
      <c r="BU98" s="26">
        <v>1200000</v>
      </c>
      <c r="BV98" s="26">
        <v>1200000</v>
      </c>
      <c r="BW98" s="26">
        <v>1200000</v>
      </c>
      <c r="BX98" s="26">
        <v>1200000</v>
      </c>
      <c r="BY98" s="26">
        <v>1200000</v>
      </c>
      <c r="BZ98" s="26">
        <v>1200000</v>
      </c>
      <c r="CA98" s="26">
        <v>1200000</v>
      </c>
      <c r="CB98" s="26">
        <v>3500000</v>
      </c>
      <c r="CC98" s="26">
        <v>3500000</v>
      </c>
      <c r="CD98" s="26">
        <v>3500000</v>
      </c>
      <c r="CE98" s="26">
        <v>3500000</v>
      </c>
      <c r="CF98" s="26">
        <v>3500000</v>
      </c>
      <c r="CG98" s="26">
        <v>3500000</v>
      </c>
      <c r="CH98" s="26">
        <v>3500000</v>
      </c>
      <c r="CI98" s="26">
        <v>3500000</v>
      </c>
      <c r="CJ98" s="26">
        <v>3500000</v>
      </c>
      <c r="CK98" s="26">
        <v>3500000</v>
      </c>
      <c r="CL98" s="26">
        <v>3500000</v>
      </c>
      <c r="CM98" s="26">
        <v>3500000</v>
      </c>
      <c r="CN98" s="26">
        <v>5007600</v>
      </c>
      <c r="CO98" s="26">
        <v>21</v>
      </c>
      <c r="CP98" s="26">
        <v>5007600</v>
      </c>
      <c r="CQ98" s="26">
        <v>730000</v>
      </c>
      <c r="CR98" s="26">
        <v>500000</v>
      </c>
      <c r="CS98" s="26">
        <v>1200000</v>
      </c>
      <c r="CT98" s="26">
        <v>3500000</v>
      </c>
      <c r="CU98" s="26">
        <v>5930000</v>
      </c>
    </row>
    <row r="99" spans="1:99" x14ac:dyDescent="0.3">
      <c r="A99" s="26">
        <v>9</v>
      </c>
      <c r="B99" s="27" t="s">
        <v>41</v>
      </c>
      <c r="C99" s="27" t="s">
        <v>42</v>
      </c>
      <c r="D99" s="27" t="s">
        <v>26</v>
      </c>
      <c r="E99" s="27" t="s">
        <v>27</v>
      </c>
      <c r="F99" s="26">
        <v>8444465474</v>
      </c>
      <c r="G99" s="27" t="s">
        <v>43</v>
      </c>
      <c r="H99" s="26">
        <v>5007600</v>
      </c>
      <c r="I99" s="26">
        <v>5007600</v>
      </c>
      <c r="J99" s="26">
        <v>5007600</v>
      </c>
      <c r="K99" s="26">
        <v>5007600</v>
      </c>
      <c r="L99" s="26">
        <v>5007600</v>
      </c>
      <c r="M99" s="26">
        <v>5007600</v>
      </c>
      <c r="N99" s="26">
        <v>5007600</v>
      </c>
      <c r="O99" s="26">
        <v>5007600</v>
      </c>
      <c r="P99" s="26">
        <v>5007600</v>
      </c>
      <c r="Q99" s="26">
        <v>5007600</v>
      </c>
      <c r="R99" s="26">
        <v>5007600</v>
      </c>
      <c r="S99" s="26">
        <v>5007600</v>
      </c>
      <c r="T99" s="26">
        <v>5007600</v>
      </c>
      <c r="U99" s="26">
        <v>5007600</v>
      </c>
      <c r="V99" s="26">
        <v>5007600</v>
      </c>
      <c r="W99" s="26">
        <v>5007600</v>
      </c>
      <c r="X99" s="26">
        <v>5007600</v>
      </c>
      <c r="Y99" s="26">
        <v>5007600</v>
      </c>
      <c r="Z99" s="26">
        <v>5007600</v>
      </c>
      <c r="AA99" s="26">
        <v>5007600</v>
      </c>
      <c r="AB99" s="26">
        <v>5007600</v>
      </c>
      <c r="AC99" s="26">
        <v>5007600</v>
      </c>
      <c r="AD99" s="26">
        <v>5007600</v>
      </c>
      <c r="AE99" s="26">
        <v>5007600</v>
      </c>
      <c r="AF99" s="26">
        <v>730000</v>
      </c>
      <c r="AG99" s="26">
        <v>730000</v>
      </c>
      <c r="AH99" s="26">
        <v>730000</v>
      </c>
      <c r="AI99" s="26">
        <v>730000</v>
      </c>
      <c r="AJ99" s="26">
        <v>730000</v>
      </c>
      <c r="AK99" s="26">
        <v>730000</v>
      </c>
      <c r="AL99" s="26">
        <v>730000</v>
      </c>
      <c r="AM99" s="26">
        <v>730000</v>
      </c>
      <c r="AN99" s="26">
        <v>730000</v>
      </c>
      <c r="AO99" s="26">
        <v>730000</v>
      </c>
      <c r="AP99" s="26">
        <v>730000</v>
      </c>
      <c r="AQ99" s="26">
        <v>730000</v>
      </c>
      <c r="AR99" s="26">
        <v>500000</v>
      </c>
      <c r="AS99" s="26">
        <v>500000</v>
      </c>
      <c r="AT99" s="26">
        <v>500000</v>
      </c>
      <c r="AU99" s="26">
        <v>500000</v>
      </c>
      <c r="AV99" s="26">
        <v>500000</v>
      </c>
      <c r="AW99" s="26">
        <v>500000</v>
      </c>
      <c r="AX99" s="26">
        <v>500000</v>
      </c>
      <c r="AY99" s="26">
        <v>500000</v>
      </c>
      <c r="AZ99" s="26">
        <v>500000</v>
      </c>
      <c r="BA99" s="26">
        <v>500000</v>
      </c>
      <c r="BB99" s="26">
        <v>500000</v>
      </c>
      <c r="BC99" s="26">
        <v>500000</v>
      </c>
      <c r="BD99" s="26">
        <v>0</v>
      </c>
      <c r="BE99" s="26">
        <v>0</v>
      </c>
      <c r="BF99" s="26">
        <v>0</v>
      </c>
      <c r="BG99" s="26">
        <v>0</v>
      </c>
      <c r="BH99" s="26">
        <v>0</v>
      </c>
      <c r="BI99" s="26">
        <v>0</v>
      </c>
      <c r="BJ99" s="26">
        <v>0</v>
      </c>
      <c r="BK99" s="26">
        <v>0</v>
      </c>
      <c r="BL99" s="26">
        <v>0</v>
      </c>
      <c r="BM99" s="26">
        <v>0</v>
      </c>
      <c r="BN99" s="26">
        <v>0</v>
      </c>
      <c r="BO99" s="26">
        <v>0</v>
      </c>
      <c r="BP99" s="26">
        <v>1200000</v>
      </c>
      <c r="BQ99" s="26">
        <v>1200000</v>
      </c>
      <c r="BR99" s="26">
        <v>1200000</v>
      </c>
      <c r="BS99" s="26">
        <v>1200000</v>
      </c>
      <c r="BT99" s="26">
        <v>1200000</v>
      </c>
      <c r="BU99" s="26">
        <v>1200000</v>
      </c>
      <c r="BV99" s="26">
        <v>1200000</v>
      </c>
      <c r="BW99" s="26">
        <v>1200000</v>
      </c>
      <c r="BX99" s="26">
        <v>1200000</v>
      </c>
      <c r="BY99" s="26">
        <v>1200000</v>
      </c>
      <c r="BZ99" s="26">
        <v>1200000</v>
      </c>
      <c r="CA99" s="26">
        <v>1200000</v>
      </c>
      <c r="CB99" s="26">
        <v>3500000</v>
      </c>
      <c r="CC99" s="26">
        <v>3500000</v>
      </c>
      <c r="CD99" s="26">
        <v>3500000</v>
      </c>
      <c r="CE99" s="26">
        <v>3500000</v>
      </c>
      <c r="CF99" s="26">
        <v>3500000</v>
      </c>
      <c r="CG99" s="26">
        <v>3500000</v>
      </c>
      <c r="CH99" s="26">
        <v>3500000</v>
      </c>
      <c r="CI99" s="26">
        <v>3500000</v>
      </c>
      <c r="CJ99" s="26">
        <v>3500000</v>
      </c>
      <c r="CK99" s="26">
        <v>3500000</v>
      </c>
      <c r="CL99" s="26">
        <v>3500000</v>
      </c>
      <c r="CM99" s="26">
        <v>3500000</v>
      </c>
      <c r="CN99" s="26">
        <v>5007600</v>
      </c>
      <c r="CO99" s="26">
        <v>23</v>
      </c>
      <c r="CP99" s="26">
        <v>5007600</v>
      </c>
      <c r="CQ99" s="26">
        <v>730000</v>
      </c>
      <c r="CR99" s="26">
        <v>500000</v>
      </c>
      <c r="CS99" s="26">
        <v>1200000</v>
      </c>
      <c r="CT99" s="26">
        <v>3500000</v>
      </c>
      <c r="CU99" s="26">
        <v>5930000</v>
      </c>
    </row>
    <row r="100" spans="1:99" x14ac:dyDescent="0.3">
      <c r="A100" s="26">
        <v>9</v>
      </c>
      <c r="B100" s="27" t="s">
        <v>41</v>
      </c>
      <c r="C100" s="27" t="s">
        <v>42</v>
      </c>
      <c r="D100" s="27" t="s">
        <v>26</v>
      </c>
      <c r="E100" s="27" t="s">
        <v>27</v>
      </c>
      <c r="F100" s="26">
        <v>8444465474</v>
      </c>
      <c r="G100" s="27" t="s">
        <v>43</v>
      </c>
      <c r="H100" s="26">
        <v>5007600</v>
      </c>
      <c r="I100" s="26">
        <v>5007600</v>
      </c>
      <c r="J100" s="26">
        <v>5007600</v>
      </c>
      <c r="K100" s="26">
        <v>5007600</v>
      </c>
      <c r="L100" s="26">
        <v>5007600</v>
      </c>
      <c r="M100" s="26">
        <v>5007600</v>
      </c>
      <c r="N100" s="26">
        <v>5007600</v>
      </c>
      <c r="O100" s="26">
        <v>5007600</v>
      </c>
      <c r="P100" s="26">
        <v>5007600</v>
      </c>
      <c r="Q100" s="26">
        <v>5007600</v>
      </c>
      <c r="R100" s="26">
        <v>5007600</v>
      </c>
      <c r="S100" s="26">
        <v>5007600</v>
      </c>
      <c r="T100" s="26">
        <v>5007600</v>
      </c>
      <c r="U100" s="26">
        <v>5007600</v>
      </c>
      <c r="V100" s="26">
        <v>5007600</v>
      </c>
      <c r="W100" s="26">
        <v>5007600</v>
      </c>
      <c r="X100" s="26">
        <v>5007600</v>
      </c>
      <c r="Y100" s="26">
        <v>5007600</v>
      </c>
      <c r="Z100" s="26">
        <v>5007600</v>
      </c>
      <c r="AA100" s="26">
        <v>5007600</v>
      </c>
      <c r="AB100" s="26">
        <v>5007600</v>
      </c>
      <c r="AC100" s="26">
        <v>5007600</v>
      </c>
      <c r="AD100" s="26">
        <v>5007600</v>
      </c>
      <c r="AE100" s="26">
        <v>5007600</v>
      </c>
      <c r="AF100" s="26">
        <v>730000</v>
      </c>
      <c r="AG100" s="26">
        <v>730000</v>
      </c>
      <c r="AH100" s="26">
        <v>730000</v>
      </c>
      <c r="AI100" s="26">
        <v>730000</v>
      </c>
      <c r="AJ100" s="26">
        <v>730000</v>
      </c>
      <c r="AK100" s="26">
        <v>730000</v>
      </c>
      <c r="AL100" s="26">
        <v>730000</v>
      </c>
      <c r="AM100" s="26">
        <v>730000</v>
      </c>
      <c r="AN100" s="26">
        <v>730000</v>
      </c>
      <c r="AO100" s="26">
        <v>730000</v>
      </c>
      <c r="AP100" s="26">
        <v>730000</v>
      </c>
      <c r="AQ100" s="26">
        <v>730000</v>
      </c>
      <c r="AR100" s="26">
        <v>500000</v>
      </c>
      <c r="AS100" s="26">
        <v>500000</v>
      </c>
      <c r="AT100" s="26">
        <v>500000</v>
      </c>
      <c r="AU100" s="26">
        <v>500000</v>
      </c>
      <c r="AV100" s="26">
        <v>500000</v>
      </c>
      <c r="AW100" s="26">
        <v>500000</v>
      </c>
      <c r="AX100" s="26">
        <v>500000</v>
      </c>
      <c r="AY100" s="26">
        <v>500000</v>
      </c>
      <c r="AZ100" s="26">
        <v>500000</v>
      </c>
      <c r="BA100" s="26">
        <v>500000</v>
      </c>
      <c r="BB100" s="26">
        <v>500000</v>
      </c>
      <c r="BC100" s="26">
        <v>500000</v>
      </c>
      <c r="BD100" s="26">
        <v>0</v>
      </c>
      <c r="BE100" s="26">
        <v>0</v>
      </c>
      <c r="BF100" s="26">
        <v>0</v>
      </c>
      <c r="BG100" s="26">
        <v>0</v>
      </c>
      <c r="BH100" s="26">
        <v>0</v>
      </c>
      <c r="BI100" s="26">
        <v>0</v>
      </c>
      <c r="BJ100" s="26">
        <v>0</v>
      </c>
      <c r="BK100" s="26">
        <v>0</v>
      </c>
      <c r="BL100" s="26">
        <v>0</v>
      </c>
      <c r="BM100" s="26">
        <v>0</v>
      </c>
      <c r="BN100" s="26">
        <v>0</v>
      </c>
      <c r="BO100" s="26">
        <v>0</v>
      </c>
      <c r="BP100" s="26">
        <v>1200000</v>
      </c>
      <c r="BQ100" s="26">
        <v>1200000</v>
      </c>
      <c r="BR100" s="26">
        <v>1200000</v>
      </c>
      <c r="BS100" s="26">
        <v>1200000</v>
      </c>
      <c r="BT100" s="26">
        <v>1200000</v>
      </c>
      <c r="BU100" s="26">
        <v>1200000</v>
      </c>
      <c r="BV100" s="26">
        <v>1200000</v>
      </c>
      <c r="BW100" s="26">
        <v>1200000</v>
      </c>
      <c r="BX100" s="26">
        <v>1200000</v>
      </c>
      <c r="BY100" s="26">
        <v>1200000</v>
      </c>
      <c r="BZ100" s="26">
        <v>1200000</v>
      </c>
      <c r="CA100" s="26">
        <v>1200000</v>
      </c>
      <c r="CB100" s="26">
        <v>3500000</v>
      </c>
      <c r="CC100" s="26">
        <v>3500000</v>
      </c>
      <c r="CD100" s="26">
        <v>3500000</v>
      </c>
      <c r="CE100" s="26">
        <v>3500000</v>
      </c>
      <c r="CF100" s="26">
        <v>3500000</v>
      </c>
      <c r="CG100" s="26">
        <v>3500000</v>
      </c>
      <c r="CH100" s="26">
        <v>3500000</v>
      </c>
      <c r="CI100" s="26">
        <v>3500000</v>
      </c>
      <c r="CJ100" s="26">
        <v>3500000</v>
      </c>
      <c r="CK100" s="26">
        <v>3500000</v>
      </c>
      <c r="CL100" s="26">
        <v>3500000</v>
      </c>
      <c r="CM100" s="26">
        <v>3500000</v>
      </c>
      <c r="CN100" s="26">
        <v>5007600</v>
      </c>
      <c r="CO100" s="26">
        <v>23</v>
      </c>
      <c r="CP100" s="26">
        <v>5007600</v>
      </c>
      <c r="CQ100" s="26">
        <v>730000</v>
      </c>
      <c r="CR100" s="26">
        <v>500000</v>
      </c>
      <c r="CS100" s="26">
        <v>1200000</v>
      </c>
      <c r="CT100" s="26">
        <v>3500000</v>
      </c>
      <c r="CU100" s="26">
        <v>5930000</v>
      </c>
    </row>
    <row r="101" spans="1:99" x14ac:dyDescent="0.3">
      <c r="A101" s="26">
        <v>9</v>
      </c>
      <c r="B101" s="27" t="s">
        <v>41</v>
      </c>
      <c r="C101" s="27" t="s">
        <v>42</v>
      </c>
      <c r="D101" s="27" t="s">
        <v>26</v>
      </c>
      <c r="E101" s="27" t="s">
        <v>27</v>
      </c>
      <c r="F101" s="26">
        <v>8444465474</v>
      </c>
      <c r="G101" s="27" t="s">
        <v>43</v>
      </c>
      <c r="H101" s="26">
        <v>5007600</v>
      </c>
      <c r="I101" s="26">
        <v>5007600</v>
      </c>
      <c r="J101" s="26">
        <v>5007600</v>
      </c>
      <c r="K101" s="26">
        <v>5007600</v>
      </c>
      <c r="L101" s="26">
        <v>5007600</v>
      </c>
      <c r="M101" s="26">
        <v>5007600</v>
      </c>
      <c r="N101" s="26">
        <v>5007600</v>
      </c>
      <c r="O101" s="26">
        <v>5007600</v>
      </c>
      <c r="P101" s="26">
        <v>5007600</v>
      </c>
      <c r="Q101" s="26">
        <v>5007600</v>
      </c>
      <c r="R101" s="26">
        <v>5007600</v>
      </c>
      <c r="S101" s="26">
        <v>5007600</v>
      </c>
      <c r="T101" s="26">
        <v>5007600</v>
      </c>
      <c r="U101" s="26">
        <v>5007600</v>
      </c>
      <c r="V101" s="26">
        <v>5007600</v>
      </c>
      <c r="W101" s="26">
        <v>5007600</v>
      </c>
      <c r="X101" s="26">
        <v>5007600</v>
      </c>
      <c r="Y101" s="26">
        <v>5007600</v>
      </c>
      <c r="Z101" s="26">
        <v>5007600</v>
      </c>
      <c r="AA101" s="26">
        <v>5007600</v>
      </c>
      <c r="AB101" s="26">
        <v>5007600</v>
      </c>
      <c r="AC101" s="26">
        <v>5007600</v>
      </c>
      <c r="AD101" s="26">
        <v>5007600</v>
      </c>
      <c r="AE101" s="26">
        <v>5007600</v>
      </c>
      <c r="AF101" s="26">
        <v>730000</v>
      </c>
      <c r="AG101" s="26">
        <v>730000</v>
      </c>
      <c r="AH101" s="26">
        <v>730000</v>
      </c>
      <c r="AI101" s="26">
        <v>730000</v>
      </c>
      <c r="AJ101" s="26">
        <v>730000</v>
      </c>
      <c r="AK101" s="26">
        <v>730000</v>
      </c>
      <c r="AL101" s="26">
        <v>730000</v>
      </c>
      <c r="AM101" s="26">
        <v>730000</v>
      </c>
      <c r="AN101" s="26">
        <v>730000</v>
      </c>
      <c r="AO101" s="26">
        <v>730000</v>
      </c>
      <c r="AP101" s="26">
        <v>730000</v>
      </c>
      <c r="AQ101" s="26">
        <v>730000</v>
      </c>
      <c r="AR101" s="26">
        <v>500000</v>
      </c>
      <c r="AS101" s="26">
        <v>500000</v>
      </c>
      <c r="AT101" s="26">
        <v>500000</v>
      </c>
      <c r="AU101" s="26">
        <v>500000</v>
      </c>
      <c r="AV101" s="26">
        <v>500000</v>
      </c>
      <c r="AW101" s="26">
        <v>500000</v>
      </c>
      <c r="AX101" s="26">
        <v>500000</v>
      </c>
      <c r="AY101" s="26">
        <v>500000</v>
      </c>
      <c r="AZ101" s="26">
        <v>500000</v>
      </c>
      <c r="BA101" s="26">
        <v>500000</v>
      </c>
      <c r="BB101" s="26">
        <v>500000</v>
      </c>
      <c r="BC101" s="26">
        <v>500000</v>
      </c>
      <c r="BD101" s="26">
        <v>0</v>
      </c>
      <c r="BE101" s="26">
        <v>0</v>
      </c>
      <c r="BF101" s="26">
        <v>0</v>
      </c>
      <c r="BG101" s="26">
        <v>0</v>
      </c>
      <c r="BH101" s="26">
        <v>0</v>
      </c>
      <c r="BI101" s="26">
        <v>0</v>
      </c>
      <c r="BJ101" s="26">
        <v>0</v>
      </c>
      <c r="BK101" s="26">
        <v>0</v>
      </c>
      <c r="BL101" s="26">
        <v>0</v>
      </c>
      <c r="BM101" s="26">
        <v>0</v>
      </c>
      <c r="BN101" s="26">
        <v>0</v>
      </c>
      <c r="BO101" s="26">
        <v>0</v>
      </c>
      <c r="BP101" s="26">
        <v>1200000</v>
      </c>
      <c r="BQ101" s="26">
        <v>1200000</v>
      </c>
      <c r="BR101" s="26">
        <v>1200000</v>
      </c>
      <c r="BS101" s="26">
        <v>1200000</v>
      </c>
      <c r="BT101" s="26">
        <v>1200000</v>
      </c>
      <c r="BU101" s="26">
        <v>1200000</v>
      </c>
      <c r="BV101" s="26">
        <v>1200000</v>
      </c>
      <c r="BW101" s="26">
        <v>1200000</v>
      </c>
      <c r="BX101" s="26">
        <v>1200000</v>
      </c>
      <c r="BY101" s="26">
        <v>1200000</v>
      </c>
      <c r="BZ101" s="26">
        <v>1200000</v>
      </c>
      <c r="CA101" s="26">
        <v>1200000</v>
      </c>
      <c r="CB101" s="26">
        <v>3500000</v>
      </c>
      <c r="CC101" s="26">
        <v>3500000</v>
      </c>
      <c r="CD101" s="26">
        <v>3500000</v>
      </c>
      <c r="CE101" s="26">
        <v>3500000</v>
      </c>
      <c r="CF101" s="26">
        <v>3500000</v>
      </c>
      <c r="CG101" s="26">
        <v>3500000</v>
      </c>
      <c r="CH101" s="26">
        <v>3500000</v>
      </c>
      <c r="CI101" s="26">
        <v>3500000</v>
      </c>
      <c r="CJ101" s="26">
        <v>3500000</v>
      </c>
      <c r="CK101" s="26">
        <v>3500000</v>
      </c>
      <c r="CL101" s="26">
        <v>3500000</v>
      </c>
      <c r="CM101" s="26">
        <v>3500000</v>
      </c>
      <c r="CN101" s="26">
        <v>5007600</v>
      </c>
      <c r="CO101" s="26">
        <v>20</v>
      </c>
      <c r="CP101" s="26">
        <v>5007600</v>
      </c>
      <c r="CQ101" s="26">
        <v>730000</v>
      </c>
      <c r="CR101" s="26">
        <v>500000</v>
      </c>
      <c r="CS101" s="26">
        <v>1200000</v>
      </c>
      <c r="CT101" s="26">
        <v>3500000</v>
      </c>
      <c r="CU101" s="26">
        <v>5930000</v>
      </c>
    </row>
    <row r="102" spans="1:99" x14ac:dyDescent="0.3">
      <c r="A102" s="26">
        <v>9</v>
      </c>
      <c r="B102" s="27" t="s">
        <v>41</v>
      </c>
      <c r="C102" s="27" t="s">
        <v>42</v>
      </c>
      <c r="D102" s="27" t="s">
        <v>26</v>
      </c>
      <c r="E102" s="27" t="s">
        <v>27</v>
      </c>
      <c r="F102" s="26">
        <v>8444465474</v>
      </c>
      <c r="G102" s="27" t="s">
        <v>43</v>
      </c>
      <c r="H102" s="26">
        <v>5007600</v>
      </c>
      <c r="I102" s="26">
        <v>5007600</v>
      </c>
      <c r="J102" s="26">
        <v>5007600</v>
      </c>
      <c r="K102" s="26">
        <v>5007600</v>
      </c>
      <c r="L102" s="26">
        <v>5007600</v>
      </c>
      <c r="M102" s="26">
        <v>5007600</v>
      </c>
      <c r="N102" s="26">
        <v>5007600</v>
      </c>
      <c r="O102" s="26">
        <v>5007600</v>
      </c>
      <c r="P102" s="26">
        <v>5007600</v>
      </c>
      <c r="Q102" s="26">
        <v>5007600</v>
      </c>
      <c r="R102" s="26">
        <v>5007600</v>
      </c>
      <c r="S102" s="26">
        <v>5007600</v>
      </c>
      <c r="T102" s="26">
        <v>5007600</v>
      </c>
      <c r="U102" s="26">
        <v>5007600</v>
      </c>
      <c r="V102" s="26">
        <v>5007600</v>
      </c>
      <c r="W102" s="26">
        <v>5007600</v>
      </c>
      <c r="X102" s="26">
        <v>5007600</v>
      </c>
      <c r="Y102" s="26">
        <v>5007600</v>
      </c>
      <c r="Z102" s="26">
        <v>5007600</v>
      </c>
      <c r="AA102" s="26">
        <v>5007600</v>
      </c>
      <c r="AB102" s="26">
        <v>5007600</v>
      </c>
      <c r="AC102" s="26">
        <v>5007600</v>
      </c>
      <c r="AD102" s="26">
        <v>5007600</v>
      </c>
      <c r="AE102" s="26">
        <v>5007600</v>
      </c>
      <c r="AF102" s="26">
        <v>730000</v>
      </c>
      <c r="AG102" s="26">
        <v>730000</v>
      </c>
      <c r="AH102" s="26">
        <v>730000</v>
      </c>
      <c r="AI102" s="26">
        <v>730000</v>
      </c>
      <c r="AJ102" s="26">
        <v>730000</v>
      </c>
      <c r="AK102" s="26">
        <v>730000</v>
      </c>
      <c r="AL102" s="26">
        <v>730000</v>
      </c>
      <c r="AM102" s="26">
        <v>730000</v>
      </c>
      <c r="AN102" s="26">
        <v>730000</v>
      </c>
      <c r="AO102" s="26">
        <v>730000</v>
      </c>
      <c r="AP102" s="26">
        <v>730000</v>
      </c>
      <c r="AQ102" s="26">
        <v>730000</v>
      </c>
      <c r="AR102" s="26">
        <v>500000</v>
      </c>
      <c r="AS102" s="26">
        <v>500000</v>
      </c>
      <c r="AT102" s="26">
        <v>500000</v>
      </c>
      <c r="AU102" s="26">
        <v>500000</v>
      </c>
      <c r="AV102" s="26">
        <v>500000</v>
      </c>
      <c r="AW102" s="26">
        <v>500000</v>
      </c>
      <c r="AX102" s="26">
        <v>500000</v>
      </c>
      <c r="AY102" s="26">
        <v>500000</v>
      </c>
      <c r="AZ102" s="26">
        <v>500000</v>
      </c>
      <c r="BA102" s="26">
        <v>500000</v>
      </c>
      <c r="BB102" s="26">
        <v>500000</v>
      </c>
      <c r="BC102" s="26">
        <v>500000</v>
      </c>
      <c r="BD102" s="26">
        <v>0</v>
      </c>
      <c r="BE102" s="26">
        <v>0</v>
      </c>
      <c r="BF102" s="26">
        <v>0</v>
      </c>
      <c r="BG102" s="26">
        <v>0</v>
      </c>
      <c r="BH102" s="26">
        <v>0</v>
      </c>
      <c r="BI102" s="26">
        <v>0</v>
      </c>
      <c r="BJ102" s="26">
        <v>0</v>
      </c>
      <c r="BK102" s="26">
        <v>0</v>
      </c>
      <c r="BL102" s="26">
        <v>0</v>
      </c>
      <c r="BM102" s="26">
        <v>0</v>
      </c>
      <c r="BN102" s="26">
        <v>0</v>
      </c>
      <c r="BO102" s="26">
        <v>0</v>
      </c>
      <c r="BP102" s="26">
        <v>1200000</v>
      </c>
      <c r="BQ102" s="26">
        <v>1200000</v>
      </c>
      <c r="BR102" s="26">
        <v>1200000</v>
      </c>
      <c r="BS102" s="26">
        <v>1200000</v>
      </c>
      <c r="BT102" s="26">
        <v>1200000</v>
      </c>
      <c r="BU102" s="26">
        <v>1200000</v>
      </c>
      <c r="BV102" s="26">
        <v>1200000</v>
      </c>
      <c r="BW102" s="26">
        <v>1200000</v>
      </c>
      <c r="BX102" s="26">
        <v>1200000</v>
      </c>
      <c r="BY102" s="26">
        <v>1200000</v>
      </c>
      <c r="BZ102" s="26">
        <v>1200000</v>
      </c>
      <c r="CA102" s="26">
        <v>1200000</v>
      </c>
      <c r="CB102" s="26">
        <v>3500000</v>
      </c>
      <c r="CC102" s="26">
        <v>3500000</v>
      </c>
      <c r="CD102" s="26">
        <v>3500000</v>
      </c>
      <c r="CE102" s="26">
        <v>3500000</v>
      </c>
      <c r="CF102" s="26">
        <v>3500000</v>
      </c>
      <c r="CG102" s="26">
        <v>3500000</v>
      </c>
      <c r="CH102" s="26">
        <v>3500000</v>
      </c>
      <c r="CI102" s="26">
        <v>3500000</v>
      </c>
      <c r="CJ102" s="26">
        <v>3500000</v>
      </c>
      <c r="CK102" s="26">
        <v>3500000</v>
      </c>
      <c r="CL102" s="26">
        <v>3500000</v>
      </c>
      <c r="CM102" s="26">
        <v>3500000</v>
      </c>
      <c r="CN102" s="26">
        <v>5007600</v>
      </c>
      <c r="CO102" s="26">
        <v>20</v>
      </c>
      <c r="CP102" s="26">
        <v>5007600</v>
      </c>
      <c r="CQ102" s="26">
        <v>730000</v>
      </c>
      <c r="CR102" s="26">
        <v>500000</v>
      </c>
      <c r="CS102" s="26">
        <v>1200000</v>
      </c>
      <c r="CT102" s="26">
        <v>3500000</v>
      </c>
      <c r="CU102" s="26">
        <v>5930000</v>
      </c>
    </row>
    <row r="103" spans="1:99" x14ac:dyDescent="0.3">
      <c r="A103" s="26">
        <v>9</v>
      </c>
      <c r="B103" s="27" t="s">
        <v>41</v>
      </c>
      <c r="C103" s="27" t="s">
        <v>42</v>
      </c>
      <c r="D103" s="27" t="s">
        <v>26</v>
      </c>
      <c r="E103" s="27" t="s">
        <v>27</v>
      </c>
      <c r="F103" s="26">
        <v>8444465474</v>
      </c>
      <c r="G103" s="27" t="s">
        <v>43</v>
      </c>
      <c r="H103" s="26">
        <v>5007600</v>
      </c>
      <c r="I103" s="26">
        <v>5007600</v>
      </c>
      <c r="J103" s="26">
        <v>5007600</v>
      </c>
      <c r="K103" s="26">
        <v>5007600</v>
      </c>
      <c r="L103" s="26">
        <v>5007600</v>
      </c>
      <c r="M103" s="26">
        <v>5007600</v>
      </c>
      <c r="N103" s="26">
        <v>5007600</v>
      </c>
      <c r="O103" s="26">
        <v>5007600</v>
      </c>
      <c r="P103" s="26">
        <v>5007600</v>
      </c>
      <c r="Q103" s="26">
        <v>5007600</v>
      </c>
      <c r="R103" s="26">
        <v>5007600</v>
      </c>
      <c r="S103" s="26">
        <v>5007600</v>
      </c>
      <c r="T103" s="26">
        <v>5007600</v>
      </c>
      <c r="U103" s="26">
        <v>5007600</v>
      </c>
      <c r="V103" s="26">
        <v>5007600</v>
      </c>
      <c r="W103" s="26">
        <v>5007600</v>
      </c>
      <c r="X103" s="26">
        <v>5007600</v>
      </c>
      <c r="Y103" s="26">
        <v>5007600</v>
      </c>
      <c r="Z103" s="26">
        <v>5007600</v>
      </c>
      <c r="AA103" s="26">
        <v>5007600</v>
      </c>
      <c r="AB103" s="26">
        <v>5007600</v>
      </c>
      <c r="AC103" s="26">
        <v>5007600</v>
      </c>
      <c r="AD103" s="26">
        <v>5007600</v>
      </c>
      <c r="AE103" s="26">
        <v>5007600</v>
      </c>
      <c r="AF103" s="26">
        <v>730000</v>
      </c>
      <c r="AG103" s="26">
        <v>730000</v>
      </c>
      <c r="AH103" s="26">
        <v>730000</v>
      </c>
      <c r="AI103" s="26">
        <v>730000</v>
      </c>
      <c r="AJ103" s="26">
        <v>730000</v>
      </c>
      <c r="AK103" s="26">
        <v>730000</v>
      </c>
      <c r="AL103" s="26">
        <v>730000</v>
      </c>
      <c r="AM103" s="26">
        <v>730000</v>
      </c>
      <c r="AN103" s="26">
        <v>730000</v>
      </c>
      <c r="AO103" s="26">
        <v>730000</v>
      </c>
      <c r="AP103" s="26">
        <v>730000</v>
      </c>
      <c r="AQ103" s="26">
        <v>730000</v>
      </c>
      <c r="AR103" s="26">
        <v>500000</v>
      </c>
      <c r="AS103" s="26">
        <v>500000</v>
      </c>
      <c r="AT103" s="26">
        <v>500000</v>
      </c>
      <c r="AU103" s="26">
        <v>500000</v>
      </c>
      <c r="AV103" s="26">
        <v>500000</v>
      </c>
      <c r="AW103" s="26">
        <v>500000</v>
      </c>
      <c r="AX103" s="26">
        <v>500000</v>
      </c>
      <c r="AY103" s="26">
        <v>500000</v>
      </c>
      <c r="AZ103" s="26">
        <v>500000</v>
      </c>
      <c r="BA103" s="26">
        <v>500000</v>
      </c>
      <c r="BB103" s="26">
        <v>500000</v>
      </c>
      <c r="BC103" s="26">
        <v>500000</v>
      </c>
      <c r="BD103" s="26">
        <v>0</v>
      </c>
      <c r="BE103" s="26">
        <v>0</v>
      </c>
      <c r="BF103" s="26">
        <v>0</v>
      </c>
      <c r="BG103" s="26">
        <v>0</v>
      </c>
      <c r="BH103" s="26">
        <v>0</v>
      </c>
      <c r="BI103" s="26">
        <v>0</v>
      </c>
      <c r="BJ103" s="26">
        <v>0</v>
      </c>
      <c r="BK103" s="26">
        <v>0</v>
      </c>
      <c r="BL103" s="26">
        <v>0</v>
      </c>
      <c r="BM103" s="26">
        <v>0</v>
      </c>
      <c r="BN103" s="26">
        <v>0</v>
      </c>
      <c r="BO103" s="26">
        <v>0</v>
      </c>
      <c r="BP103" s="26">
        <v>1200000</v>
      </c>
      <c r="BQ103" s="26">
        <v>1200000</v>
      </c>
      <c r="BR103" s="26">
        <v>1200000</v>
      </c>
      <c r="BS103" s="26">
        <v>1200000</v>
      </c>
      <c r="BT103" s="26">
        <v>1200000</v>
      </c>
      <c r="BU103" s="26">
        <v>1200000</v>
      </c>
      <c r="BV103" s="26">
        <v>1200000</v>
      </c>
      <c r="BW103" s="26">
        <v>1200000</v>
      </c>
      <c r="BX103" s="26">
        <v>1200000</v>
      </c>
      <c r="BY103" s="26">
        <v>1200000</v>
      </c>
      <c r="BZ103" s="26">
        <v>1200000</v>
      </c>
      <c r="CA103" s="26">
        <v>1200000</v>
      </c>
      <c r="CB103" s="26">
        <v>3500000</v>
      </c>
      <c r="CC103" s="26">
        <v>3500000</v>
      </c>
      <c r="CD103" s="26">
        <v>3500000</v>
      </c>
      <c r="CE103" s="26">
        <v>3500000</v>
      </c>
      <c r="CF103" s="26">
        <v>3500000</v>
      </c>
      <c r="CG103" s="26">
        <v>3500000</v>
      </c>
      <c r="CH103" s="26">
        <v>3500000</v>
      </c>
      <c r="CI103" s="26">
        <v>3500000</v>
      </c>
      <c r="CJ103" s="26">
        <v>3500000</v>
      </c>
      <c r="CK103" s="26">
        <v>3500000</v>
      </c>
      <c r="CL103" s="26">
        <v>3500000</v>
      </c>
      <c r="CM103" s="26">
        <v>3500000</v>
      </c>
      <c r="CN103" s="26">
        <v>5007600</v>
      </c>
      <c r="CO103" s="26">
        <v>22</v>
      </c>
      <c r="CP103" s="26">
        <v>5007600</v>
      </c>
      <c r="CQ103" s="26">
        <v>730000</v>
      </c>
      <c r="CR103" s="26">
        <v>500000</v>
      </c>
      <c r="CS103" s="26">
        <v>1200000</v>
      </c>
      <c r="CT103" s="26">
        <v>3500000</v>
      </c>
      <c r="CU103" s="26">
        <v>5930000</v>
      </c>
    </row>
    <row r="104" spans="1:99" x14ac:dyDescent="0.3">
      <c r="A104" s="26">
        <v>9</v>
      </c>
      <c r="B104" s="27" t="s">
        <v>41</v>
      </c>
      <c r="C104" s="27" t="s">
        <v>42</v>
      </c>
      <c r="D104" s="27" t="s">
        <v>26</v>
      </c>
      <c r="E104" s="27" t="s">
        <v>27</v>
      </c>
      <c r="F104" s="26">
        <v>8444465474</v>
      </c>
      <c r="G104" s="27" t="s">
        <v>43</v>
      </c>
      <c r="H104" s="26">
        <v>5007600</v>
      </c>
      <c r="I104" s="26">
        <v>5007600</v>
      </c>
      <c r="J104" s="26">
        <v>5007600</v>
      </c>
      <c r="K104" s="26">
        <v>5007600</v>
      </c>
      <c r="L104" s="26">
        <v>5007600</v>
      </c>
      <c r="M104" s="26">
        <v>5007600</v>
      </c>
      <c r="N104" s="26">
        <v>5007600</v>
      </c>
      <c r="O104" s="26">
        <v>5007600</v>
      </c>
      <c r="P104" s="26">
        <v>5007600</v>
      </c>
      <c r="Q104" s="26">
        <v>5007600</v>
      </c>
      <c r="R104" s="26">
        <v>5007600</v>
      </c>
      <c r="S104" s="26">
        <v>5007600</v>
      </c>
      <c r="T104" s="26">
        <v>5007600</v>
      </c>
      <c r="U104" s="26">
        <v>5007600</v>
      </c>
      <c r="V104" s="26">
        <v>5007600</v>
      </c>
      <c r="W104" s="26">
        <v>5007600</v>
      </c>
      <c r="X104" s="26">
        <v>5007600</v>
      </c>
      <c r="Y104" s="26">
        <v>5007600</v>
      </c>
      <c r="Z104" s="26">
        <v>5007600</v>
      </c>
      <c r="AA104" s="26">
        <v>5007600</v>
      </c>
      <c r="AB104" s="26">
        <v>5007600</v>
      </c>
      <c r="AC104" s="26">
        <v>5007600</v>
      </c>
      <c r="AD104" s="26">
        <v>5007600</v>
      </c>
      <c r="AE104" s="26">
        <v>5007600</v>
      </c>
      <c r="AF104" s="26">
        <v>730000</v>
      </c>
      <c r="AG104" s="26">
        <v>730000</v>
      </c>
      <c r="AH104" s="26">
        <v>730000</v>
      </c>
      <c r="AI104" s="26">
        <v>730000</v>
      </c>
      <c r="AJ104" s="26">
        <v>730000</v>
      </c>
      <c r="AK104" s="26">
        <v>730000</v>
      </c>
      <c r="AL104" s="26">
        <v>730000</v>
      </c>
      <c r="AM104" s="26">
        <v>730000</v>
      </c>
      <c r="AN104" s="26">
        <v>730000</v>
      </c>
      <c r="AO104" s="26">
        <v>730000</v>
      </c>
      <c r="AP104" s="26">
        <v>730000</v>
      </c>
      <c r="AQ104" s="26">
        <v>730000</v>
      </c>
      <c r="AR104" s="26">
        <v>500000</v>
      </c>
      <c r="AS104" s="26">
        <v>500000</v>
      </c>
      <c r="AT104" s="26">
        <v>500000</v>
      </c>
      <c r="AU104" s="26">
        <v>500000</v>
      </c>
      <c r="AV104" s="26">
        <v>500000</v>
      </c>
      <c r="AW104" s="26">
        <v>500000</v>
      </c>
      <c r="AX104" s="26">
        <v>500000</v>
      </c>
      <c r="AY104" s="26">
        <v>500000</v>
      </c>
      <c r="AZ104" s="26">
        <v>500000</v>
      </c>
      <c r="BA104" s="26">
        <v>500000</v>
      </c>
      <c r="BB104" s="26">
        <v>500000</v>
      </c>
      <c r="BC104" s="26">
        <v>500000</v>
      </c>
      <c r="BD104" s="26">
        <v>0</v>
      </c>
      <c r="BE104" s="26">
        <v>0</v>
      </c>
      <c r="BF104" s="26">
        <v>0</v>
      </c>
      <c r="BG104" s="26">
        <v>0</v>
      </c>
      <c r="BH104" s="26">
        <v>0</v>
      </c>
      <c r="BI104" s="26">
        <v>0</v>
      </c>
      <c r="BJ104" s="26">
        <v>0</v>
      </c>
      <c r="BK104" s="26">
        <v>0</v>
      </c>
      <c r="BL104" s="26">
        <v>0</v>
      </c>
      <c r="BM104" s="26">
        <v>0</v>
      </c>
      <c r="BN104" s="26">
        <v>0</v>
      </c>
      <c r="BO104" s="26">
        <v>0</v>
      </c>
      <c r="BP104" s="26">
        <v>1200000</v>
      </c>
      <c r="BQ104" s="26">
        <v>1200000</v>
      </c>
      <c r="BR104" s="26">
        <v>1200000</v>
      </c>
      <c r="BS104" s="26">
        <v>1200000</v>
      </c>
      <c r="BT104" s="26">
        <v>1200000</v>
      </c>
      <c r="BU104" s="26">
        <v>1200000</v>
      </c>
      <c r="BV104" s="26">
        <v>1200000</v>
      </c>
      <c r="BW104" s="26">
        <v>1200000</v>
      </c>
      <c r="BX104" s="26">
        <v>1200000</v>
      </c>
      <c r="BY104" s="26">
        <v>1200000</v>
      </c>
      <c r="BZ104" s="26">
        <v>1200000</v>
      </c>
      <c r="CA104" s="26">
        <v>1200000</v>
      </c>
      <c r="CB104" s="26">
        <v>3500000</v>
      </c>
      <c r="CC104" s="26">
        <v>3500000</v>
      </c>
      <c r="CD104" s="26">
        <v>3500000</v>
      </c>
      <c r="CE104" s="26">
        <v>3500000</v>
      </c>
      <c r="CF104" s="26">
        <v>3500000</v>
      </c>
      <c r="CG104" s="26">
        <v>3500000</v>
      </c>
      <c r="CH104" s="26">
        <v>3500000</v>
      </c>
      <c r="CI104" s="26">
        <v>3500000</v>
      </c>
      <c r="CJ104" s="26">
        <v>3500000</v>
      </c>
      <c r="CK104" s="26">
        <v>3500000</v>
      </c>
      <c r="CL104" s="26">
        <v>3500000</v>
      </c>
      <c r="CM104" s="26">
        <v>3500000</v>
      </c>
      <c r="CN104" s="26">
        <v>5007600</v>
      </c>
      <c r="CO104" s="26">
        <v>23</v>
      </c>
      <c r="CP104" s="26">
        <v>5007600</v>
      </c>
      <c r="CQ104" s="26">
        <v>730000</v>
      </c>
      <c r="CR104" s="26">
        <v>500000</v>
      </c>
      <c r="CS104" s="26">
        <v>1200000</v>
      </c>
      <c r="CT104" s="26">
        <v>3500000</v>
      </c>
      <c r="CU104" s="26">
        <v>5930000</v>
      </c>
    </row>
    <row r="105" spans="1:99" x14ac:dyDescent="0.3">
      <c r="A105" s="26">
        <v>9</v>
      </c>
      <c r="B105" s="27" t="s">
        <v>41</v>
      </c>
      <c r="C105" s="27" t="s">
        <v>42</v>
      </c>
      <c r="D105" s="27" t="s">
        <v>26</v>
      </c>
      <c r="E105" s="27" t="s">
        <v>27</v>
      </c>
      <c r="F105" s="26">
        <v>8444465474</v>
      </c>
      <c r="G105" s="27" t="s">
        <v>43</v>
      </c>
      <c r="H105" s="26">
        <v>5007600</v>
      </c>
      <c r="I105" s="26">
        <v>5007600</v>
      </c>
      <c r="J105" s="26">
        <v>5007600</v>
      </c>
      <c r="K105" s="26">
        <v>5007600</v>
      </c>
      <c r="L105" s="26">
        <v>5007600</v>
      </c>
      <c r="M105" s="26">
        <v>5007600</v>
      </c>
      <c r="N105" s="26">
        <v>5007600</v>
      </c>
      <c r="O105" s="26">
        <v>5007600</v>
      </c>
      <c r="P105" s="26">
        <v>5007600</v>
      </c>
      <c r="Q105" s="26">
        <v>5007600</v>
      </c>
      <c r="R105" s="26">
        <v>5007600</v>
      </c>
      <c r="S105" s="26">
        <v>5007600</v>
      </c>
      <c r="T105" s="26">
        <v>5007600</v>
      </c>
      <c r="U105" s="26">
        <v>5007600</v>
      </c>
      <c r="V105" s="26">
        <v>5007600</v>
      </c>
      <c r="W105" s="26">
        <v>5007600</v>
      </c>
      <c r="X105" s="26">
        <v>5007600</v>
      </c>
      <c r="Y105" s="26">
        <v>5007600</v>
      </c>
      <c r="Z105" s="26">
        <v>5007600</v>
      </c>
      <c r="AA105" s="26">
        <v>5007600</v>
      </c>
      <c r="AB105" s="26">
        <v>5007600</v>
      </c>
      <c r="AC105" s="26">
        <v>5007600</v>
      </c>
      <c r="AD105" s="26">
        <v>5007600</v>
      </c>
      <c r="AE105" s="26">
        <v>5007600</v>
      </c>
      <c r="AF105" s="26">
        <v>730000</v>
      </c>
      <c r="AG105" s="26">
        <v>730000</v>
      </c>
      <c r="AH105" s="26">
        <v>730000</v>
      </c>
      <c r="AI105" s="26">
        <v>730000</v>
      </c>
      <c r="AJ105" s="26">
        <v>730000</v>
      </c>
      <c r="AK105" s="26">
        <v>730000</v>
      </c>
      <c r="AL105" s="26">
        <v>730000</v>
      </c>
      <c r="AM105" s="26">
        <v>730000</v>
      </c>
      <c r="AN105" s="26">
        <v>730000</v>
      </c>
      <c r="AO105" s="26">
        <v>730000</v>
      </c>
      <c r="AP105" s="26">
        <v>730000</v>
      </c>
      <c r="AQ105" s="26">
        <v>730000</v>
      </c>
      <c r="AR105" s="26">
        <v>500000</v>
      </c>
      <c r="AS105" s="26">
        <v>500000</v>
      </c>
      <c r="AT105" s="26">
        <v>500000</v>
      </c>
      <c r="AU105" s="26">
        <v>500000</v>
      </c>
      <c r="AV105" s="26">
        <v>500000</v>
      </c>
      <c r="AW105" s="26">
        <v>500000</v>
      </c>
      <c r="AX105" s="26">
        <v>500000</v>
      </c>
      <c r="AY105" s="26">
        <v>500000</v>
      </c>
      <c r="AZ105" s="26">
        <v>500000</v>
      </c>
      <c r="BA105" s="26">
        <v>500000</v>
      </c>
      <c r="BB105" s="26">
        <v>500000</v>
      </c>
      <c r="BC105" s="26">
        <v>500000</v>
      </c>
      <c r="BD105" s="26">
        <v>0</v>
      </c>
      <c r="BE105" s="26">
        <v>0</v>
      </c>
      <c r="BF105" s="26">
        <v>0</v>
      </c>
      <c r="BG105" s="26">
        <v>0</v>
      </c>
      <c r="BH105" s="26">
        <v>0</v>
      </c>
      <c r="BI105" s="26">
        <v>0</v>
      </c>
      <c r="BJ105" s="26">
        <v>0</v>
      </c>
      <c r="BK105" s="26">
        <v>0</v>
      </c>
      <c r="BL105" s="26">
        <v>0</v>
      </c>
      <c r="BM105" s="26">
        <v>0</v>
      </c>
      <c r="BN105" s="26">
        <v>0</v>
      </c>
      <c r="BO105" s="26">
        <v>0</v>
      </c>
      <c r="BP105" s="26">
        <v>1200000</v>
      </c>
      <c r="BQ105" s="26">
        <v>1200000</v>
      </c>
      <c r="BR105" s="26">
        <v>1200000</v>
      </c>
      <c r="BS105" s="26">
        <v>1200000</v>
      </c>
      <c r="BT105" s="26">
        <v>1200000</v>
      </c>
      <c r="BU105" s="26">
        <v>1200000</v>
      </c>
      <c r="BV105" s="26">
        <v>1200000</v>
      </c>
      <c r="BW105" s="26">
        <v>1200000</v>
      </c>
      <c r="BX105" s="26">
        <v>1200000</v>
      </c>
      <c r="BY105" s="26">
        <v>1200000</v>
      </c>
      <c r="BZ105" s="26">
        <v>1200000</v>
      </c>
      <c r="CA105" s="26">
        <v>1200000</v>
      </c>
      <c r="CB105" s="26">
        <v>3500000</v>
      </c>
      <c r="CC105" s="26">
        <v>3500000</v>
      </c>
      <c r="CD105" s="26">
        <v>3500000</v>
      </c>
      <c r="CE105" s="26">
        <v>3500000</v>
      </c>
      <c r="CF105" s="26">
        <v>3500000</v>
      </c>
      <c r="CG105" s="26">
        <v>3500000</v>
      </c>
      <c r="CH105" s="26">
        <v>3500000</v>
      </c>
      <c r="CI105" s="26">
        <v>3500000</v>
      </c>
      <c r="CJ105" s="26">
        <v>3500000</v>
      </c>
      <c r="CK105" s="26">
        <v>3500000</v>
      </c>
      <c r="CL105" s="26">
        <v>3500000</v>
      </c>
      <c r="CM105" s="26">
        <v>3500000</v>
      </c>
      <c r="CN105" s="26">
        <v>5007600</v>
      </c>
      <c r="CO105" s="26">
        <v>22</v>
      </c>
      <c r="CP105" s="26">
        <v>5007600</v>
      </c>
      <c r="CQ105" s="26">
        <v>730000</v>
      </c>
      <c r="CR105" s="26">
        <v>500000</v>
      </c>
      <c r="CS105" s="26">
        <v>1200000</v>
      </c>
      <c r="CT105" s="26">
        <v>3500000</v>
      </c>
      <c r="CU105" s="26">
        <v>5930000</v>
      </c>
    </row>
    <row r="106" spans="1:99" x14ac:dyDescent="0.3">
      <c r="A106" s="26">
        <v>9</v>
      </c>
      <c r="B106" s="27" t="s">
        <v>41</v>
      </c>
      <c r="C106" s="27" t="s">
        <v>42</v>
      </c>
      <c r="D106" s="27" t="s">
        <v>26</v>
      </c>
      <c r="E106" s="27" t="s">
        <v>27</v>
      </c>
      <c r="F106" s="26">
        <v>8444465474</v>
      </c>
      <c r="G106" s="27" t="s">
        <v>43</v>
      </c>
      <c r="H106" s="26">
        <v>5007600</v>
      </c>
      <c r="I106" s="26">
        <v>5007600</v>
      </c>
      <c r="J106" s="26">
        <v>5007600</v>
      </c>
      <c r="K106" s="26">
        <v>5007600</v>
      </c>
      <c r="L106" s="26">
        <v>5007600</v>
      </c>
      <c r="M106" s="26">
        <v>5007600</v>
      </c>
      <c r="N106" s="26">
        <v>5007600</v>
      </c>
      <c r="O106" s="26">
        <v>5007600</v>
      </c>
      <c r="P106" s="26">
        <v>5007600</v>
      </c>
      <c r="Q106" s="26">
        <v>5007600</v>
      </c>
      <c r="R106" s="26">
        <v>5007600</v>
      </c>
      <c r="S106" s="26">
        <v>5007600</v>
      </c>
      <c r="T106" s="26">
        <v>5007600</v>
      </c>
      <c r="U106" s="26">
        <v>5007600</v>
      </c>
      <c r="V106" s="26">
        <v>5007600</v>
      </c>
      <c r="W106" s="26">
        <v>5007600</v>
      </c>
      <c r="X106" s="26">
        <v>5007600</v>
      </c>
      <c r="Y106" s="26">
        <v>5007600</v>
      </c>
      <c r="Z106" s="26">
        <v>5007600</v>
      </c>
      <c r="AA106" s="26">
        <v>5007600</v>
      </c>
      <c r="AB106" s="26">
        <v>5007600</v>
      </c>
      <c r="AC106" s="26">
        <v>5007600</v>
      </c>
      <c r="AD106" s="26">
        <v>5007600</v>
      </c>
      <c r="AE106" s="26">
        <v>5007600</v>
      </c>
      <c r="AF106" s="26">
        <v>730000</v>
      </c>
      <c r="AG106" s="26">
        <v>730000</v>
      </c>
      <c r="AH106" s="26">
        <v>730000</v>
      </c>
      <c r="AI106" s="26">
        <v>730000</v>
      </c>
      <c r="AJ106" s="26">
        <v>730000</v>
      </c>
      <c r="AK106" s="26">
        <v>730000</v>
      </c>
      <c r="AL106" s="26">
        <v>730000</v>
      </c>
      <c r="AM106" s="26">
        <v>730000</v>
      </c>
      <c r="AN106" s="26">
        <v>730000</v>
      </c>
      <c r="AO106" s="26">
        <v>730000</v>
      </c>
      <c r="AP106" s="26">
        <v>730000</v>
      </c>
      <c r="AQ106" s="26">
        <v>730000</v>
      </c>
      <c r="AR106" s="26">
        <v>500000</v>
      </c>
      <c r="AS106" s="26">
        <v>500000</v>
      </c>
      <c r="AT106" s="26">
        <v>500000</v>
      </c>
      <c r="AU106" s="26">
        <v>500000</v>
      </c>
      <c r="AV106" s="26">
        <v>500000</v>
      </c>
      <c r="AW106" s="26">
        <v>500000</v>
      </c>
      <c r="AX106" s="26">
        <v>500000</v>
      </c>
      <c r="AY106" s="26">
        <v>500000</v>
      </c>
      <c r="AZ106" s="26">
        <v>500000</v>
      </c>
      <c r="BA106" s="26">
        <v>500000</v>
      </c>
      <c r="BB106" s="26">
        <v>500000</v>
      </c>
      <c r="BC106" s="26">
        <v>500000</v>
      </c>
      <c r="BD106" s="26">
        <v>0</v>
      </c>
      <c r="BE106" s="26">
        <v>0</v>
      </c>
      <c r="BF106" s="26">
        <v>0</v>
      </c>
      <c r="BG106" s="26">
        <v>0</v>
      </c>
      <c r="BH106" s="26">
        <v>0</v>
      </c>
      <c r="BI106" s="26">
        <v>0</v>
      </c>
      <c r="BJ106" s="26">
        <v>0</v>
      </c>
      <c r="BK106" s="26">
        <v>0</v>
      </c>
      <c r="BL106" s="26">
        <v>0</v>
      </c>
      <c r="BM106" s="26">
        <v>0</v>
      </c>
      <c r="BN106" s="26">
        <v>0</v>
      </c>
      <c r="BO106" s="26">
        <v>0</v>
      </c>
      <c r="BP106" s="26">
        <v>1200000</v>
      </c>
      <c r="BQ106" s="26">
        <v>1200000</v>
      </c>
      <c r="BR106" s="26">
        <v>1200000</v>
      </c>
      <c r="BS106" s="26">
        <v>1200000</v>
      </c>
      <c r="BT106" s="26">
        <v>1200000</v>
      </c>
      <c r="BU106" s="26">
        <v>1200000</v>
      </c>
      <c r="BV106" s="26">
        <v>1200000</v>
      </c>
      <c r="BW106" s="26">
        <v>1200000</v>
      </c>
      <c r="BX106" s="26">
        <v>1200000</v>
      </c>
      <c r="BY106" s="26">
        <v>1200000</v>
      </c>
      <c r="BZ106" s="26">
        <v>1200000</v>
      </c>
      <c r="CA106" s="26">
        <v>1200000</v>
      </c>
      <c r="CB106" s="26">
        <v>3500000</v>
      </c>
      <c r="CC106" s="26">
        <v>3500000</v>
      </c>
      <c r="CD106" s="26">
        <v>3500000</v>
      </c>
      <c r="CE106" s="26">
        <v>3500000</v>
      </c>
      <c r="CF106" s="26">
        <v>3500000</v>
      </c>
      <c r="CG106" s="26">
        <v>3500000</v>
      </c>
      <c r="CH106" s="26">
        <v>3500000</v>
      </c>
      <c r="CI106" s="26">
        <v>3500000</v>
      </c>
      <c r="CJ106" s="26">
        <v>3500000</v>
      </c>
      <c r="CK106" s="26">
        <v>3500000</v>
      </c>
      <c r="CL106" s="26">
        <v>3500000</v>
      </c>
      <c r="CM106" s="26">
        <v>3500000</v>
      </c>
      <c r="CN106" s="26">
        <v>5007600</v>
      </c>
      <c r="CO106" s="26">
        <v>21</v>
      </c>
      <c r="CP106" s="26">
        <v>5007600</v>
      </c>
      <c r="CQ106" s="26">
        <v>730000</v>
      </c>
      <c r="CR106" s="26">
        <v>500000</v>
      </c>
      <c r="CS106" s="26">
        <v>1200000</v>
      </c>
      <c r="CT106" s="26">
        <v>3500000</v>
      </c>
      <c r="CU106" s="26">
        <v>5930000</v>
      </c>
    </row>
    <row r="107" spans="1:99" x14ac:dyDescent="0.3">
      <c r="A107" s="26">
        <v>9</v>
      </c>
      <c r="B107" s="27" t="s">
        <v>41</v>
      </c>
      <c r="C107" s="27" t="s">
        <v>42</v>
      </c>
      <c r="D107" s="27" t="s">
        <v>26</v>
      </c>
      <c r="E107" s="27" t="s">
        <v>27</v>
      </c>
      <c r="F107" s="26">
        <v>8444465474</v>
      </c>
      <c r="G107" s="27" t="s">
        <v>43</v>
      </c>
      <c r="H107" s="26">
        <v>5007600</v>
      </c>
      <c r="I107" s="26">
        <v>5007600</v>
      </c>
      <c r="J107" s="26">
        <v>5007600</v>
      </c>
      <c r="K107" s="26">
        <v>5007600</v>
      </c>
      <c r="L107" s="26">
        <v>5007600</v>
      </c>
      <c r="M107" s="26">
        <v>5007600</v>
      </c>
      <c r="N107" s="26">
        <v>5007600</v>
      </c>
      <c r="O107" s="26">
        <v>5007600</v>
      </c>
      <c r="P107" s="26">
        <v>5007600</v>
      </c>
      <c r="Q107" s="26">
        <v>5007600</v>
      </c>
      <c r="R107" s="26">
        <v>5007600</v>
      </c>
      <c r="S107" s="26">
        <v>5007600</v>
      </c>
      <c r="T107" s="26">
        <v>5007600</v>
      </c>
      <c r="U107" s="26">
        <v>5007600</v>
      </c>
      <c r="V107" s="26">
        <v>5007600</v>
      </c>
      <c r="W107" s="26">
        <v>5007600</v>
      </c>
      <c r="X107" s="26">
        <v>5007600</v>
      </c>
      <c r="Y107" s="26">
        <v>5007600</v>
      </c>
      <c r="Z107" s="26">
        <v>5007600</v>
      </c>
      <c r="AA107" s="26">
        <v>5007600</v>
      </c>
      <c r="AB107" s="26">
        <v>5007600</v>
      </c>
      <c r="AC107" s="26">
        <v>5007600</v>
      </c>
      <c r="AD107" s="26">
        <v>5007600</v>
      </c>
      <c r="AE107" s="26">
        <v>5007600</v>
      </c>
      <c r="AF107" s="26">
        <v>730000</v>
      </c>
      <c r="AG107" s="26">
        <v>730000</v>
      </c>
      <c r="AH107" s="26">
        <v>730000</v>
      </c>
      <c r="AI107" s="26">
        <v>730000</v>
      </c>
      <c r="AJ107" s="26">
        <v>730000</v>
      </c>
      <c r="AK107" s="26">
        <v>730000</v>
      </c>
      <c r="AL107" s="26">
        <v>730000</v>
      </c>
      <c r="AM107" s="26">
        <v>730000</v>
      </c>
      <c r="AN107" s="26">
        <v>730000</v>
      </c>
      <c r="AO107" s="26">
        <v>730000</v>
      </c>
      <c r="AP107" s="26">
        <v>730000</v>
      </c>
      <c r="AQ107" s="26">
        <v>730000</v>
      </c>
      <c r="AR107" s="26">
        <v>500000</v>
      </c>
      <c r="AS107" s="26">
        <v>500000</v>
      </c>
      <c r="AT107" s="26">
        <v>500000</v>
      </c>
      <c r="AU107" s="26">
        <v>500000</v>
      </c>
      <c r="AV107" s="26">
        <v>500000</v>
      </c>
      <c r="AW107" s="26">
        <v>500000</v>
      </c>
      <c r="AX107" s="26">
        <v>500000</v>
      </c>
      <c r="AY107" s="26">
        <v>500000</v>
      </c>
      <c r="AZ107" s="26">
        <v>500000</v>
      </c>
      <c r="BA107" s="26">
        <v>500000</v>
      </c>
      <c r="BB107" s="26">
        <v>500000</v>
      </c>
      <c r="BC107" s="26">
        <v>500000</v>
      </c>
      <c r="BD107" s="26">
        <v>0</v>
      </c>
      <c r="BE107" s="26">
        <v>0</v>
      </c>
      <c r="BF107" s="26">
        <v>0</v>
      </c>
      <c r="BG107" s="26">
        <v>0</v>
      </c>
      <c r="BH107" s="26">
        <v>0</v>
      </c>
      <c r="BI107" s="26">
        <v>0</v>
      </c>
      <c r="BJ107" s="26">
        <v>0</v>
      </c>
      <c r="BK107" s="26">
        <v>0</v>
      </c>
      <c r="BL107" s="26">
        <v>0</v>
      </c>
      <c r="BM107" s="26">
        <v>0</v>
      </c>
      <c r="BN107" s="26">
        <v>0</v>
      </c>
      <c r="BO107" s="26">
        <v>0</v>
      </c>
      <c r="BP107" s="26">
        <v>1200000</v>
      </c>
      <c r="BQ107" s="26">
        <v>1200000</v>
      </c>
      <c r="BR107" s="26">
        <v>1200000</v>
      </c>
      <c r="BS107" s="26">
        <v>1200000</v>
      </c>
      <c r="BT107" s="26">
        <v>1200000</v>
      </c>
      <c r="BU107" s="26">
        <v>1200000</v>
      </c>
      <c r="BV107" s="26">
        <v>1200000</v>
      </c>
      <c r="BW107" s="26">
        <v>1200000</v>
      </c>
      <c r="BX107" s="26">
        <v>1200000</v>
      </c>
      <c r="BY107" s="26">
        <v>1200000</v>
      </c>
      <c r="BZ107" s="26">
        <v>1200000</v>
      </c>
      <c r="CA107" s="26">
        <v>1200000</v>
      </c>
      <c r="CB107" s="26">
        <v>3500000</v>
      </c>
      <c r="CC107" s="26">
        <v>3500000</v>
      </c>
      <c r="CD107" s="26">
        <v>3500000</v>
      </c>
      <c r="CE107" s="26">
        <v>3500000</v>
      </c>
      <c r="CF107" s="26">
        <v>3500000</v>
      </c>
      <c r="CG107" s="26">
        <v>3500000</v>
      </c>
      <c r="CH107" s="26">
        <v>3500000</v>
      </c>
      <c r="CI107" s="26">
        <v>3500000</v>
      </c>
      <c r="CJ107" s="26">
        <v>3500000</v>
      </c>
      <c r="CK107" s="26">
        <v>3500000</v>
      </c>
      <c r="CL107" s="26">
        <v>3500000</v>
      </c>
      <c r="CM107" s="26">
        <v>3500000</v>
      </c>
      <c r="CN107" s="26">
        <v>5007600</v>
      </c>
      <c r="CO107" s="26">
        <v>22</v>
      </c>
      <c r="CP107" s="26">
        <v>5007600</v>
      </c>
      <c r="CQ107" s="26">
        <v>730000</v>
      </c>
      <c r="CR107" s="26">
        <v>500000</v>
      </c>
      <c r="CS107" s="26">
        <v>1200000</v>
      </c>
      <c r="CT107" s="26">
        <v>3500000</v>
      </c>
      <c r="CU107" s="26">
        <v>5930000</v>
      </c>
    </row>
    <row r="108" spans="1:99" x14ac:dyDescent="0.3">
      <c r="A108" s="26">
        <v>9</v>
      </c>
      <c r="B108" s="27" t="s">
        <v>41</v>
      </c>
      <c r="C108" s="27" t="s">
        <v>42</v>
      </c>
      <c r="D108" s="27" t="s">
        <v>26</v>
      </c>
      <c r="E108" s="27" t="s">
        <v>27</v>
      </c>
      <c r="F108" s="26">
        <v>8444465474</v>
      </c>
      <c r="G108" s="27" t="s">
        <v>43</v>
      </c>
      <c r="H108" s="26">
        <v>5007600</v>
      </c>
      <c r="I108" s="26">
        <v>5007600</v>
      </c>
      <c r="J108" s="26">
        <v>5007600</v>
      </c>
      <c r="K108" s="26">
        <v>5007600</v>
      </c>
      <c r="L108" s="26">
        <v>5007600</v>
      </c>
      <c r="M108" s="26">
        <v>5007600</v>
      </c>
      <c r="N108" s="26">
        <v>5007600</v>
      </c>
      <c r="O108" s="26">
        <v>5007600</v>
      </c>
      <c r="P108" s="26">
        <v>5007600</v>
      </c>
      <c r="Q108" s="26">
        <v>5007600</v>
      </c>
      <c r="R108" s="26">
        <v>5007600</v>
      </c>
      <c r="S108" s="26">
        <v>5007600</v>
      </c>
      <c r="T108" s="26">
        <v>5007600</v>
      </c>
      <c r="U108" s="26">
        <v>5007600</v>
      </c>
      <c r="V108" s="26">
        <v>5007600</v>
      </c>
      <c r="W108" s="26">
        <v>5007600</v>
      </c>
      <c r="X108" s="26">
        <v>5007600</v>
      </c>
      <c r="Y108" s="26">
        <v>5007600</v>
      </c>
      <c r="Z108" s="26">
        <v>5007600</v>
      </c>
      <c r="AA108" s="26">
        <v>5007600</v>
      </c>
      <c r="AB108" s="26">
        <v>5007600</v>
      </c>
      <c r="AC108" s="26">
        <v>5007600</v>
      </c>
      <c r="AD108" s="26">
        <v>5007600</v>
      </c>
      <c r="AE108" s="26">
        <v>5007600</v>
      </c>
      <c r="AF108" s="26">
        <v>730000</v>
      </c>
      <c r="AG108" s="26">
        <v>730000</v>
      </c>
      <c r="AH108" s="26">
        <v>730000</v>
      </c>
      <c r="AI108" s="26">
        <v>730000</v>
      </c>
      <c r="AJ108" s="26">
        <v>730000</v>
      </c>
      <c r="AK108" s="26">
        <v>730000</v>
      </c>
      <c r="AL108" s="26">
        <v>730000</v>
      </c>
      <c r="AM108" s="26">
        <v>730000</v>
      </c>
      <c r="AN108" s="26">
        <v>730000</v>
      </c>
      <c r="AO108" s="26">
        <v>730000</v>
      </c>
      <c r="AP108" s="26">
        <v>730000</v>
      </c>
      <c r="AQ108" s="26">
        <v>730000</v>
      </c>
      <c r="AR108" s="26">
        <v>500000</v>
      </c>
      <c r="AS108" s="26">
        <v>500000</v>
      </c>
      <c r="AT108" s="26">
        <v>500000</v>
      </c>
      <c r="AU108" s="26">
        <v>500000</v>
      </c>
      <c r="AV108" s="26">
        <v>500000</v>
      </c>
      <c r="AW108" s="26">
        <v>500000</v>
      </c>
      <c r="AX108" s="26">
        <v>500000</v>
      </c>
      <c r="AY108" s="26">
        <v>500000</v>
      </c>
      <c r="AZ108" s="26">
        <v>500000</v>
      </c>
      <c r="BA108" s="26">
        <v>500000</v>
      </c>
      <c r="BB108" s="26">
        <v>500000</v>
      </c>
      <c r="BC108" s="26">
        <v>500000</v>
      </c>
      <c r="BD108" s="26">
        <v>0</v>
      </c>
      <c r="BE108" s="26">
        <v>0</v>
      </c>
      <c r="BF108" s="26">
        <v>0</v>
      </c>
      <c r="BG108" s="26">
        <v>0</v>
      </c>
      <c r="BH108" s="26">
        <v>0</v>
      </c>
      <c r="BI108" s="26">
        <v>0</v>
      </c>
      <c r="BJ108" s="26">
        <v>0</v>
      </c>
      <c r="BK108" s="26">
        <v>0</v>
      </c>
      <c r="BL108" s="26">
        <v>0</v>
      </c>
      <c r="BM108" s="26">
        <v>0</v>
      </c>
      <c r="BN108" s="26">
        <v>0</v>
      </c>
      <c r="BO108" s="26">
        <v>0</v>
      </c>
      <c r="BP108" s="26">
        <v>1200000</v>
      </c>
      <c r="BQ108" s="26">
        <v>1200000</v>
      </c>
      <c r="BR108" s="26">
        <v>1200000</v>
      </c>
      <c r="BS108" s="26">
        <v>1200000</v>
      </c>
      <c r="BT108" s="26">
        <v>1200000</v>
      </c>
      <c r="BU108" s="26">
        <v>1200000</v>
      </c>
      <c r="BV108" s="26">
        <v>1200000</v>
      </c>
      <c r="BW108" s="26">
        <v>1200000</v>
      </c>
      <c r="BX108" s="26">
        <v>1200000</v>
      </c>
      <c r="BY108" s="26">
        <v>1200000</v>
      </c>
      <c r="BZ108" s="26">
        <v>1200000</v>
      </c>
      <c r="CA108" s="26">
        <v>1200000</v>
      </c>
      <c r="CB108" s="26">
        <v>3500000</v>
      </c>
      <c r="CC108" s="26">
        <v>3500000</v>
      </c>
      <c r="CD108" s="26">
        <v>3500000</v>
      </c>
      <c r="CE108" s="26">
        <v>3500000</v>
      </c>
      <c r="CF108" s="26">
        <v>3500000</v>
      </c>
      <c r="CG108" s="26">
        <v>3500000</v>
      </c>
      <c r="CH108" s="26">
        <v>3500000</v>
      </c>
      <c r="CI108" s="26">
        <v>3500000</v>
      </c>
      <c r="CJ108" s="26">
        <v>3500000</v>
      </c>
      <c r="CK108" s="26">
        <v>3500000</v>
      </c>
      <c r="CL108" s="26">
        <v>3500000</v>
      </c>
      <c r="CM108" s="26">
        <v>3500000</v>
      </c>
      <c r="CN108" s="26">
        <v>5007600</v>
      </c>
      <c r="CO108" s="26">
        <v>22</v>
      </c>
      <c r="CP108" s="26">
        <v>5007600</v>
      </c>
      <c r="CQ108" s="26">
        <v>730000</v>
      </c>
      <c r="CR108" s="26">
        <v>500000</v>
      </c>
      <c r="CS108" s="26">
        <v>1200000</v>
      </c>
      <c r="CT108" s="26">
        <v>3500000</v>
      </c>
      <c r="CU108" s="26">
        <v>5930000</v>
      </c>
    </row>
    <row r="109" spans="1:99" x14ac:dyDescent="0.3">
      <c r="A109" s="26">
        <v>9</v>
      </c>
      <c r="B109" s="27" t="s">
        <v>41</v>
      </c>
      <c r="C109" s="27" t="s">
        <v>42</v>
      </c>
      <c r="D109" s="27" t="s">
        <v>26</v>
      </c>
      <c r="E109" s="27" t="s">
        <v>27</v>
      </c>
      <c r="F109" s="26">
        <v>8444465474</v>
      </c>
      <c r="G109" s="27" t="s">
        <v>43</v>
      </c>
      <c r="H109" s="26">
        <v>5007600</v>
      </c>
      <c r="I109" s="26">
        <v>5007600</v>
      </c>
      <c r="J109" s="26">
        <v>5007600</v>
      </c>
      <c r="K109" s="26">
        <v>5007600</v>
      </c>
      <c r="L109" s="26">
        <v>5007600</v>
      </c>
      <c r="M109" s="26">
        <v>5007600</v>
      </c>
      <c r="N109" s="26">
        <v>5007600</v>
      </c>
      <c r="O109" s="26">
        <v>5007600</v>
      </c>
      <c r="P109" s="26">
        <v>5007600</v>
      </c>
      <c r="Q109" s="26">
        <v>5007600</v>
      </c>
      <c r="R109" s="26">
        <v>5007600</v>
      </c>
      <c r="S109" s="26">
        <v>5007600</v>
      </c>
      <c r="T109" s="26">
        <v>5007600</v>
      </c>
      <c r="U109" s="26">
        <v>5007600</v>
      </c>
      <c r="V109" s="26">
        <v>5007600</v>
      </c>
      <c r="W109" s="26">
        <v>5007600</v>
      </c>
      <c r="X109" s="26">
        <v>5007600</v>
      </c>
      <c r="Y109" s="26">
        <v>5007600</v>
      </c>
      <c r="Z109" s="26">
        <v>5007600</v>
      </c>
      <c r="AA109" s="26">
        <v>5007600</v>
      </c>
      <c r="AB109" s="26">
        <v>5007600</v>
      </c>
      <c r="AC109" s="26">
        <v>5007600</v>
      </c>
      <c r="AD109" s="26">
        <v>5007600</v>
      </c>
      <c r="AE109" s="26">
        <v>5007600</v>
      </c>
      <c r="AF109" s="26">
        <v>730000</v>
      </c>
      <c r="AG109" s="26">
        <v>730000</v>
      </c>
      <c r="AH109" s="26">
        <v>730000</v>
      </c>
      <c r="AI109" s="26">
        <v>730000</v>
      </c>
      <c r="AJ109" s="26">
        <v>730000</v>
      </c>
      <c r="AK109" s="26">
        <v>730000</v>
      </c>
      <c r="AL109" s="26">
        <v>730000</v>
      </c>
      <c r="AM109" s="26">
        <v>730000</v>
      </c>
      <c r="AN109" s="26">
        <v>730000</v>
      </c>
      <c r="AO109" s="26">
        <v>730000</v>
      </c>
      <c r="AP109" s="26">
        <v>730000</v>
      </c>
      <c r="AQ109" s="26">
        <v>730000</v>
      </c>
      <c r="AR109" s="26">
        <v>500000</v>
      </c>
      <c r="AS109" s="26">
        <v>500000</v>
      </c>
      <c r="AT109" s="26">
        <v>500000</v>
      </c>
      <c r="AU109" s="26">
        <v>500000</v>
      </c>
      <c r="AV109" s="26">
        <v>500000</v>
      </c>
      <c r="AW109" s="26">
        <v>500000</v>
      </c>
      <c r="AX109" s="26">
        <v>500000</v>
      </c>
      <c r="AY109" s="26">
        <v>500000</v>
      </c>
      <c r="AZ109" s="26">
        <v>500000</v>
      </c>
      <c r="BA109" s="26">
        <v>500000</v>
      </c>
      <c r="BB109" s="26">
        <v>500000</v>
      </c>
      <c r="BC109" s="26">
        <v>500000</v>
      </c>
      <c r="BD109" s="26">
        <v>0</v>
      </c>
      <c r="BE109" s="26">
        <v>0</v>
      </c>
      <c r="BF109" s="26">
        <v>0</v>
      </c>
      <c r="BG109" s="26">
        <v>0</v>
      </c>
      <c r="BH109" s="26">
        <v>0</v>
      </c>
      <c r="BI109" s="26">
        <v>0</v>
      </c>
      <c r="BJ109" s="26">
        <v>0</v>
      </c>
      <c r="BK109" s="26">
        <v>0</v>
      </c>
      <c r="BL109" s="26">
        <v>0</v>
      </c>
      <c r="BM109" s="26">
        <v>0</v>
      </c>
      <c r="BN109" s="26">
        <v>0</v>
      </c>
      <c r="BO109" s="26">
        <v>0</v>
      </c>
      <c r="BP109" s="26">
        <v>1200000</v>
      </c>
      <c r="BQ109" s="26">
        <v>1200000</v>
      </c>
      <c r="BR109" s="26">
        <v>1200000</v>
      </c>
      <c r="BS109" s="26">
        <v>1200000</v>
      </c>
      <c r="BT109" s="26">
        <v>1200000</v>
      </c>
      <c r="BU109" s="26">
        <v>1200000</v>
      </c>
      <c r="BV109" s="26">
        <v>1200000</v>
      </c>
      <c r="BW109" s="26">
        <v>1200000</v>
      </c>
      <c r="BX109" s="26">
        <v>1200000</v>
      </c>
      <c r="BY109" s="26">
        <v>1200000</v>
      </c>
      <c r="BZ109" s="26">
        <v>1200000</v>
      </c>
      <c r="CA109" s="26">
        <v>1200000</v>
      </c>
      <c r="CB109" s="26">
        <v>3500000</v>
      </c>
      <c r="CC109" s="26">
        <v>3500000</v>
      </c>
      <c r="CD109" s="26">
        <v>3500000</v>
      </c>
      <c r="CE109" s="26">
        <v>3500000</v>
      </c>
      <c r="CF109" s="26">
        <v>3500000</v>
      </c>
      <c r="CG109" s="26">
        <v>3500000</v>
      </c>
      <c r="CH109" s="26">
        <v>3500000</v>
      </c>
      <c r="CI109" s="26">
        <v>3500000</v>
      </c>
      <c r="CJ109" s="26">
        <v>3500000</v>
      </c>
      <c r="CK109" s="26">
        <v>3500000</v>
      </c>
      <c r="CL109" s="26">
        <v>3500000</v>
      </c>
      <c r="CM109" s="26">
        <v>3500000</v>
      </c>
      <c r="CN109" s="26">
        <v>5007600</v>
      </c>
      <c r="CO109" s="26">
        <v>21</v>
      </c>
      <c r="CP109" s="26">
        <v>5007600</v>
      </c>
      <c r="CQ109" s="26">
        <v>730000</v>
      </c>
      <c r="CR109" s="26">
        <v>500000</v>
      </c>
      <c r="CS109" s="26">
        <v>1200000</v>
      </c>
      <c r="CT109" s="26">
        <v>3500000</v>
      </c>
      <c r="CU109" s="26">
        <v>5930000</v>
      </c>
    </row>
    <row r="110" spans="1:99" x14ac:dyDescent="0.3">
      <c r="A110" s="26">
        <v>10</v>
      </c>
      <c r="B110" s="27" t="s">
        <v>44</v>
      </c>
      <c r="C110" s="27" t="s">
        <v>45</v>
      </c>
      <c r="D110" s="27" t="s">
        <v>26</v>
      </c>
      <c r="E110" s="27" t="s">
        <v>27</v>
      </c>
      <c r="F110" s="26">
        <v>8024957459</v>
      </c>
      <c r="G110" s="27" t="s">
        <v>46</v>
      </c>
      <c r="H110" s="26">
        <v>5007600</v>
      </c>
      <c r="I110" s="26">
        <v>5007600</v>
      </c>
      <c r="J110" s="26">
        <v>5007600</v>
      </c>
      <c r="K110" s="26">
        <v>5007600</v>
      </c>
      <c r="L110" s="26">
        <v>5007600</v>
      </c>
      <c r="M110" s="26">
        <v>5007600</v>
      </c>
      <c r="N110" s="26">
        <v>5007600</v>
      </c>
      <c r="O110" s="26">
        <v>5007600</v>
      </c>
      <c r="P110" s="26">
        <v>5007600</v>
      </c>
      <c r="Q110" s="26">
        <v>5007600</v>
      </c>
      <c r="R110" s="26">
        <v>5007600</v>
      </c>
      <c r="S110" s="26">
        <v>5007600</v>
      </c>
      <c r="T110" s="26">
        <v>5007600</v>
      </c>
      <c r="U110" s="26">
        <v>5007600</v>
      </c>
      <c r="V110" s="26">
        <v>5007600</v>
      </c>
      <c r="W110" s="26">
        <v>5007600</v>
      </c>
      <c r="X110" s="26">
        <v>5007600</v>
      </c>
      <c r="Y110" s="26">
        <v>5007600</v>
      </c>
      <c r="Z110" s="26">
        <v>5007600</v>
      </c>
      <c r="AA110" s="26">
        <v>5007600</v>
      </c>
      <c r="AB110" s="26">
        <v>5007600</v>
      </c>
      <c r="AC110" s="26">
        <v>5007600</v>
      </c>
      <c r="AD110" s="26">
        <v>5007600</v>
      </c>
      <c r="AE110" s="26">
        <v>5007600</v>
      </c>
      <c r="AF110" s="26">
        <v>730000</v>
      </c>
      <c r="AG110" s="26">
        <v>730000</v>
      </c>
      <c r="AH110" s="26">
        <v>730000</v>
      </c>
      <c r="AI110" s="26">
        <v>730000</v>
      </c>
      <c r="AJ110" s="26">
        <v>730000</v>
      </c>
      <c r="AK110" s="26">
        <v>730000</v>
      </c>
      <c r="AL110" s="26">
        <v>730000</v>
      </c>
      <c r="AM110" s="26">
        <v>730000</v>
      </c>
      <c r="AN110" s="26">
        <v>730000</v>
      </c>
      <c r="AO110" s="26">
        <v>730000</v>
      </c>
      <c r="AP110" s="26">
        <v>730000</v>
      </c>
      <c r="AQ110" s="26">
        <v>730000</v>
      </c>
      <c r="AR110" s="26">
        <v>500000</v>
      </c>
      <c r="AS110" s="26">
        <v>500000</v>
      </c>
      <c r="AT110" s="26">
        <v>500000</v>
      </c>
      <c r="AU110" s="26">
        <v>500000</v>
      </c>
      <c r="AV110" s="26">
        <v>500000</v>
      </c>
      <c r="AW110" s="26">
        <v>500000</v>
      </c>
      <c r="AX110" s="26">
        <v>500000</v>
      </c>
      <c r="AY110" s="26">
        <v>500000</v>
      </c>
      <c r="AZ110" s="26">
        <v>500000</v>
      </c>
      <c r="BA110" s="26">
        <v>500000</v>
      </c>
      <c r="BB110" s="26">
        <v>500000</v>
      </c>
      <c r="BC110" s="26">
        <v>500000</v>
      </c>
      <c r="BD110" s="26">
        <v>0</v>
      </c>
      <c r="BE110" s="26">
        <v>0</v>
      </c>
      <c r="BF110" s="26">
        <v>0</v>
      </c>
      <c r="BG110" s="26">
        <v>0</v>
      </c>
      <c r="BH110" s="26">
        <v>0</v>
      </c>
      <c r="BI110" s="26">
        <v>0</v>
      </c>
      <c r="BJ110" s="26">
        <v>0</v>
      </c>
      <c r="BK110" s="26">
        <v>0</v>
      </c>
      <c r="BL110" s="26">
        <v>0</v>
      </c>
      <c r="BM110" s="26">
        <v>0</v>
      </c>
      <c r="BN110" s="26">
        <v>0</v>
      </c>
      <c r="BO110" s="26">
        <v>0</v>
      </c>
      <c r="BP110" s="26">
        <v>1200000</v>
      </c>
      <c r="BQ110" s="26">
        <v>1200000</v>
      </c>
      <c r="BR110" s="26">
        <v>1200000</v>
      </c>
      <c r="BS110" s="26">
        <v>1200000</v>
      </c>
      <c r="BT110" s="26">
        <v>1200000</v>
      </c>
      <c r="BU110" s="26">
        <v>1200000</v>
      </c>
      <c r="BV110" s="26">
        <v>1200000</v>
      </c>
      <c r="BW110" s="26">
        <v>1200000</v>
      </c>
      <c r="BX110" s="26">
        <v>1200000</v>
      </c>
      <c r="BY110" s="26">
        <v>1200000</v>
      </c>
      <c r="BZ110" s="26">
        <v>1200000</v>
      </c>
      <c r="CA110" s="26">
        <v>1200000</v>
      </c>
      <c r="CB110" s="26">
        <v>3500000</v>
      </c>
      <c r="CC110" s="26">
        <v>3500000</v>
      </c>
      <c r="CD110" s="26">
        <v>3500000</v>
      </c>
      <c r="CE110" s="26">
        <v>3500000</v>
      </c>
      <c r="CF110" s="26">
        <v>3500000</v>
      </c>
      <c r="CG110" s="26">
        <v>3500000</v>
      </c>
      <c r="CH110" s="26">
        <v>3500000</v>
      </c>
      <c r="CI110" s="26">
        <v>3500000</v>
      </c>
      <c r="CJ110" s="26">
        <v>3500000</v>
      </c>
      <c r="CK110" s="26">
        <v>3500000</v>
      </c>
      <c r="CL110" s="26">
        <v>3500000</v>
      </c>
      <c r="CM110" s="26">
        <v>3500000</v>
      </c>
      <c r="CN110" s="26">
        <v>5007600</v>
      </c>
      <c r="CO110" s="26">
        <v>20</v>
      </c>
      <c r="CP110" s="26">
        <v>5007600</v>
      </c>
      <c r="CQ110" s="26">
        <v>730000</v>
      </c>
      <c r="CR110" s="26">
        <v>500000</v>
      </c>
      <c r="CS110" s="26">
        <v>1200000</v>
      </c>
      <c r="CT110" s="26">
        <v>3500000</v>
      </c>
      <c r="CU110" s="26">
        <v>5930000</v>
      </c>
    </row>
    <row r="111" spans="1:99" x14ac:dyDescent="0.3">
      <c r="A111" s="26">
        <v>10</v>
      </c>
      <c r="B111" s="27" t="s">
        <v>44</v>
      </c>
      <c r="C111" s="27" t="s">
        <v>45</v>
      </c>
      <c r="D111" s="27" t="s">
        <v>26</v>
      </c>
      <c r="E111" s="27" t="s">
        <v>27</v>
      </c>
      <c r="F111" s="26">
        <v>8024957459</v>
      </c>
      <c r="G111" s="27" t="s">
        <v>46</v>
      </c>
      <c r="H111" s="26">
        <v>5007600</v>
      </c>
      <c r="I111" s="26">
        <v>5007600</v>
      </c>
      <c r="J111" s="26">
        <v>5007600</v>
      </c>
      <c r="K111" s="26">
        <v>5007600</v>
      </c>
      <c r="L111" s="26">
        <v>5007600</v>
      </c>
      <c r="M111" s="26">
        <v>5007600</v>
      </c>
      <c r="N111" s="26">
        <v>5007600</v>
      </c>
      <c r="O111" s="26">
        <v>5007600</v>
      </c>
      <c r="P111" s="26">
        <v>5007600</v>
      </c>
      <c r="Q111" s="26">
        <v>5007600</v>
      </c>
      <c r="R111" s="26">
        <v>5007600</v>
      </c>
      <c r="S111" s="26">
        <v>5007600</v>
      </c>
      <c r="T111" s="26">
        <v>5007600</v>
      </c>
      <c r="U111" s="26">
        <v>5007600</v>
      </c>
      <c r="V111" s="26">
        <v>5007600</v>
      </c>
      <c r="W111" s="26">
        <v>5007600</v>
      </c>
      <c r="X111" s="26">
        <v>5007600</v>
      </c>
      <c r="Y111" s="26">
        <v>5007600</v>
      </c>
      <c r="Z111" s="26">
        <v>5007600</v>
      </c>
      <c r="AA111" s="26">
        <v>5007600</v>
      </c>
      <c r="AB111" s="26">
        <v>5007600</v>
      </c>
      <c r="AC111" s="26">
        <v>5007600</v>
      </c>
      <c r="AD111" s="26">
        <v>5007600</v>
      </c>
      <c r="AE111" s="26">
        <v>5007600</v>
      </c>
      <c r="AF111" s="26">
        <v>730000</v>
      </c>
      <c r="AG111" s="26">
        <v>730000</v>
      </c>
      <c r="AH111" s="26">
        <v>730000</v>
      </c>
      <c r="AI111" s="26">
        <v>730000</v>
      </c>
      <c r="AJ111" s="26">
        <v>730000</v>
      </c>
      <c r="AK111" s="26">
        <v>730000</v>
      </c>
      <c r="AL111" s="26">
        <v>730000</v>
      </c>
      <c r="AM111" s="26">
        <v>730000</v>
      </c>
      <c r="AN111" s="26">
        <v>730000</v>
      </c>
      <c r="AO111" s="26">
        <v>730000</v>
      </c>
      <c r="AP111" s="26">
        <v>730000</v>
      </c>
      <c r="AQ111" s="26">
        <v>730000</v>
      </c>
      <c r="AR111" s="26">
        <v>500000</v>
      </c>
      <c r="AS111" s="26">
        <v>500000</v>
      </c>
      <c r="AT111" s="26">
        <v>500000</v>
      </c>
      <c r="AU111" s="26">
        <v>500000</v>
      </c>
      <c r="AV111" s="26">
        <v>500000</v>
      </c>
      <c r="AW111" s="26">
        <v>500000</v>
      </c>
      <c r="AX111" s="26">
        <v>500000</v>
      </c>
      <c r="AY111" s="26">
        <v>500000</v>
      </c>
      <c r="AZ111" s="26">
        <v>500000</v>
      </c>
      <c r="BA111" s="26">
        <v>500000</v>
      </c>
      <c r="BB111" s="26">
        <v>500000</v>
      </c>
      <c r="BC111" s="26">
        <v>500000</v>
      </c>
      <c r="BD111" s="26">
        <v>0</v>
      </c>
      <c r="BE111" s="26">
        <v>0</v>
      </c>
      <c r="BF111" s="26">
        <v>0</v>
      </c>
      <c r="BG111" s="26">
        <v>0</v>
      </c>
      <c r="BH111" s="26">
        <v>0</v>
      </c>
      <c r="BI111" s="26">
        <v>0</v>
      </c>
      <c r="BJ111" s="26">
        <v>0</v>
      </c>
      <c r="BK111" s="26">
        <v>0</v>
      </c>
      <c r="BL111" s="26">
        <v>0</v>
      </c>
      <c r="BM111" s="26">
        <v>0</v>
      </c>
      <c r="BN111" s="26">
        <v>0</v>
      </c>
      <c r="BO111" s="26">
        <v>0</v>
      </c>
      <c r="BP111" s="26">
        <v>1200000</v>
      </c>
      <c r="BQ111" s="26">
        <v>1200000</v>
      </c>
      <c r="BR111" s="26">
        <v>1200000</v>
      </c>
      <c r="BS111" s="26">
        <v>1200000</v>
      </c>
      <c r="BT111" s="26">
        <v>1200000</v>
      </c>
      <c r="BU111" s="26">
        <v>1200000</v>
      </c>
      <c r="BV111" s="26">
        <v>1200000</v>
      </c>
      <c r="BW111" s="26">
        <v>1200000</v>
      </c>
      <c r="BX111" s="26">
        <v>1200000</v>
      </c>
      <c r="BY111" s="26">
        <v>1200000</v>
      </c>
      <c r="BZ111" s="26">
        <v>1200000</v>
      </c>
      <c r="CA111" s="26">
        <v>1200000</v>
      </c>
      <c r="CB111" s="26">
        <v>3500000</v>
      </c>
      <c r="CC111" s="26">
        <v>3500000</v>
      </c>
      <c r="CD111" s="26">
        <v>3500000</v>
      </c>
      <c r="CE111" s="26">
        <v>3500000</v>
      </c>
      <c r="CF111" s="26">
        <v>3500000</v>
      </c>
      <c r="CG111" s="26">
        <v>3500000</v>
      </c>
      <c r="CH111" s="26">
        <v>3500000</v>
      </c>
      <c r="CI111" s="26">
        <v>3500000</v>
      </c>
      <c r="CJ111" s="26">
        <v>3500000</v>
      </c>
      <c r="CK111" s="26">
        <v>3500000</v>
      </c>
      <c r="CL111" s="26">
        <v>3500000</v>
      </c>
      <c r="CM111" s="26">
        <v>3500000</v>
      </c>
      <c r="CN111" s="26">
        <v>5007600</v>
      </c>
      <c r="CO111" s="26">
        <v>20</v>
      </c>
      <c r="CP111" s="26">
        <v>5007600</v>
      </c>
      <c r="CQ111" s="26">
        <v>730000</v>
      </c>
      <c r="CR111" s="26">
        <v>500000</v>
      </c>
      <c r="CS111" s="26">
        <v>1200000</v>
      </c>
      <c r="CT111" s="26">
        <v>3500000</v>
      </c>
      <c r="CU111" s="26">
        <v>5930000</v>
      </c>
    </row>
    <row r="112" spans="1:99" x14ac:dyDescent="0.3">
      <c r="A112" s="26">
        <v>10</v>
      </c>
      <c r="B112" s="27" t="s">
        <v>44</v>
      </c>
      <c r="C112" s="27" t="s">
        <v>45</v>
      </c>
      <c r="D112" s="27" t="s">
        <v>26</v>
      </c>
      <c r="E112" s="27" t="s">
        <v>27</v>
      </c>
      <c r="F112" s="26">
        <v>8024957459</v>
      </c>
      <c r="G112" s="27" t="s">
        <v>46</v>
      </c>
      <c r="H112" s="26">
        <v>5007600</v>
      </c>
      <c r="I112" s="26">
        <v>5007600</v>
      </c>
      <c r="J112" s="26">
        <v>5007600</v>
      </c>
      <c r="K112" s="26">
        <v>5007600</v>
      </c>
      <c r="L112" s="26">
        <v>5007600</v>
      </c>
      <c r="M112" s="26">
        <v>5007600</v>
      </c>
      <c r="N112" s="26">
        <v>5007600</v>
      </c>
      <c r="O112" s="26">
        <v>5007600</v>
      </c>
      <c r="P112" s="26">
        <v>5007600</v>
      </c>
      <c r="Q112" s="26">
        <v>5007600</v>
      </c>
      <c r="R112" s="26">
        <v>5007600</v>
      </c>
      <c r="S112" s="26">
        <v>5007600</v>
      </c>
      <c r="T112" s="26">
        <v>5007600</v>
      </c>
      <c r="U112" s="26">
        <v>5007600</v>
      </c>
      <c r="V112" s="26">
        <v>5007600</v>
      </c>
      <c r="W112" s="26">
        <v>5007600</v>
      </c>
      <c r="X112" s="26">
        <v>5007600</v>
      </c>
      <c r="Y112" s="26">
        <v>5007600</v>
      </c>
      <c r="Z112" s="26">
        <v>5007600</v>
      </c>
      <c r="AA112" s="26">
        <v>5007600</v>
      </c>
      <c r="AB112" s="26">
        <v>5007600</v>
      </c>
      <c r="AC112" s="26">
        <v>5007600</v>
      </c>
      <c r="AD112" s="26">
        <v>5007600</v>
      </c>
      <c r="AE112" s="26">
        <v>5007600</v>
      </c>
      <c r="AF112" s="26">
        <v>730000</v>
      </c>
      <c r="AG112" s="26">
        <v>730000</v>
      </c>
      <c r="AH112" s="26">
        <v>730000</v>
      </c>
      <c r="AI112" s="26">
        <v>730000</v>
      </c>
      <c r="AJ112" s="26">
        <v>730000</v>
      </c>
      <c r="AK112" s="26">
        <v>730000</v>
      </c>
      <c r="AL112" s="26">
        <v>730000</v>
      </c>
      <c r="AM112" s="26">
        <v>730000</v>
      </c>
      <c r="AN112" s="26">
        <v>730000</v>
      </c>
      <c r="AO112" s="26">
        <v>730000</v>
      </c>
      <c r="AP112" s="26">
        <v>730000</v>
      </c>
      <c r="AQ112" s="26">
        <v>730000</v>
      </c>
      <c r="AR112" s="26">
        <v>500000</v>
      </c>
      <c r="AS112" s="26">
        <v>500000</v>
      </c>
      <c r="AT112" s="26">
        <v>500000</v>
      </c>
      <c r="AU112" s="26">
        <v>500000</v>
      </c>
      <c r="AV112" s="26">
        <v>500000</v>
      </c>
      <c r="AW112" s="26">
        <v>500000</v>
      </c>
      <c r="AX112" s="26">
        <v>500000</v>
      </c>
      <c r="AY112" s="26">
        <v>500000</v>
      </c>
      <c r="AZ112" s="26">
        <v>500000</v>
      </c>
      <c r="BA112" s="26">
        <v>500000</v>
      </c>
      <c r="BB112" s="26">
        <v>500000</v>
      </c>
      <c r="BC112" s="26">
        <v>500000</v>
      </c>
      <c r="BD112" s="26">
        <v>0</v>
      </c>
      <c r="BE112" s="26">
        <v>0</v>
      </c>
      <c r="BF112" s="26">
        <v>0</v>
      </c>
      <c r="BG112" s="26">
        <v>0</v>
      </c>
      <c r="BH112" s="26">
        <v>0</v>
      </c>
      <c r="BI112" s="26">
        <v>0</v>
      </c>
      <c r="BJ112" s="26">
        <v>0</v>
      </c>
      <c r="BK112" s="26">
        <v>0</v>
      </c>
      <c r="BL112" s="26">
        <v>0</v>
      </c>
      <c r="BM112" s="26">
        <v>0</v>
      </c>
      <c r="BN112" s="26">
        <v>0</v>
      </c>
      <c r="BO112" s="26">
        <v>0</v>
      </c>
      <c r="BP112" s="26">
        <v>1200000</v>
      </c>
      <c r="BQ112" s="26">
        <v>1200000</v>
      </c>
      <c r="BR112" s="26">
        <v>1200000</v>
      </c>
      <c r="BS112" s="26">
        <v>1200000</v>
      </c>
      <c r="BT112" s="26">
        <v>1200000</v>
      </c>
      <c r="BU112" s="26">
        <v>1200000</v>
      </c>
      <c r="BV112" s="26">
        <v>1200000</v>
      </c>
      <c r="BW112" s="26">
        <v>1200000</v>
      </c>
      <c r="BX112" s="26">
        <v>1200000</v>
      </c>
      <c r="BY112" s="26">
        <v>1200000</v>
      </c>
      <c r="BZ112" s="26">
        <v>1200000</v>
      </c>
      <c r="CA112" s="26">
        <v>1200000</v>
      </c>
      <c r="CB112" s="26">
        <v>3500000</v>
      </c>
      <c r="CC112" s="26">
        <v>3500000</v>
      </c>
      <c r="CD112" s="26">
        <v>3500000</v>
      </c>
      <c r="CE112" s="26">
        <v>3500000</v>
      </c>
      <c r="CF112" s="26">
        <v>3500000</v>
      </c>
      <c r="CG112" s="26">
        <v>3500000</v>
      </c>
      <c r="CH112" s="26">
        <v>3500000</v>
      </c>
      <c r="CI112" s="26">
        <v>3500000</v>
      </c>
      <c r="CJ112" s="26">
        <v>3500000</v>
      </c>
      <c r="CK112" s="26">
        <v>3500000</v>
      </c>
      <c r="CL112" s="26">
        <v>3500000</v>
      </c>
      <c r="CM112" s="26">
        <v>3500000</v>
      </c>
      <c r="CN112" s="26">
        <v>5007600</v>
      </c>
      <c r="CO112" s="26">
        <v>22</v>
      </c>
      <c r="CP112" s="26">
        <v>5007600</v>
      </c>
      <c r="CQ112" s="26">
        <v>730000</v>
      </c>
      <c r="CR112" s="26">
        <v>500000</v>
      </c>
      <c r="CS112" s="26">
        <v>1200000</v>
      </c>
      <c r="CT112" s="26">
        <v>3500000</v>
      </c>
      <c r="CU112" s="26">
        <v>5930000</v>
      </c>
    </row>
    <row r="113" spans="1:99" x14ac:dyDescent="0.3">
      <c r="A113" s="26">
        <v>10</v>
      </c>
      <c r="B113" s="27" t="s">
        <v>44</v>
      </c>
      <c r="C113" s="27" t="s">
        <v>45</v>
      </c>
      <c r="D113" s="27" t="s">
        <v>26</v>
      </c>
      <c r="E113" s="27" t="s">
        <v>27</v>
      </c>
      <c r="F113" s="26">
        <v>8024957459</v>
      </c>
      <c r="G113" s="27" t="s">
        <v>46</v>
      </c>
      <c r="H113" s="26">
        <v>5007600</v>
      </c>
      <c r="I113" s="26">
        <v>5007600</v>
      </c>
      <c r="J113" s="26">
        <v>5007600</v>
      </c>
      <c r="K113" s="26">
        <v>5007600</v>
      </c>
      <c r="L113" s="26">
        <v>5007600</v>
      </c>
      <c r="M113" s="26">
        <v>5007600</v>
      </c>
      <c r="N113" s="26">
        <v>5007600</v>
      </c>
      <c r="O113" s="26">
        <v>5007600</v>
      </c>
      <c r="P113" s="26">
        <v>5007600</v>
      </c>
      <c r="Q113" s="26">
        <v>5007600</v>
      </c>
      <c r="R113" s="26">
        <v>5007600</v>
      </c>
      <c r="S113" s="26">
        <v>5007600</v>
      </c>
      <c r="T113" s="26">
        <v>5007600</v>
      </c>
      <c r="U113" s="26">
        <v>5007600</v>
      </c>
      <c r="V113" s="26">
        <v>5007600</v>
      </c>
      <c r="W113" s="26">
        <v>5007600</v>
      </c>
      <c r="X113" s="26">
        <v>5007600</v>
      </c>
      <c r="Y113" s="26">
        <v>5007600</v>
      </c>
      <c r="Z113" s="26">
        <v>5007600</v>
      </c>
      <c r="AA113" s="26">
        <v>5007600</v>
      </c>
      <c r="AB113" s="26">
        <v>5007600</v>
      </c>
      <c r="AC113" s="26">
        <v>5007600</v>
      </c>
      <c r="AD113" s="26">
        <v>5007600</v>
      </c>
      <c r="AE113" s="26">
        <v>5007600</v>
      </c>
      <c r="AF113" s="26">
        <v>730000</v>
      </c>
      <c r="AG113" s="26">
        <v>730000</v>
      </c>
      <c r="AH113" s="26">
        <v>730000</v>
      </c>
      <c r="AI113" s="26">
        <v>730000</v>
      </c>
      <c r="AJ113" s="26">
        <v>730000</v>
      </c>
      <c r="AK113" s="26">
        <v>730000</v>
      </c>
      <c r="AL113" s="26">
        <v>730000</v>
      </c>
      <c r="AM113" s="26">
        <v>730000</v>
      </c>
      <c r="AN113" s="26">
        <v>730000</v>
      </c>
      <c r="AO113" s="26">
        <v>730000</v>
      </c>
      <c r="AP113" s="26">
        <v>730000</v>
      </c>
      <c r="AQ113" s="26">
        <v>730000</v>
      </c>
      <c r="AR113" s="26">
        <v>500000</v>
      </c>
      <c r="AS113" s="26">
        <v>500000</v>
      </c>
      <c r="AT113" s="26">
        <v>500000</v>
      </c>
      <c r="AU113" s="26">
        <v>500000</v>
      </c>
      <c r="AV113" s="26">
        <v>500000</v>
      </c>
      <c r="AW113" s="26">
        <v>500000</v>
      </c>
      <c r="AX113" s="26">
        <v>500000</v>
      </c>
      <c r="AY113" s="26">
        <v>500000</v>
      </c>
      <c r="AZ113" s="26">
        <v>500000</v>
      </c>
      <c r="BA113" s="26">
        <v>500000</v>
      </c>
      <c r="BB113" s="26">
        <v>500000</v>
      </c>
      <c r="BC113" s="26">
        <v>500000</v>
      </c>
      <c r="BD113" s="26">
        <v>0</v>
      </c>
      <c r="BE113" s="26">
        <v>0</v>
      </c>
      <c r="BF113" s="26">
        <v>0</v>
      </c>
      <c r="BG113" s="26">
        <v>0</v>
      </c>
      <c r="BH113" s="26">
        <v>0</v>
      </c>
      <c r="BI113" s="26">
        <v>0</v>
      </c>
      <c r="BJ113" s="26">
        <v>0</v>
      </c>
      <c r="BK113" s="26">
        <v>0</v>
      </c>
      <c r="BL113" s="26">
        <v>0</v>
      </c>
      <c r="BM113" s="26">
        <v>0</v>
      </c>
      <c r="BN113" s="26">
        <v>0</v>
      </c>
      <c r="BO113" s="26">
        <v>0</v>
      </c>
      <c r="BP113" s="26">
        <v>1200000</v>
      </c>
      <c r="BQ113" s="26">
        <v>1200000</v>
      </c>
      <c r="BR113" s="26">
        <v>1200000</v>
      </c>
      <c r="BS113" s="26">
        <v>1200000</v>
      </c>
      <c r="BT113" s="26">
        <v>1200000</v>
      </c>
      <c r="BU113" s="26">
        <v>1200000</v>
      </c>
      <c r="BV113" s="26">
        <v>1200000</v>
      </c>
      <c r="BW113" s="26">
        <v>1200000</v>
      </c>
      <c r="BX113" s="26">
        <v>1200000</v>
      </c>
      <c r="BY113" s="26">
        <v>1200000</v>
      </c>
      <c r="BZ113" s="26">
        <v>1200000</v>
      </c>
      <c r="CA113" s="26">
        <v>1200000</v>
      </c>
      <c r="CB113" s="26">
        <v>3500000</v>
      </c>
      <c r="CC113" s="26">
        <v>3500000</v>
      </c>
      <c r="CD113" s="26">
        <v>3500000</v>
      </c>
      <c r="CE113" s="26">
        <v>3500000</v>
      </c>
      <c r="CF113" s="26">
        <v>3500000</v>
      </c>
      <c r="CG113" s="26">
        <v>3500000</v>
      </c>
      <c r="CH113" s="26">
        <v>3500000</v>
      </c>
      <c r="CI113" s="26">
        <v>3500000</v>
      </c>
      <c r="CJ113" s="26">
        <v>3500000</v>
      </c>
      <c r="CK113" s="26">
        <v>3500000</v>
      </c>
      <c r="CL113" s="26">
        <v>3500000</v>
      </c>
      <c r="CM113" s="26">
        <v>3500000</v>
      </c>
      <c r="CN113" s="26">
        <v>5007600</v>
      </c>
      <c r="CO113" s="26">
        <v>21</v>
      </c>
      <c r="CP113" s="26">
        <v>5007600</v>
      </c>
      <c r="CQ113" s="26">
        <v>730000</v>
      </c>
      <c r="CR113" s="26">
        <v>500000</v>
      </c>
      <c r="CS113" s="26">
        <v>1200000</v>
      </c>
      <c r="CT113" s="26">
        <v>3500000</v>
      </c>
      <c r="CU113" s="26">
        <v>5930000</v>
      </c>
    </row>
    <row r="114" spans="1:99" x14ac:dyDescent="0.3">
      <c r="A114" s="26">
        <v>10</v>
      </c>
      <c r="B114" s="27" t="s">
        <v>44</v>
      </c>
      <c r="C114" s="27" t="s">
        <v>45</v>
      </c>
      <c r="D114" s="27" t="s">
        <v>26</v>
      </c>
      <c r="E114" s="27" t="s">
        <v>27</v>
      </c>
      <c r="F114" s="26">
        <v>8024957459</v>
      </c>
      <c r="G114" s="27" t="s">
        <v>46</v>
      </c>
      <c r="H114" s="26">
        <v>5007600</v>
      </c>
      <c r="I114" s="26">
        <v>5007600</v>
      </c>
      <c r="J114" s="26">
        <v>5007600</v>
      </c>
      <c r="K114" s="26">
        <v>5007600</v>
      </c>
      <c r="L114" s="26">
        <v>5007600</v>
      </c>
      <c r="M114" s="26">
        <v>5007600</v>
      </c>
      <c r="N114" s="26">
        <v>5007600</v>
      </c>
      <c r="O114" s="26">
        <v>5007600</v>
      </c>
      <c r="P114" s="26">
        <v>5007600</v>
      </c>
      <c r="Q114" s="26">
        <v>5007600</v>
      </c>
      <c r="R114" s="26">
        <v>5007600</v>
      </c>
      <c r="S114" s="26">
        <v>5007600</v>
      </c>
      <c r="T114" s="26">
        <v>5007600</v>
      </c>
      <c r="U114" s="26">
        <v>5007600</v>
      </c>
      <c r="V114" s="26">
        <v>5007600</v>
      </c>
      <c r="W114" s="26">
        <v>5007600</v>
      </c>
      <c r="X114" s="26">
        <v>5007600</v>
      </c>
      <c r="Y114" s="26">
        <v>5007600</v>
      </c>
      <c r="Z114" s="26">
        <v>5007600</v>
      </c>
      <c r="AA114" s="26">
        <v>5007600</v>
      </c>
      <c r="AB114" s="26">
        <v>5007600</v>
      </c>
      <c r="AC114" s="26">
        <v>5007600</v>
      </c>
      <c r="AD114" s="26">
        <v>5007600</v>
      </c>
      <c r="AE114" s="26">
        <v>5007600</v>
      </c>
      <c r="AF114" s="26">
        <v>730000</v>
      </c>
      <c r="AG114" s="26">
        <v>730000</v>
      </c>
      <c r="AH114" s="26">
        <v>730000</v>
      </c>
      <c r="AI114" s="26">
        <v>730000</v>
      </c>
      <c r="AJ114" s="26">
        <v>730000</v>
      </c>
      <c r="AK114" s="26">
        <v>730000</v>
      </c>
      <c r="AL114" s="26">
        <v>730000</v>
      </c>
      <c r="AM114" s="26">
        <v>730000</v>
      </c>
      <c r="AN114" s="26">
        <v>730000</v>
      </c>
      <c r="AO114" s="26">
        <v>730000</v>
      </c>
      <c r="AP114" s="26">
        <v>730000</v>
      </c>
      <c r="AQ114" s="26">
        <v>730000</v>
      </c>
      <c r="AR114" s="26">
        <v>500000</v>
      </c>
      <c r="AS114" s="26">
        <v>500000</v>
      </c>
      <c r="AT114" s="26">
        <v>500000</v>
      </c>
      <c r="AU114" s="26">
        <v>500000</v>
      </c>
      <c r="AV114" s="26">
        <v>500000</v>
      </c>
      <c r="AW114" s="26">
        <v>500000</v>
      </c>
      <c r="AX114" s="26">
        <v>500000</v>
      </c>
      <c r="AY114" s="26">
        <v>500000</v>
      </c>
      <c r="AZ114" s="26">
        <v>500000</v>
      </c>
      <c r="BA114" s="26">
        <v>500000</v>
      </c>
      <c r="BB114" s="26">
        <v>500000</v>
      </c>
      <c r="BC114" s="26">
        <v>500000</v>
      </c>
      <c r="BD114" s="26">
        <v>0</v>
      </c>
      <c r="BE114" s="26">
        <v>0</v>
      </c>
      <c r="BF114" s="26">
        <v>0</v>
      </c>
      <c r="BG114" s="26">
        <v>0</v>
      </c>
      <c r="BH114" s="26">
        <v>0</v>
      </c>
      <c r="BI114" s="26">
        <v>0</v>
      </c>
      <c r="BJ114" s="26">
        <v>0</v>
      </c>
      <c r="BK114" s="26">
        <v>0</v>
      </c>
      <c r="BL114" s="26">
        <v>0</v>
      </c>
      <c r="BM114" s="26">
        <v>0</v>
      </c>
      <c r="BN114" s="26">
        <v>0</v>
      </c>
      <c r="BO114" s="26">
        <v>0</v>
      </c>
      <c r="BP114" s="26">
        <v>1200000</v>
      </c>
      <c r="BQ114" s="26">
        <v>1200000</v>
      </c>
      <c r="BR114" s="26">
        <v>1200000</v>
      </c>
      <c r="BS114" s="26">
        <v>1200000</v>
      </c>
      <c r="BT114" s="26">
        <v>1200000</v>
      </c>
      <c r="BU114" s="26">
        <v>1200000</v>
      </c>
      <c r="BV114" s="26">
        <v>1200000</v>
      </c>
      <c r="BW114" s="26">
        <v>1200000</v>
      </c>
      <c r="BX114" s="26">
        <v>1200000</v>
      </c>
      <c r="BY114" s="26">
        <v>1200000</v>
      </c>
      <c r="BZ114" s="26">
        <v>1200000</v>
      </c>
      <c r="CA114" s="26">
        <v>1200000</v>
      </c>
      <c r="CB114" s="26">
        <v>3500000</v>
      </c>
      <c r="CC114" s="26">
        <v>3500000</v>
      </c>
      <c r="CD114" s="26">
        <v>3500000</v>
      </c>
      <c r="CE114" s="26">
        <v>3500000</v>
      </c>
      <c r="CF114" s="26">
        <v>3500000</v>
      </c>
      <c r="CG114" s="26">
        <v>3500000</v>
      </c>
      <c r="CH114" s="26">
        <v>3500000</v>
      </c>
      <c r="CI114" s="26">
        <v>3500000</v>
      </c>
      <c r="CJ114" s="26">
        <v>3500000</v>
      </c>
      <c r="CK114" s="26">
        <v>3500000</v>
      </c>
      <c r="CL114" s="26">
        <v>3500000</v>
      </c>
      <c r="CM114" s="26">
        <v>3500000</v>
      </c>
      <c r="CN114" s="26">
        <v>5007600</v>
      </c>
      <c r="CO114" s="26">
        <v>23</v>
      </c>
      <c r="CP114" s="26">
        <v>5007600</v>
      </c>
      <c r="CQ114" s="26">
        <v>730000</v>
      </c>
      <c r="CR114" s="26">
        <v>500000</v>
      </c>
      <c r="CS114" s="26">
        <v>1200000</v>
      </c>
      <c r="CT114" s="26">
        <v>3500000</v>
      </c>
      <c r="CU114" s="26">
        <v>5930000</v>
      </c>
    </row>
    <row r="115" spans="1:99" x14ac:dyDescent="0.3">
      <c r="A115" s="26">
        <v>10</v>
      </c>
      <c r="B115" s="27" t="s">
        <v>44</v>
      </c>
      <c r="C115" s="27" t="s">
        <v>45</v>
      </c>
      <c r="D115" s="27" t="s">
        <v>26</v>
      </c>
      <c r="E115" s="27" t="s">
        <v>27</v>
      </c>
      <c r="F115" s="26">
        <v>8024957459</v>
      </c>
      <c r="G115" s="27" t="s">
        <v>46</v>
      </c>
      <c r="H115" s="26">
        <v>5007600</v>
      </c>
      <c r="I115" s="26">
        <v>5007600</v>
      </c>
      <c r="J115" s="26">
        <v>5007600</v>
      </c>
      <c r="K115" s="26">
        <v>5007600</v>
      </c>
      <c r="L115" s="26">
        <v>5007600</v>
      </c>
      <c r="M115" s="26">
        <v>5007600</v>
      </c>
      <c r="N115" s="26">
        <v>5007600</v>
      </c>
      <c r="O115" s="26">
        <v>5007600</v>
      </c>
      <c r="P115" s="26">
        <v>5007600</v>
      </c>
      <c r="Q115" s="26">
        <v>5007600</v>
      </c>
      <c r="R115" s="26">
        <v>5007600</v>
      </c>
      <c r="S115" s="26">
        <v>5007600</v>
      </c>
      <c r="T115" s="26">
        <v>5007600</v>
      </c>
      <c r="U115" s="26">
        <v>5007600</v>
      </c>
      <c r="V115" s="26">
        <v>5007600</v>
      </c>
      <c r="W115" s="26">
        <v>5007600</v>
      </c>
      <c r="X115" s="26">
        <v>5007600</v>
      </c>
      <c r="Y115" s="26">
        <v>5007600</v>
      </c>
      <c r="Z115" s="26">
        <v>5007600</v>
      </c>
      <c r="AA115" s="26">
        <v>5007600</v>
      </c>
      <c r="AB115" s="26">
        <v>5007600</v>
      </c>
      <c r="AC115" s="26">
        <v>5007600</v>
      </c>
      <c r="AD115" s="26">
        <v>5007600</v>
      </c>
      <c r="AE115" s="26">
        <v>5007600</v>
      </c>
      <c r="AF115" s="26">
        <v>730000</v>
      </c>
      <c r="AG115" s="26">
        <v>730000</v>
      </c>
      <c r="AH115" s="26">
        <v>730000</v>
      </c>
      <c r="AI115" s="26">
        <v>730000</v>
      </c>
      <c r="AJ115" s="26">
        <v>730000</v>
      </c>
      <c r="AK115" s="26">
        <v>730000</v>
      </c>
      <c r="AL115" s="26">
        <v>730000</v>
      </c>
      <c r="AM115" s="26">
        <v>730000</v>
      </c>
      <c r="AN115" s="26">
        <v>730000</v>
      </c>
      <c r="AO115" s="26">
        <v>730000</v>
      </c>
      <c r="AP115" s="26">
        <v>730000</v>
      </c>
      <c r="AQ115" s="26">
        <v>730000</v>
      </c>
      <c r="AR115" s="26">
        <v>500000</v>
      </c>
      <c r="AS115" s="26">
        <v>500000</v>
      </c>
      <c r="AT115" s="26">
        <v>500000</v>
      </c>
      <c r="AU115" s="26">
        <v>500000</v>
      </c>
      <c r="AV115" s="26">
        <v>500000</v>
      </c>
      <c r="AW115" s="26">
        <v>500000</v>
      </c>
      <c r="AX115" s="26">
        <v>500000</v>
      </c>
      <c r="AY115" s="26">
        <v>500000</v>
      </c>
      <c r="AZ115" s="26">
        <v>500000</v>
      </c>
      <c r="BA115" s="26">
        <v>500000</v>
      </c>
      <c r="BB115" s="26">
        <v>500000</v>
      </c>
      <c r="BC115" s="26">
        <v>500000</v>
      </c>
      <c r="BD115" s="26">
        <v>0</v>
      </c>
      <c r="BE115" s="26">
        <v>0</v>
      </c>
      <c r="BF115" s="26">
        <v>0</v>
      </c>
      <c r="BG115" s="26">
        <v>0</v>
      </c>
      <c r="BH115" s="26">
        <v>0</v>
      </c>
      <c r="BI115" s="26">
        <v>0</v>
      </c>
      <c r="BJ115" s="26">
        <v>0</v>
      </c>
      <c r="BK115" s="26">
        <v>0</v>
      </c>
      <c r="BL115" s="26">
        <v>0</v>
      </c>
      <c r="BM115" s="26">
        <v>0</v>
      </c>
      <c r="BN115" s="26">
        <v>0</v>
      </c>
      <c r="BO115" s="26">
        <v>0</v>
      </c>
      <c r="BP115" s="26">
        <v>1200000</v>
      </c>
      <c r="BQ115" s="26">
        <v>1200000</v>
      </c>
      <c r="BR115" s="26">
        <v>1200000</v>
      </c>
      <c r="BS115" s="26">
        <v>1200000</v>
      </c>
      <c r="BT115" s="26">
        <v>1200000</v>
      </c>
      <c r="BU115" s="26">
        <v>1200000</v>
      </c>
      <c r="BV115" s="26">
        <v>1200000</v>
      </c>
      <c r="BW115" s="26">
        <v>1200000</v>
      </c>
      <c r="BX115" s="26">
        <v>1200000</v>
      </c>
      <c r="BY115" s="26">
        <v>1200000</v>
      </c>
      <c r="BZ115" s="26">
        <v>1200000</v>
      </c>
      <c r="CA115" s="26">
        <v>1200000</v>
      </c>
      <c r="CB115" s="26">
        <v>3500000</v>
      </c>
      <c r="CC115" s="26">
        <v>3500000</v>
      </c>
      <c r="CD115" s="26">
        <v>3500000</v>
      </c>
      <c r="CE115" s="26">
        <v>3500000</v>
      </c>
      <c r="CF115" s="26">
        <v>3500000</v>
      </c>
      <c r="CG115" s="26">
        <v>3500000</v>
      </c>
      <c r="CH115" s="26">
        <v>3500000</v>
      </c>
      <c r="CI115" s="26">
        <v>3500000</v>
      </c>
      <c r="CJ115" s="26">
        <v>3500000</v>
      </c>
      <c r="CK115" s="26">
        <v>3500000</v>
      </c>
      <c r="CL115" s="26">
        <v>3500000</v>
      </c>
      <c r="CM115" s="26">
        <v>3500000</v>
      </c>
      <c r="CN115" s="26">
        <v>5007600</v>
      </c>
      <c r="CO115" s="26">
        <v>22</v>
      </c>
      <c r="CP115" s="26">
        <v>5007600</v>
      </c>
      <c r="CQ115" s="26">
        <v>730000</v>
      </c>
      <c r="CR115" s="26">
        <v>500000</v>
      </c>
      <c r="CS115" s="26">
        <v>1200000</v>
      </c>
      <c r="CT115" s="26">
        <v>3500000</v>
      </c>
      <c r="CU115" s="26">
        <v>5930000</v>
      </c>
    </row>
    <row r="116" spans="1:99" x14ac:dyDescent="0.3">
      <c r="A116" s="26">
        <v>10</v>
      </c>
      <c r="B116" s="27" t="s">
        <v>44</v>
      </c>
      <c r="C116" s="27" t="s">
        <v>45</v>
      </c>
      <c r="D116" s="27" t="s">
        <v>26</v>
      </c>
      <c r="E116" s="27" t="s">
        <v>27</v>
      </c>
      <c r="F116" s="26">
        <v>8024957459</v>
      </c>
      <c r="G116" s="27" t="s">
        <v>46</v>
      </c>
      <c r="H116" s="26">
        <v>5007600</v>
      </c>
      <c r="I116" s="26">
        <v>5007600</v>
      </c>
      <c r="J116" s="26">
        <v>5007600</v>
      </c>
      <c r="K116" s="26">
        <v>5007600</v>
      </c>
      <c r="L116" s="26">
        <v>5007600</v>
      </c>
      <c r="M116" s="26">
        <v>5007600</v>
      </c>
      <c r="N116" s="26">
        <v>5007600</v>
      </c>
      <c r="O116" s="26">
        <v>5007600</v>
      </c>
      <c r="P116" s="26">
        <v>5007600</v>
      </c>
      <c r="Q116" s="26">
        <v>5007600</v>
      </c>
      <c r="R116" s="26">
        <v>5007600</v>
      </c>
      <c r="S116" s="26">
        <v>5007600</v>
      </c>
      <c r="T116" s="26">
        <v>5007600</v>
      </c>
      <c r="U116" s="26">
        <v>5007600</v>
      </c>
      <c r="V116" s="26">
        <v>5007600</v>
      </c>
      <c r="W116" s="26">
        <v>5007600</v>
      </c>
      <c r="X116" s="26">
        <v>5007600</v>
      </c>
      <c r="Y116" s="26">
        <v>5007600</v>
      </c>
      <c r="Z116" s="26">
        <v>5007600</v>
      </c>
      <c r="AA116" s="26">
        <v>5007600</v>
      </c>
      <c r="AB116" s="26">
        <v>5007600</v>
      </c>
      <c r="AC116" s="26">
        <v>5007600</v>
      </c>
      <c r="AD116" s="26">
        <v>5007600</v>
      </c>
      <c r="AE116" s="26">
        <v>5007600</v>
      </c>
      <c r="AF116" s="26">
        <v>730000</v>
      </c>
      <c r="AG116" s="26">
        <v>730000</v>
      </c>
      <c r="AH116" s="26">
        <v>730000</v>
      </c>
      <c r="AI116" s="26">
        <v>730000</v>
      </c>
      <c r="AJ116" s="26">
        <v>730000</v>
      </c>
      <c r="AK116" s="26">
        <v>730000</v>
      </c>
      <c r="AL116" s="26">
        <v>730000</v>
      </c>
      <c r="AM116" s="26">
        <v>730000</v>
      </c>
      <c r="AN116" s="26">
        <v>730000</v>
      </c>
      <c r="AO116" s="26">
        <v>730000</v>
      </c>
      <c r="AP116" s="26">
        <v>730000</v>
      </c>
      <c r="AQ116" s="26">
        <v>730000</v>
      </c>
      <c r="AR116" s="26">
        <v>500000</v>
      </c>
      <c r="AS116" s="26">
        <v>500000</v>
      </c>
      <c r="AT116" s="26">
        <v>500000</v>
      </c>
      <c r="AU116" s="26">
        <v>500000</v>
      </c>
      <c r="AV116" s="26">
        <v>500000</v>
      </c>
      <c r="AW116" s="26">
        <v>500000</v>
      </c>
      <c r="AX116" s="26">
        <v>500000</v>
      </c>
      <c r="AY116" s="26">
        <v>500000</v>
      </c>
      <c r="AZ116" s="26">
        <v>500000</v>
      </c>
      <c r="BA116" s="26">
        <v>500000</v>
      </c>
      <c r="BB116" s="26">
        <v>500000</v>
      </c>
      <c r="BC116" s="26">
        <v>500000</v>
      </c>
      <c r="BD116" s="26">
        <v>0</v>
      </c>
      <c r="BE116" s="26">
        <v>0</v>
      </c>
      <c r="BF116" s="26">
        <v>0</v>
      </c>
      <c r="BG116" s="26">
        <v>0</v>
      </c>
      <c r="BH116" s="26">
        <v>0</v>
      </c>
      <c r="BI116" s="26">
        <v>0</v>
      </c>
      <c r="BJ116" s="26">
        <v>0</v>
      </c>
      <c r="BK116" s="26">
        <v>0</v>
      </c>
      <c r="BL116" s="26">
        <v>0</v>
      </c>
      <c r="BM116" s="26">
        <v>0</v>
      </c>
      <c r="BN116" s="26">
        <v>0</v>
      </c>
      <c r="BO116" s="26">
        <v>0</v>
      </c>
      <c r="BP116" s="26">
        <v>1200000</v>
      </c>
      <c r="BQ116" s="26">
        <v>1200000</v>
      </c>
      <c r="BR116" s="26">
        <v>1200000</v>
      </c>
      <c r="BS116" s="26">
        <v>1200000</v>
      </c>
      <c r="BT116" s="26">
        <v>1200000</v>
      </c>
      <c r="BU116" s="26">
        <v>1200000</v>
      </c>
      <c r="BV116" s="26">
        <v>1200000</v>
      </c>
      <c r="BW116" s="26">
        <v>1200000</v>
      </c>
      <c r="BX116" s="26">
        <v>1200000</v>
      </c>
      <c r="BY116" s="26">
        <v>1200000</v>
      </c>
      <c r="BZ116" s="26">
        <v>1200000</v>
      </c>
      <c r="CA116" s="26">
        <v>1200000</v>
      </c>
      <c r="CB116" s="26">
        <v>3500000</v>
      </c>
      <c r="CC116" s="26">
        <v>3500000</v>
      </c>
      <c r="CD116" s="26">
        <v>3500000</v>
      </c>
      <c r="CE116" s="26">
        <v>3500000</v>
      </c>
      <c r="CF116" s="26">
        <v>3500000</v>
      </c>
      <c r="CG116" s="26">
        <v>3500000</v>
      </c>
      <c r="CH116" s="26">
        <v>3500000</v>
      </c>
      <c r="CI116" s="26">
        <v>3500000</v>
      </c>
      <c r="CJ116" s="26">
        <v>3500000</v>
      </c>
      <c r="CK116" s="26">
        <v>3500000</v>
      </c>
      <c r="CL116" s="26">
        <v>3500000</v>
      </c>
      <c r="CM116" s="26">
        <v>3500000</v>
      </c>
      <c r="CN116" s="26">
        <v>5007600</v>
      </c>
      <c r="CO116" s="26">
        <v>21</v>
      </c>
      <c r="CP116" s="26">
        <v>5007600</v>
      </c>
      <c r="CQ116" s="26">
        <v>730000</v>
      </c>
      <c r="CR116" s="26">
        <v>500000</v>
      </c>
      <c r="CS116" s="26">
        <v>1200000</v>
      </c>
      <c r="CT116" s="26">
        <v>3500000</v>
      </c>
      <c r="CU116" s="26">
        <v>5930000</v>
      </c>
    </row>
    <row r="117" spans="1:99" x14ac:dyDescent="0.3">
      <c r="A117" s="26">
        <v>10</v>
      </c>
      <c r="B117" s="27" t="s">
        <v>44</v>
      </c>
      <c r="C117" s="27" t="s">
        <v>45</v>
      </c>
      <c r="D117" s="27" t="s">
        <v>26</v>
      </c>
      <c r="E117" s="27" t="s">
        <v>27</v>
      </c>
      <c r="F117" s="26">
        <v>8024957459</v>
      </c>
      <c r="G117" s="27" t="s">
        <v>46</v>
      </c>
      <c r="H117" s="26">
        <v>5007600</v>
      </c>
      <c r="I117" s="26">
        <v>5007600</v>
      </c>
      <c r="J117" s="26">
        <v>5007600</v>
      </c>
      <c r="K117" s="26">
        <v>5007600</v>
      </c>
      <c r="L117" s="26">
        <v>5007600</v>
      </c>
      <c r="M117" s="26">
        <v>5007600</v>
      </c>
      <c r="N117" s="26">
        <v>5007600</v>
      </c>
      <c r="O117" s="26">
        <v>5007600</v>
      </c>
      <c r="P117" s="26">
        <v>5007600</v>
      </c>
      <c r="Q117" s="26">
        <v>5007600</v>
      </c>
      <c r="R117" s="26">
        <v>5007600</v>
      </c>
      <c r="S117" s="26">
        <v>5007600</v>
      </c>
      <c r="T117" s="26">
        <v>5007600</v>
      </c>
      <c r="U117" s="26">
        <v>5007600</v>
      </c>
      <c r="V117" s="26">
        <v>5007600</v>
      </c>
      <c r="W117" s="26">
        <v>5007600</v>
      </c>
      <c r="X117" s="26">
        <v>5007600</v>
      </c>
      <c r="Y117" s="26">
        <v>5007600</v>
      </c>
      <c r="Z117" s="26">
        <v>5007600</v>
      </c>
      <c r="AA117" s="26">
        <v>5007600</v>
      </c>
      <c r="AB117" s="26">
        <v>5007600</v>
      </c>
      <c r="AC117" s="26">
        <v>5007600</v>
      </c>
      <c r="AD117" s="26">
        <v>5007600</v>
      </c>
      <c r="AE117" s="26">
        <v>5007600</v>
      </c>
      <c r="AF117" s="26">
        <v>730000</v>
      </c>
      <c r="AG117" s="26">
        <v>730000</v>
      </c>
      <c r="AH117" s="26">
        <v>730000</v>
      </c>
      <c r="AI117" s="26">
        <v>730000</v>
      </c>
      <c r="AJ117" s="26">
        <v>730000</v>
      </c>
      <c r="AK117" s="26">
        <v>730000</v>
      </c>
      <c r="AL117" s="26">
        <v>730000</v>
      </c>
      <c r="AM117" s="26">
        <v>730000</v>
      </c>
      <c r="AN117" s="26">
        <v>730000</v>
      </c>
      <c r="AO117" s="26">
        <v>730000</v>
      </c>
      <c r="AP117" s="26">
        <v>730000</v>
      </c>
      <c r="AQ117" s="26">
        <v>730000</v>
      </c>
      <c r="AR117" s="26">
        <v>500000</v>
      </c>
      <c r="AS117" s="26">
        <v>500000</v>
      </c>
      <c r="AT117" s="26">
        <v>500000</v>
      </c>
      <c r="AU117" s="26">
        <v>500000</v>
      </c>
      <c r="AV117" s="26">
        <v>500000</v>
      </c>
      <c r="AW117" s="26">
        <v>500000</v>
      </c>
      <c r="AX117" s="26">
        <v>500000</v>
      </c>
      <c r="AY117" s="26">
        <v>500000</v>
      </c>
      <c r="AZ117" s="26">
        <v>500000</v>
      </c>
      <c r="BA117" s="26">
        <v>500000</v>
      </c>
      <c r="BB117" s="26">
        <v>500000</v>
      </c>
      <c r="BC117" s="26">
        <v>500000</v>
      </c>
      <c r="BD117" s="26">
        <v>0</v>
      </c>
      <c r="BE117" s="26">
        <v>0</v>
      </c>
      <c r="BF117" s="26">
        <v>0</v>
      </c>
      <c r="BG117" s="26">
        <v>0</v>
      </c>
      <c r="BH117" s="26">
        <v>0</v>
      </c>
      <c r="BI117" s="26">
        <v>0</v>
      </c>
      <c r="BJ117" s="26">
        <v>0</v>
      </c>
      <c r="BK117" s="26">
        <v>0</v>
      </c>
      <c r="BL117" s="26">
        <v>0</v>
      </c>
      <c r="BM117" s="26">
        <v>0</v>
      </c>
      <c r="BN117" s="26">
        <v>0</v>
      </c>
      <c r="BO117" s="26">
        <v>0</v>
      </c>
      <c r="BP117" s="26">
        <v>1200000</v>
      </c>
      <c r="BQ117" s="26">
        <v>1200000</v>
      </c>
      <c r="BR117" s="26">
        <v>1200000</v>
      </c>
      <c r="BS117" s="26">
        <v>1200000</v>
      </c>
      <c r="BT117" s="26">
        <v>1200000</v>
      </c>
      <c r="BU117" s="26">
        <v>1200000</v>
      </c>
      <c r="BV117" s="26">
        <v>1200000</v>
      </c>
      <c r="BW117" s="26">
        <v>1200000</v>
      </c>
      <c r="BX117" s="26">
        <v>1200000</v>
      </c>
      <c r="BY117" s="26">
        <v>1200000</v>
      </c>
      <c r="BZ117" s="26">
        <v>1200000</v>
      </c>
      <c r="CA117" s="26">
        <v>1200000</v>
      </c>
      <c r="CB117" s="26">
        <v>3500000</v>
      </c>
      <c r="CC117" s="26">
        <v>3500000</v>
      </c>
      <c r="CD117" s="26">
        <v>3500000</v>
      </c>
      <c r="CE117" s="26">
        <v>3500000</v>
      </c>
      <c r="CF117" s="26">
        <v>3500000</v>
      </c>
      <c r="CG117" s="26">
        <v>3500000</v>
      </c>
      <c r="CH117" s="26">
        <v>3500000</v>
      </c>
      <c r="CI117" s="26">
        <v>3500000</v>
      </c>
      <c r="CJ117" s="26">
        <v>3500000</v>
      </c>
      <c r="CK117" s="26">
        <v>3500000</v>
      </c>
      <c r="CL117" s="26">
        <v>3500000</v>
      </c>
      <c r="CM117" s="26">
        <v>3500000</v>
      </c>
      <c r="CN117" s="26">
        <v>5007600</v>
      </c>
      <c r="CO117" s="26">
        <v>23</v>
      </c>
      <c r="CP117" s="26">
        <v>5007600</v>
      </c>
      <c r="CQ117" s="26">
        <v>730000</v>
      </c>
      <c r="CR117" s="26">
        <v>500000</v>
      </c>
      <c r="CS117" s="26">
        <v>1200000</v>
      </c>
      <c r="CT117" s="26">
        <v>3500000</v>
      </c>
      <c r="CU117" s="26">
        <v>5930000</v>
      </c>
    </row>
    <row r="118" spans="1:99" x14ac:dyDescent="0.3">
      <c r="A118" s="26">
        <v>10</v>
      </c>
      <c r="B118" s="27" t="s">
        <v>44</v>
      </c>
      <c r="C118" s="27" t="s">
        <v>45</v>
      </c>
      <c r="D118" s="27" t="s">
        <v>26</v>
      </c>
      <c r="E118" s="27" t="s">
        <v>27</v>
      </c>
      <c r="F118" s="26">
        <v>8024957459</v>
      </c>
      <c r="G118" s="27" t="s">
        <v>46</v>
      </c>
      <c r="H118" s="26">
        <v>5007600</v>
      </c>
      <c r="I118" s="26">
        <v>5007600</v>
      </c>
      <c r="J118" s="26">
        <v>5007600</v>
      </c>
      <c r="K118" s="26">
        <v>5007600</v>
      </c>
      <c r="L118" s="26">
        <v>5007600</v>
      </c>
      <c r="M118" s="26">
        <v>5007600</v>
      </c>
      <c r="N118" s="26">
        <v>5007600</v>
      </c>
      <c r="O118" s="26">
        <v>5007600</v>
      </c>
      <c r="P118" s="26">
        <v>5007600</v>
      </c>
      <c r="Q118" s="26">
        <v>5007600</v>
      </c>
      <c r="R118" s="26">
        <v>5007600</v>
      </c>
      <c r="S118" s="26">
        <v>5007600</v>
      </c>
      <c r="T118" s="26">
        <v>5007600</v>
      </c>
      <c r="U118" s="26">
        <v>5007600</v>
      </c>
      <c r="V118" s="26">
        <v>5007600</v>
      </c>
      <c r="W118" s="26">
        <v>5007600</v>
      </c>
      <c r="X118" s="26">
        <v>5007600</v>
      </c>
      <c r="Y118" s="26">
        <v>5007600</v>
      </c>
      <c r="Z118" s="26">
        <v>5007600</v>
      </c>
      <c r="AA118" s="26">
        <v>5007600</v>
      </c>
      <c r="AB118" s="26">
        <v>5007600</v>
      </c>
      <c r="AC118" s="26">
        <v>5007600</v>
      </c>
      <c r="AD118" s="26">
        <v>5007600</v>
      </c>
      <c r="AE118" s="26">
        <v>5007600</v>
      </c>
      <c r="AF118" s="26">
        <v>730000</v>
      </c>
      <c r="AG118" s="26">
        <v>730000</v>
      </c>
      <c r="AH118" s="26">
        <v>730000</v>
      </c>
      <c r="AI118" s="26">
        <v>730000</v>
      </c>
      <c r="AJ118" s="26">
        <v>730000</v>
      </c>
      <c r="AK118" s="26">
        <v>730000</v>
      </c>
      <c r="AL118" s="26">
        <v>730000</v>
      </c>
      <c r="AM118" s="26">
        <v>730000</v>
      </c>
      <c r="AN118" s="26">
        <v>730000</v>
      </c>
      <c r="AO118" s="26">
        <v>730000</v>
      </c>
      <c r="AP118" s="26">
        <v>730000</v>
      </c>
      <c r="AQ118" s="26">
        <v>730000</v>
      </c>
      <c r="AR118" s="26">
        <v>500000</v>
      </c>
      <c r="AS118" s="26">
        <v>500000</v>
      </c>
      <c r="AT118" s="26">
        <v>500000</v>
      </c>
      <c r="AU118" s="26">
        <v>500000</v>
      </c>
      <c r="AV118" s="26">
        <v>500000</v>
      </c>
      <c r="AW118" s="26">
        <v>500000</v>
      </c>
      <c r="AX118" s="26">
        <v>500000</v>
      </c>
      <c r="AY118" s="26">
        <v>500000</v>
      </c>
      <c r="AZ118" s="26">
        <v>500000</v>
      </c>
      <c r="BA118" s="26">
        <v>500000</v>
      </c>
      <c r="BB118" s="26">
        <v>500000</v>
      </c>
      <c r="BC118" s="26">
        <v>500000</v>
      </c>
      <c r="BD118" s="26">
        <v>0</v>
      </c>
      <c r="BE118" s="26">
        <v>0</v>
      </c>
      <c r="BF118" s="26">
        <v>0</v>
      </c>
      <c r="BG118" s="26">
        <v>0</v>
      </c>
      <c r="BH118" s="26">
        <v>0</v>
      </c>
      <c r="BI118" s="26">
        <v>0</v>
      </c>
      <c r="BJ118" s="26">
        <v>0</v>
      </c>
      <c r="BK118" s="26">
        <v>0</v>
      </c>
      <c r="BL118" s="26">
        <v>0</v>
      </c>
      <c r="BM118" s="26">
        <v>0</v>
      </c>
      <c r="BN118" s="26">
        <v>0</v>
      </c>
      <c r="BO118" s="26">
        <v>0</v>
      </c>
      <c r="BP118" s="26">
        <v>1200000</v>
      </c>
      <c r="BQ118" s="26">
        <v>1200000</v>
      </c>
      <c r="BR118" s="26">
        <v>1200000</v>
      </c>
      <c r="BS118" s="26">
        <v>1200000</v>
      </c>
      <c r="BT118" s="26">
        <v>1200000</v>
      </c>
      <c r="BU118" s="26">
        <v>1200000</v>
      </c>
      <c r="BV118" s="26">
        <v>1200000</v>
      </c>
      <c r="BW118" s="26">
        <v>1200000</v>
      </c>
      <c r="BX118" s="26">
        <v>1200000</v>
      </c>
      <c r="BY118" s="26">
        <v>1200000</v>
      </c>
      <c r="BZ118" s="26">
        <v>1200000</v>
      </c>
      <c r="CA118" s="26">
        <v>1200000</v>
      </c>
      <c r="CB118" s="26">
        <v>3500000</v>
      </c>
      <c r="CC118" s="26">
        <v>3500000</v>
      </c>
      <c r="CD118" s="26">
        <v>3500000</v>
      </c>
      <c r="CE118" s="26">
        <v>3500000</v>
      </c>
      <c r="CF118" s="26">
        <v>3500000</v>
      </c>
      <c r="CG118" s="26">
        <v>3500000</v>
      </c>
      <c r="CH118" s="26">
        <v>3500000</v>
      </c>
      <c r="CI118" s="26">
        <v>3500000</v>
      </c>
      <c r="CJ118" s="26">
        <v>3500000</v>
      </c>
      <c r="CK118" s="26">
        <v>3500000</v>
      </c>
      <c r="CL118" s="26">
        <v>3500000</v>
      </c>
      <c r="CM118" s="26">
        <v>3500000</v>
      </c>
      <c r="CN118" s="26">
        <v>5007600</v>
      </c>
      <c r="CO118" s="26">
        <v>22</v>
      </c>
      <c r="CP118" s="26">
        <v>5007600</v>
      </c>
      <c r="CQ118" s="26">
        <v>730000</v>
      </c>
      <c r="CR118" s="26">
        <v>500000</v>
      </c>
      <c r="CS118" s="26">
        <v>1200000</v>
      </c>
      <c r="CT118" s="26">
        <v>3500000</v>
      </c>
      <c r="CU118" s="26">
        <v>5930000</v>
      </c>
    </row>
    <row r="119" spans="1:99" x14ac:dyDescent="0.3">
      <c r="A119" s="26">
        <v>10</v>
      </c>
      <c r="B119" s="27" t="s">
        <v>44</v>
      </c>
      <c r="C119" s="27" t="s">
        <v>45</v>
      </c>
      <c r="D119" s="27" t="s">
        <v>26</v>
      </c>
      <c r="E119" s="27" t="s">
        <v>27</v>
      </c>
      <c r="F119" s="26">
        <v>8024957459</v>
      </c>
      <c r="G119" s="27" t="s">
        <v>46</v>
      </c>
      <c r="H119" s="26">
        <v>5007600</v>
      </c>
      <c r="I119" s="26">
        <v>5007600</v>
      </c>
      <c r="J119" s="26">
        <v>5007600</v>
      </c>
      <c r="K119" s="26">
        <v>5007600</v>
      </c>
      <c r="L119" s="26">
        <v>5007600</v>
      </c>
      <c r="M119" s="26">
        <v>5007600</v>
      </c>
      <c r="N119" s="26">
        <v>5007600</v>
      </c>
      <c r="O119" s="26">
        <v>5007600</v>
      </c>
      <c r="P119" s="26">
        <v>5007600</v>
      </c>
      <c r="Q119" s="26">
        <v>5007600</v>
      </c>
      <c r="R119" s="26">
        <v>5007600</v>
      </c>
      <c r="S119" s="26">
        <v>5007600</v>
      </c>
      <c r="T119" s="26">
        <v>5007600</v>
      </c>
      <c r="U119" s="26">
        <v>5007600</v>
      </c>
      <c r="V119" s="26">
        <v>5007600</v>
      </c>
      <c r="W119" s="26">
        <v>5007600</v>
      </c>
      <c r="X119" s="26">
        <v>5007600</v>
      </c>
      <c r="Y119" s="26">
        <v>5007600</v>
      </c>
      <c r="Z119" s="26">
        <v>5007600</v>
      </c>
      <c r="AA119" s="26">
        <v>5007600</v>
      </c>
      <c r="AB119" s="26">
        <v>5007600</v>
      </c>
      <c r="AC119" s="26">
        <v>5007600</v>
      </c>
      <c r="AD119" s="26">
        <v>5007600</v>
      </c>
      <c r="AE119" s="26">
        <v>5007600</v>
      </c>
      <c r="AF119" s="26">
        <v>730000</v>
      </c>
      <c r="AG119" s="26">
        <v>730000</v>
      </c>
      <c r="AH119" s="26">
        <v>730000</v>
      </c>
      <c r="AI119" s="26">
        <v>730000</v>
      </c>
      <c r="AJ119" s="26">
        <v>730000</v>
      </c>
      <c r="AK119" s="26">
        <v>730000</v>
      </c>
      <c r="AL119" s="26">
        <v>730000</v>
      </c>
      <c r="AM119" s="26">
        <v>730000</v>
      </c>
      <c r="AN119" s="26">
        <v>730000</v>
      </c>
      <c r="AO119" s="26">
        <v>730000</v>
      </c>
      <c r="AP119" s="26">
        <v>730000</v>
      </c>
      <c r="AQ119" s="26">
        <v>730000</v>
      </c>
      <c r="AR119" s="26">
        <v>500000</v>
      </c>
      <c r="AS119" s="26">
        <v>500000</v>
      </c>
      <c r="AT119" s="26">
        <v>500000</v>
      </c>
      <c r="AU119" s="26">
        <v>500000</v>
      </c>
      <c r="AV119" s="26">
        <v>500000</v>
      </c>
      <c r="AW119" s="26">
        <v>500000</v>
      </c>
      <c r="AX119" s="26">
        <v>500000</v>
      </c>
      <c r="AY119" s="26">
        <v>500000</v>
      </c>
      <c r="AZ119" s="26">
        <v>500000</v>
      </c>
      <c r="BA119" s="26">
        <v>500000</v>
      </c>
      <c r="BB119" s="26">
        <v>500000</v>
      </c>
      <c r="BC119" s="26">
        <v>500000</v>
      </c>
      <c r="BD119" s="26">
        <v>0</v>
      </c>
      <c r="BE119" s="26">
        <v>0</v>
      </c>
      <c r="BF119" s="26">
        <v>0</v>
      </c>
      <c r="BG119" s="26">
        <v>0</v>
      </c>
      <c r="BH119" s="26">
        <v>0</v>
      </c>
      <c r="BI119" s="26">
        <v>0</v>
      </c>
      <c r="BJ119" s="26">
        <v>0</v>
      </c>
      <c r="BK119" s="26">
        <v>0</v>
      </c>
      <c r="BL119" s="26">
        <v>0</v>
      </c>
      <c r="BM119" s="26">
        <v>0</v>
      </c>
      <c r="BN119" s="26">
        <v>0</v>
      </c>
      <c r="BO119" s="26">
        <v>0</v>
      </c>
      <c r="BP119" s="26">
        <v>1200000</v>
      </c>
      <c r="BQ119" s="26">
        <v>1200000</v>
      </c>
      <c r="BR119" s="26">
        <v>1200000</v>
      </c>
      <c r="BS119" s="26">
        <v>1200000</v>
      </c>
      <c r="BT119" s="26">
        <v>1200000</v>
      </c>
      <c r="BU119" s="26">
        <v>1200000</v>
      </c>
      <c r="BV119" s="26">
        <v>1200000</v>
      </c>
      <c r="BW119" s="26">
        <v>1200000</v>
      </c>
      <c r="BX119" s="26">
        <v>1200000</v>
      </c>
      <c r="BY119" s="26">
        <v>1200000</v>
      </c>
      <c r="BZ119" s="26">
        <v>1200000</v>
      </c>
      <c r="CA119" s="26">
        <v>1200000</v>
      </c>
      <c r="CB119" s="26">
        <v>3500000</v>
      </c>
      <c r="CC119" s="26">
        <v>3500000</v>
      </c>
      <c r="CD119" s="26">
        <v>3500000</v>
      </c>
      <c r="CE119" s="26">
        <v>3500000</v>
      </c>
      <c r="CF119" s="26">
        <v>3500000</v>
      </c>
      <c r="CG119" s="26">
        <v>3500000</v>
      </c>
      <c r="CH119" s="26">
        <v>3500000</v>
      </c>
      <c r="CI119" s="26">
        <v>3500000</v>
      </c>
      <c r="CJ119" s="26">
        <v>3500000</v>
      </c>
      <c r="CK119" s="26">
        <v>3500000</v>
      </c>
      <c r="CL119" s="26">
        <v>3500000</v>
      </c>
      <c r="CM119" s="26">
        <v>3500000</v>
      </c>
      <c r="CN119" s="26">
        <v>5007600</v>
      </c>
      <c r="CO119" s="26">
        <v>22</v>
      </c>
      <c r="CP119" s="26">
        <v>5007600</v>
      </c>
      <c r="CQ119" s="26">
        <v>730000</v>
      </c>
      <c r="CR119" s="26">
        <v>500000</v>
      </c>
      <c r="CS119" s="26">
        <v>1200000</v>
      </c>
      <c r="CT119" s="26">
        <v>3500000</v>
      </c>
      <c r="CU119" s="26">
        <v>5930000</v>
      </c>
    </row>
    <row r="120" spans="1:99" x14ac:dyDescent="0.3">
      <c r="A120" s="26">
        <v>10</v>
      </c>
      <c r="B120" s="27" t="s">
        <v>44</v>
      </c>
      <c r="C120" s="27" t="s">
        <v>45</v>
      </c>
      <c r="D120" s="27" t="s">
        <v>26</v>
      </c>
      <c r="E120" s="27" t="s">
        <v>27</v>
      </c>
      <c r="F120" s="26">
        <v>8024957459</v>
      </c>
      <c r="G120" s="27" t="s">
        <v>46</v>
      </c>
      <c r="H120" s="26">
        <v>5007600</v>
      </c>
      <c r="I120" s="26">
        <v>5007600</v>
      </c>
      <c r="J120" s="26">
        <v>5007600</v>
      </c>
      <c r="K120" s="26">
        <v>5007600</v>
      </c>
      <c r="L120" s="26">
        <v>5007600</v>
      </c>
      <c r="M120" s="26">
        <v>5007600</v>
      </c>
      <c r="N120" s="26">
        <v>5007600</v>
      </c>
      <c r="O120" s="26">
        <v>5007600</v>
      </c>
      <c r="P120" s="26">
        <v>5007600</v>
      </c>
      <c r="Q120" s="26">
        <v>5007600</v>
      </c>
      <c r="R120" s="26">
        <v>5007600</v>
      </c>
      <c r="S120" s="26">
        <v>5007600</v>
      </c>
      <c r="T120" s="26">
        <v>5007600</v>
      </c>
      <c r="U120" s="26">
        <v>5007600</v>
      </c>
      <c r="V120" s="26">
        <v>5007600</v>
      </c>
      <c r="W120" s="26">
        <v>5007600</v>
      </c>
      <c r="X120" s="26">
        <v>5007600</v>
      </c>
      <c r="Y120" s="26">
        <v>5007600</v>
      </c>
      <c r="Z120" s="26">
        <v>5007600</v>
      </c>
      <c r="AA120" s="26">
        <v>5007600</v>
      </c>
      <c r="AB120" s="26">
        <v>5007600</v>
      </c>
      <c r="AC120" s="26">
        <v>5007600</v>
      </c>
      <c r="AD120" s="26">
        <v>5007600</v>
      </c>
      <c r="AE120" s="26">
        <v>5007600</v>
      </c>
      <c r="AF120" s="26">
        <v>730000</v>
      </c>
      <c r="AG120" s="26">
        <v>730000</v>
      </c>
      <c r="AH120" s="26">
        <v>730000</v>
      </c>
      <c r="AI120" s="26">
        <v>730000</v>
      </c>
      <c r="AJ120" s="26">
        <v>730000</v>
      </c>
      <c r="AK120" s="26">
        <v>730000</v>
      </c>
      <c r="AL120" s="26">
        <v>730000</v>
      </c>
      <c r="AM120" s="26">
        <v>730000</v>
      </c>
      <c r="AN120" s="26">
        <v>730000</v>
      </c>
      <c r="AO120" s="26">
        <v>730000</v>
      </c>
      <c r="AP120" s="26">
        <v>730000</v>
      </c>
      <c r="AQ120" s="26">
        <v>730000</v>
      </c>
      <c r="AR120" s="26">
        <v>500000</v>
      </c>
      <c r="AS120" s="26">
        <v>500000</v>
      </c>
      <c r="AT120" s="26">
        <v>500000</v>
      </c>
      <c r="AU120" s="26">
        <v>500000</v>
      </c>
      <c r="AV120" s="26">
        <v>500000</v>
      </c>
      <c r="AW120" s="26">
        <v>500000</v>
      </c>
      <c r="AX120" s="26">
        <v>500000</v>
      </c>
      <c r="AY120" s="26">
        <v>500000</v>
      </c>
      <c r="AZ120" s="26">
        <v>500000</v>
      </c>
      <c r="BA120" s="26">
        <v>500000</v>
      </c>
      <c r="BB120" s="26">
        <v>500000</v>
      </c>
      <c r="BC120" s="26">
        <v>500000</v>
      </c>
      <c r="BD120" s="26">
        <v>0</v>
      </c>
      <c r="BE120" s="26">
        <v>0</v>
      </c>
      <c r="BF120" s="26">
        <v>0</v>
      </c>
      <c r="BG120" s="26">
        <v>0</v>
      </c>
      <c r="BH120" s="26">
        <v>0</v>
      </c>
      <c r="BI120" s="26">
        <v>0</v>
      </c>
      <c r="BJ120" s="26">
        <v>0</v>
      </c>
      <c r="BK120" s="26">
        <v>0</v>
      </c>
      <c r="BL120" s="26">
        <v>0</v>
      </c>
      <c r="BM120" s="26">
        <v>0</v>
      </c>
      <c r="BN120" s="26">
        <v>0</v>
      </c>
      <c r="BO120" s="26">
        <v>0</v>
      </c>
      <c r="BP120" s="26">
        <v>1200000</v>
      </c>
      <c r="BQ120" s="26">
        <v>1200000</v>
      </c>
      <c r="BR120" s="26">
        <v>1200000</v>
      </c>
      <c r="BS120" s="26">
        <v>1200000</v>
      </c>
      <c r="BT120" s="26">
        <v>1200000</v>
      </c>
      <c r="BU120" s="26">
        <v>1200000</v>
      </c>
      <c r="BV120" s="26">
        <v>1200000</v>
      </c>
      <c r="BW120" s="26">
        <v>1200000</v>
      </c>
      <c r="BX120" s="26">
        <v>1200000</v>
      </c>
      <c r="BY120" s="26">
        <v>1200000</v>
      </c>
      <c r="BZ120" s="26">
        <v>1200000</v>
      </c>
      <c r="CA120" s="26">
        <v>1200000</v>
      </c>
      <c r="CB120" s="26">
        <v>3500000</v>
      </c>
      <c r="CC120" s="26">
        <v>3500000</v>
      </c>
      <c r="CD120" s="26">
        <v>3500000</v>
      </c>
      <c r="CE120" s="26">
        <v>3500000</v>
      </c>
      <c r="CF120" s="26">
        <v>3500000</v>
      </c>
      <c r="CG120" s="26">
        <v>3500000</v>
      </c>
      <c r="CH120" s="26">
        <v>3500000</v>
      </c>
      <c r="CI120" s="26">
        <v>3500000</v>
      </c>
      <c r="CJ120" s="26">
        <v>3500000</v>
      </c>
      <c r="CK120" s="26">
        <v>3500000</v>
      </c>
      <c r="CL120" s="26">
        <v>3500000</v>
      </c>
      <c r="CM120" s="26">
        <v>3500000</v>
      </c>
      <c r="CN120" s="26">
        <v>5007600</v>
      </c>
      <c r="CO120" s="26">
        <v>23</v>
      </c>
      <c r="CP120" s="26">
        <v>5007600</v>
      </c>
      <c r="CQ120" s="26">
        <v>730000</v>
      </c>
      <c r="CR120" s="26">
        <v>500000</v>
      </c>
      <c r="CS120" s="26">
        <v>1200000</v>
      </c>
      <c r="CT120" s="26">
        <v>3500000</v>
      </c>
      <c r="CU120" s="26">
        <v>5930000</v>
      </c>
    </row>
    <row r="121" spans="1:99" x14ac:dyDescent="0.3">
      <c r="A121" s="26">
        <v>10</v>
      </c>
      <c r="B121" s="27" t="s">
        <v>44</v>
      </c>
      <c r="C121" s="27" t="s">
        <v>45</v>
      </c>
      <c r="D121" s="27" t="s">
        <v>26</v>
      </c>
      <c r="E121" s="27" t="s">
        <v>27</v>
      </c>
      <c r="F121" s="26">
        <v>8024957459</v>
      </c>
      <c r="G121" s="27" t="s">
        <v>46</v>
      </c>
      <c r="H121" s="26">
        <v>5007600</v>
      </c>
      <c r="I121" s="26">
        <v>5007600</v>
      </c>
      <c r="J121" s="26">
        <v>5007600</v>
      </c>
      <c r="K121" s="26">
        <v>5007600</v>
      </c>
      <c r="L121" s="26">
        <v>5007600</v>
      </c>
      <c r="M121" s="26">
        <v>5007600</v>
      </c>
      <c r="N121" s="26">
        <v>5007600</v>
      </c>
      <c r="O121" s="26">
        <v>5007600</v>
      </c>
      <c r="P121" s="26">
        <v>5007600</v>
      </c>
      <c r="Q121" s="26">
        <v>5007600</v>
      </c>
      <c r="R121" s="26">
        <v>5007600</v>
      </c>
      <c r="S121" s="26">
        <v>5007600</v>
      </c>
      <c r="T121" s="26">
        <v>5007600</v>
      </c>
      <c r="U121" s="26">
        <v>5007600</v>
      </c>
      <c r="V121" s="26">
        <v>5007600</v>
      </c>
      <c r="W121" s="26">
        <v>5007600</v>
      </c>
      <c r="X121" s="26">
        <v>5007600</v>
      </c>
      <c r="Y121" s="26">
        <v>5007600</v>
      </c>
      <c r="Z121" s="26">
        <v>5007600</v>
      </c>
      <c r="AA121" s="26">
        <v>5007600</v>
      </c>
      <c r="AB121" s="26">
        <v>5007600</v>
      </c>
      <c r="AC121" s="26">
        <v>5007600</v>
      </c>
      <c r="AD121" s="26">
        <v>5007600</v>
      </c>
      <c r="AE121" s="26">
        <v>5007600</v>
      </c>
      <c r="AF121" s="26">
        <v>730000</v>
      </c>
      <c r="AG121" s="26">
        <v>730000</v>
      </c>
      <c r="AH121" s="26">
        <v>730000</v>
      </c>
      <c r="AI121" s="26">
        <v>730000</v>
      </c>
      <c r="AJ121" s="26">
        <v>730000</v>
      </c>
      <c r="AK121" s="26">
        <v>730000</v>
      </c>
      <c r="AL121" s="26">
        <v>730000</v>
      </c>
      <c r="AM121" s="26">
        <v>730000</v>
      </c>
      <c r="AN121" s="26">
        <v>730000</v>
      </c>
      <c r="AO121" s="26">
        <v>730000</v>
      </c>
      <c r="AP121" s="26">
        <v>730000</v>
      </c>
      <c r="AQ121" s="26">
        <v>730000</v>
      </c>
      <c r="AR121" s="26">
        <v>500000</v>
      </c>
      <c r="AS121" s="26">
        <v>500000</v>
      </c>
      <c r="AT121" s="26">
        <v>500000</v>
      </c>
      <c r="AU121" s="26">
        <v>500000</v>
      </c>
      <c r="AV121" s="26">
        <v>500000</v>
      </c>
      <c r="AW121" s="26">
        <v>500000</v>
      </c>
      <c r="AX121" s="26">
        <v>500000</v>
      </c>
      <c r="AY121" s="26">
        <v>500000</v>
      </c>
      <c r="AZ121" s="26">
        <v>500000</v>
      </c>
      <c r="BA121" s="26">
        <v>500000</v>
      </c>
      <c r="BB121" s="26">
        <v>500000</v>
      </c>
      <c r="BC121" s="26">
        <v>500000</v>
      </c>
      <c r="BD121" s="26">
        <v>0</v>
      </c>
      <c r="BE121" s="26">
        <v>0</v>
      </c>
      <c r="BF121" s="26">
        <v>0</v>
      </c>
      <c r="BG121" s="26">
        <v>0</v>
      </c>
      <c r="BH121" s="26">
        <v>0</v>
      </c>
      <c r="BI121" s="26">
        <v>0</v>
      </c>
      <c r="BJ121" s="26">
        <v>0</v>
      </c>
      <c r="BK121" s="26">
        <v>0</v>
      </c>
      <c r="BL121" s="26">
        <v>0</v>
      </c>
      <c r="BM121" s="26">
        <v>0</v>
      </c>
      <c r="BN121" s="26">
        <v>0</v>
      </c>
      <c r="BO121" s="26">
        <v>0</v>
      </c>
      <c r="BP121" s="26">
        <v>1200000</v>
      </c>
      <c r="BQ121" s="26">
        <v>1200000</v>
      </c>
      <c r="BR121" s="26">
        <v>1200000</v>
      </c>
      <c r="BS121" s="26">
        <v>1200000</v>
      </c>
      <c r="BT121" s="26">
        <v>1200000</v>
      </c>
      <c r="BU121" s="26">
        <v>1200000</v>
      </c>
      <c r="BV121" s="26">
        <v>1200000</v>
      </c>
      <c r="BW121" s="26">
        <v>1200000</v>
      </c>
      <c r="BX121" s="26">
        <v>1200000</v>
      </c>
      <c r="BY121" s="26">
        <v>1200000</v>
      </c>
      <c r="BZ121" s="26">
        <v>1200000</v>
      </c>
      <c r="CA121" s="26">
        <v>1200000</v>
      </c>
      <c r="CB121" s="26">
        <v>3500000</v>
      </c>
      <c r="CC121" s="26">
        <v>3500000</v>
      </c>
      <c r="CD121" s="26">
        <v>3500000</v>
      </c>
      <c r="CE121" s="26">
        <v>3500000</v>
      </c>
      <c r="CF121" s="26">
        <v>3500000</v>
      </c>
      <c r="CG121" s="26">
        <v>3500000</v>
      </c>
      <c r="CH121" s="26">
        <v>3500000</v>
      </c>
      <c r="CI121" s="26">
        <v>3500000</v>
      </c>
      <c r="CJ121" s="26">
        <v>3500000</v>
      </c>
      <c r="CK121" s="26">
        <v>3500000</v>
      </c>
      <c r="CL121" s="26">
        <v>3500000</v>
      </c>
      <c r="CM121" s="26">
        <v>3500000</v>
      </c>
      <c r="CN121" s="26">
        <v>5007600</v>
      </c>
      <c r="CO121" s="26">
        <v>21</v>
      </c>
      <c r="CP121" s="26">
        <v>5007600</v>
      </c>
      <c r="CQ121" s="26">
        <v>730000</v>
      </c>
      <c r="CR121" s="26">
        <v>500000</v>
      </c>
      <c r="CS121" s="26">
        <v>1200000</v>
      </c>
      <c r="CT121" s="26">
        <v>3500000</v>
      </c>
      <c r="CU121" s="26">
        <v>5930000</v>
      </c>
    </row>
    <row r="122" spans="1:99" x14ac:dyDescent="0.3">
      <c r="A122" s="26">
        <v>11</v>
      </c>
      <c r="B122" s="27" t="s">
        <v>47</v>
      </c>
      <c r="C122" s="27" t="s">
        <v>48</v>
      </c>
      <c r="D122" s="27" t="s">
        <v>26</v>
      </c>
      <c r="E122" s="27" t="s">
        <v>27</v>
      </c>
      <c r="H122" s="26">
        <v>5050000</v>
      </c>
      <c r="I122" s="26">
        <v>5050000</v>
      </c>
      <c r="J122" s="26">
        <v>5050000</v>
      </c>
      <c r="K122" s="26">
        <v>5050000</v>
      </c>
      <c r="L122" s="26">
        <v>5050000</v>
      </c>
      <c r="M122" s="26">
        <v>5050000</v>
      </c>
      <c r="N122" s="26">
        <v>5050000</v>
      </c>
      <c r="O122" s="26">
        <v>5050000</v>
      </c>
      <c r="P122" s="26">
        <v>5050000</v>
      </c>
      <c r="Q122" s="26">
        <v>5050000</v>
      </c>
      <c r="R122" s="26">
        <v>5050000</v>
      </c>
      <c r="S122" s="26">
        <v>5050000</v>
      </c>
      <c r="U122" s="26">
        <v>5050000</v>
      </c>
      <c r="V122" s="26">
        <v>5050000</v>
      </c>
      <c r="W122" s="26">
        <v>5050000</v>
      </c>
      <c r="X122" s="26">
        <v>5050000</v>
      </c>
      <c r="Y122" s="26">
        <v>5050000</v>
      </c>
      <c r="Z122" s="26">
        <v>5050000</v>
      </c>
      <c r="AA122" s="26">
        <v>5050000</v>
      </c>
      <c r="AB122" s="26">
        <v>5050000</v>
      </c>
      <c r="AC122" s="26">
        <v>5050000</v>
      </c>
      <c r="AD122" s="26">
        <v>5050000</v>
      </c>
      <c r="AE122" s="26">
        <v>5050000</v>
      </c>
      <c r="AF122" s="26">
        <v>730000</v>
      </c>
      <c r="AG122" s="26">
        <v>730000</v>
      </c>
      <c r="AH122" s="26">
        <v>730000</v>
      </c>
      <c r="AI122" s="26">
        <v>730000</v>
      </c>
      <c r="AJ122" s="26">
        <v>730000</v>
      </c>
      <c r="AK122" s="26">
        <v>730000</v>
      </c>
      <c r="AL122" s="26">
        <v>730000</v>
      </c>
      <c r="AM122" s="26">
        <v>730000</v>
      </c>
      <c r="AN122" s="26">
        <v>730000</v>
      </c>
      <c r="AO122" s="26">
        <v>730000</v>
      </c>
      <c r="AP122" s="26">
        <v>730000</v>
      </c>
      <c r="AQ122" s="26">
        <v>730000</v>
      </c>
      <c r="AR122" s="26">
        <v>500000</v>
      </c>
      <c r="AS122" s="26">
        <v>500000</v>
      </c>
      <c r="AT122" s="26">
        <v>500000</v>
      </c>
      <c r="AU122" s="26">
        <v>500000</v>
      </c>
      <c r="AV122" s="26">
        <v>500000</v>
      </c>
      <c r="AW122" s="26">
        <v>500000</v>
      </c>
      <c r="AX122" s="26">
        <v>500000</v>
      </c>
      <c r="AY122" s="26">
        <v>500000</v>
      </c>
      <c r="AZ122" s="26">
        <v>500000</v>
      </c>
      <c r="BA122" s="26">
        <v>500000</v>
      </c>
      <c r="BB122" s="26">
        <v>500000</v>
      </c>
      <c r="BC122" s="26">
        <v>500000</v>
      </c>
      <c r="BD122" s="26">
        <v>0</v>
      </c>
      <c r="BE122" s="26">
        <v>0</v>
      </c>
      <c r="BF122" s="26">
        <v>0</v>
      </c>
      <c r="BG122" s="26">
        <v>0</v>
      </c>
      <c r="BH122" s="26">
        <v>0</v>
      </c>
      <c r="BI122" s="26">
        <v>0</v>
      </c>
      <c r="BJ122" s="26">
        <v>0</v>
      </c>
      <c r="BK122" s="26">
        <v>0</v>
      </c>
      <c r="BL122" s="26">
        <v>0</v>
      </c>
      <c r="BM122" s="26">
        <v>0</v>
      </c>
      <c r="BN122" s="26">
        <v>0</v>
      </c>
      <c r="BO122" s="26">
        <v>0</v>
      </c>
      <c r="BP122" s="26">
        <v>1200000</v>
      </c>
      <c r="BQ122" s="26">
        <v>1200000</v>
      </c>
      <c r="BR122" s="26">
        <v>1200000</v>
      </c>
      <c r="BS122" s="26">
        <v>1200000</v>
      </c>
      <c r="BT122" s="26">
        <v>1200000</v>
      </c>
      <c r="BU122" s="26">
        <v>1200000</v>
      </c>
      <c r="BV122" s="26">
        <v>1200000</v>
      </c>
      <c r="BW122" s="26">
        <v>1200000</v>
      </c>
      <c r="BX122" s="26">
        <v>1200000</v>
      </c>
      <c r="BY122" s="26">
        <v>1200000</v>
      </c>
      <c r="BZ122" s="26">
        <v>1200000</v>
      </c>
      <c r="CA122" s="26">
        <v>1200000</v>
      </c>
      <c r="CB122" s="26">
        <v>3500000</v>
      </c>
      <c r="CC122" s="26">
        <v>3500000</v>
      </c>
      <c r="CD122" s="26">
        <v>3500000</v>
      </c>
      <c r="CE122" s="26">
        <v>3500000</v>
      </c>
      <c r="CF122" s="26">
        <v>3500000</v>
      </c>
      <c r="CG122" s="26">
        <v>3500000</v>
      </c>
      <c r="CH122" s="26">
        <v>3500000</v>
      </c>
      <c r="CI122" s="26">
        <v>3500000</v>
      </c>
      <c r="CJ122" s="26">
        <v>3500000</v>
      </c>
      <c r="CK122" s="26">
        <v>3500000</v>
      </c>
      <c r="CL122" s="26">
        <v>3500000</v>
      </c>
      <c r="CM122" s="26">
        <v>3500000</v>
      </c>
      <c r="CN122" s="26">
        <v>5050000</v>
      </c>
      <c r="CO122" s="26">
        <v>21</v>
      </c>
      <c r="CP122" s="26">
        <v>5050000</v>
      </c>
      <c r="CQ122" s="26">
        <v>730000</v>
      </c>
      <c r="CR122" s="26">
        <v>500000</v>
      </c>
      <c r="CS122" s="26">
        <v>1200000</v>
      </c>
      <c r="CT122" s="26">
        <v>3500000</v>
      </c>
      <c r="CU122" s="26">
        <v>5930000</v>
      </c>
    </row>
    <row r="123" spans="1:99" x14ac:dyDescent="0.3">
      <c r="A123" s="26">
        <v>11</v>
      </c>
      <c r="B123" s="27" t="s">
        <v>47</v>
      </c>
      <c r="C123" s="27" t="s">
        <v>48</v>
      </c>
      <c r="D123" s="27" t="s">
        <v>26</v>
      </c>
      <c r="E123" s="27" t="s">
        <v>27</v>
      </c>
      <c r="H123" s="26">
        <v>5050000</v>
      </c>
      <c r="I123" s="26">
        <v>5050000</v>
      </c>
      <c r="J123" s="26">
        <v>5050000</v>
      </c>
      <c r="K123" s="26">
        <v>5050000</v>
      </c>
      <c r="L123" s="26">
        <v>5050000</v>
      </c>
      <c r="M123" s="26">
        <v>5050000</v>
      </c>
      <c r="N123" s="26">
        <v>5050000</v>
      </c>
      <c r="O123" s="26">
        <v>5050000</v>
      </c>
      <c r="P123" s="26">
        <v>5050000</v>
      </c>
      <c r="Q123" s="26">
        <v>5050000</v>
      </c>
      <c r="R123" s="26">
        <v>5050000</v>
      </c>
      <c r="S123" s="26">
        <v>5050000</v>
      </c>
      <c r="U123" s="26">
        <v>5050000</v>
      </c>
      <c r="V123" s="26">
        <v>5050000</v>
      </c>
      <c r="W123" s="26">
        <v>5050000</v>
      </c>
      <c r="X123" s="26">
        <v>5050000</v>
      </c>
      <c r="Y123" s="26">
        <v>5050000</v>
      </c>
      <c r="Z123" s="26">
        <v>5050000</v>
      </c>
      <c r="AA123" s="26">
        <v>5050000</v>
      </c>
      <c r="AB123" s="26">
        <v>5050000</v>
      </c>
      <c r="AC123" s="26">
        <v>5050000</v>
      </c>
      <c r="AD123" s="26">
        <v>5050000</v>
      </c>
      <c r="AE123" s="26">
        <v>5050000</v>
      </c>
      <c r="AF123" s="26">
        <v>730000</v>
      </c>
      <c r="AG123" s="26">
        <v>730000</v>
      </c>
      <c r="AH123" s="26">
        <v>730000</v>
      </c>
      <c r="AI123" s="26">
        <v>730000</v>
      </c>
      <c r="AJ123" s="26">
        <v>730000</v>
      </c>
      <c r="AK123" s="26">
        <v>730000</v>
      </c>
      <c r="AL123" s="26">
        <v>730000</v>
      </c>
      <c r="AM123" s="26">
        <v>730000</v>
      </c>
      <c r="AN123" s="26">
        <v>730000</v>
      </c>
      <c r="AO123" s="26">
        <v>730000</v>
      </c>
      <c r="AP123" s="26">
        <v>730000</v>
      </c>
      <c r="AQ123" s="26">
        <v>730000</v>
      </c>
      <c r="AR123" s="26">
        <v>500000</v>
      </c>
      <c r="AS123" s="26">
        <v>500000</v>
      </c>
      <c r="AT123" s="26">
        <v>500000</v>
      </c>
      <c r="AU123" s="26">
        <v>500000</v>
      </c>
      <c r="AV123" s="26">
        <v>500000</v>
      </c>
      <c r="AW123" s="26">
        <v>500000</v>
      </c>
      <c r="AX123" s="26">
        <v>500000</v>
      </c>
      <c r="AY123" s="26">
        <v>500000</v>
      </c>
      <c r="AZ123" s="26">
        <v>500000</v>
      </c>
      <c r="BA123" s="26">
        <v>500000</v>
      </c>
      <c r="BB123" s="26">
        <v>500000</v>
      </c>
      <c r="BC123" s="26">
        <v>500000</v>
      </c>
      <c r="BD123" s="26">
        <v>0</v>
      </c>
      <c r="BE123" s="26">
        <v>0</v>
      </c>
      <c r="BF123" s="26">
        <v>0</v>
      </c>
      <c r="BG123" s="26">
        <v>0</v>
      </c>
      <c r="BH123" s="26">
        <v>0</v>
      </c>
      <c r="BI123" s="26">
        <v>0</v>
      </c>
      <c r="BJ123" s="26">
        <v>0</v>
      </c>
      <c r="BK123" s="26">
        <v>0</v>
      </c>
      <c r="BL123" s="26">
        <v>0</v>
      </c>
      <c r="BM123" s="26">
        <v>0</v>
      </c>
      <c r="BN123" s="26">
        <v>0</v>
      </c>
      <c r="BO123" s="26">
        <v>0</v>
      </c>
      <c r="BP123" s="26">
        <v>1200000</v>
      </c>
      <c r="BQ123" s="26">
        <v>1200000</v>
      </c>
      <c r="BR123" s="26">
        <v>1200000</v>
      </c>
      <c r="BS123" s="26">
        <v>1200000</v>
      </c>
      <c r="BT123" s="26">
        <v>1200000</v>
      </c>
      <c r="BU123" s="26">
        <v>1200000</v>
      </c>
      <c r="BV123" s="26">
        <v>1200000</v>
      </c>
      <c r="BW123" s="26">
        <v>1200000</v>
      </c>
      <c r="BX123" s="26">
        <v>1200000</v>
      </c>
      <c r="BY123" s="26">
        <v>1200000</v>
      </c>
      <c r="BZ123" s="26">
        <v>1200000</v>
      </c>
      <c r="CA123" s="26">
        <v>1200000</v>
      </c>
      <c r="CB123" s="26">
        <v>3500000</v>
      </c>
      <c r="CC123" s="26">
        <v>3500000</v>
      </c>
      <c r="CD123" s="26">
        <v>3500000</v>
      </c>
      <c r="CE123" s="26">
        <v>3500000</v>
      </c>
      <c r="CF123" s="26">
        <v>3500000</v>
      </c>
      <c r="CG123" s="26">
        <v>3500000</v>
      </c>
      <c r="CH123" s="26">
        <v>3500000</v>
      </c>
      <c r="CI123" s="26">
        <v>3500000</v>
      </c>
      <c r="CJ123" s="26">
        <v>3500000</v>
      </c>
      <c r="CK123" s="26">
        <v>3500000</v>
      </c>
      <c r="CL123" s="26">
        <v>3500000</v>
      </c>
      <c r="CM123" s="26">
        <v>3500000</v>
      </c>
      <c r="CN123" s="26">
        <v>5050000</v>
      </c>
      <c r="CO123" s="26">
        <v>20</v>
      </c>
      <c r="CP123" s="26">
        <v>5050000</v>
      </c>
      <c r="CQ123" s="26">
        <v>730000</v>
      </c>
      <c r="CR123" s="26">
        <v>500000</v>
      </c>
      <c r="CS123" s="26">
        <v>1200000</v>
      </c>
      <c r="CT123" s="26">
        <v>3500000</v>
      </c>
      <c r="CU123" s="26">
        <v>5930000</v>
      </c>
    </row>
    <row r="124" spans="1:99" x14ac:dyDescent="0.3">
      <c r="A124" s="26">
        <v>11</v>
      </c>
      <c r="B124" s="27" t="s">
        <v>47</v>
      </c>
      <c r="C124" s="27" t="s">
        <v>48</v>
      </c>
      <c r="D124" s="27" t="s">
        <v>26</v>
      </c>
      <c r="E124" s="27" t="s">
        <v>27</v>
      </c>
      <c r="H124" s="26">
        <v>5050000</v>
      </c>
      <c r="I124" s="26">
        <v>5050000</v>
      </c>
      <c r="J124" s="26">
        <v>5050000</v>
      </c>
      <c r="K124" s="26">
        <v>5050000</v>
      </c>
      <c r="L124" s="26">
        <v>5050000</v>
      </c>
      <c r="M124" s="26">
        <v>5050000</v>
      </c>
      <c r="N124" s="26">
        <v>5050000</v>
      </c>
      <c r="O124" s="26">
        <v>5050000</v>
      </c>
      <c r="P124" s="26">
        <v>5050000</v>
      </c>
      <c r="Q124" s="26">
        <v>5050000</v>
      </c>
      <c r="R124" s="26">
        <v>5050000</v>
      </c>
      <c r="S124" s="26">
        <v>5050000</v>
      </c>
      <c r="U124" s="26">
        <v>5050000</v>
      </c>
      <c r="V124" s="26">
        <v>5050000</v>
      </c>
      <c r="W124" s="26">
        <v>5050000</v>
      </c>
      <c r="X124" s="26">
        <v>5050000</v>
      </c>
      <c r="Y124" s="26">
        <v>5050000</v>
      </c>
      <c r="Z124" s="26">
        <v>5050000</v>
      </c>
      <c r="AA124" s="26">
        <v>5050000</v>
      </c>
      <c r="AB124" s="26">
        <v>5050000</v>
      </c>
      <c r="AC124" s="26">
        <v>5050000</v>
      </c>
      <c r="AD124" s="26">
        <v>5050000</v>
      </c>
      <c r="AE124" s="26">
        <v>5050000</v>
      </c>
      <c r="AF124" s="26">
        <v>730000</v>
      </c>
      <c r="AG124" s="26">
        <v>730000</v>
      </c>
      <c r="AH124" s="26">
        <v>730000</v>
      </c>
      <c r="AI124" s="26">
        <v>730000</v>
      </c>
      <c r="AJ124" s="26">
        <v>730000</v>
      </c>
      <c r="AK124" s="26">
        <v>730000</v>
      </c>
      <c r="AL124" s="26">
        <v>730000</v>
      </c>
      <c r="AM124" s="26">
        <v>730000</v>
      </c>
      <c r="AN124" s="26">
        <v>730000</v>
      </c>
      <c r="AO124" s="26">
        <v>730000</v>
      </c>
      <c r="AP124" s="26">
        <v>730000</v>
      </c>
      <c r="AQ124" s="26">
        <v>730000</v>
      </c>
      <c r="AR124" s="26">
        <v>500000</v>
      </c>
      <c r="AS124" s="26">
        <v>500000</v>
      </c>
      <c r="AT124" s="26">
        <v>500000</v>
      </c>
      <c r="AU124" s="26">
        <v>500000</v>
      </c>
      <c r="AV124" s="26">
        <v>500000</v>
      </c>
      <c r="AW124" s="26">
        <v>500000</v>
      </c>
      <c r="AX124" s="26">
        <v>500000</v>
      </c>
      <c r="AY124" s="26">
        <v>500000</v>
      </c>
      <c r="AZ124" s="26">
        <v>500000</v>
      </c>
      <c r="BA124" s="26">
        <v>500000</v>
      </c>
      <c r="BB124" s="26">
        <v>500000</v>
      </c>
      <c r="BC124" s="26">
        <v>500000</v>
      </c>
      <c r="BD124" s="26">
        <v>0</v>
      </c>
      <c r="BE124" s="26">
        <v>0</v>
      </c>
      <c r="BF124" s="26">
        <v>0</v>
      </c>
      <c r="BG124" s="26">
        <v>0</v>
      </c>
      <c r="BH124" s="26">
        <v>0</v>
      </c>
      <c r="BI124" s="26">
        <v>0</v>
      </c>
      <c r="BJ124" s="26">
        <v>0</v>
      </c>
      <c r="BK124" s="26">
        <v>0</v>
      </c>
      <c r="BL124" s="26">
        <v>0</v>
      </c>
      <c r="BM124" s="26">
        <v>0</v>
      </c>
      <c r="BN124" s="26">
        <v>0</v>
      </c>
      <c r="BO124" s="26">
        <v>0</v>
      </c>
      <c r="BP124" s="26">
        <v>1200000</v>
      </c>
      <c r="BQ124" s="26">
        <v>1200000</v>
      </c>
      <c r="BR124" s="26">
        <v>1200000</v>
      </c>
      <c r="BS124" s="26">
        <v>1200000</v>
      </c>
      <c r="BT124" s="26">
        <v>1200000</v>
      </c>
      <c r="BU124" s="26">
        <v>1200000</v>
      </c>
      <c r="BV124" s="26">
        <v>1200000</v>
      </c>
      <c r="BW124" s="26">
        <v>1200000</v>
      </c>
      <c r="BX124" s="26">
        <v>1200000</v>
      </c>
      <c r="BY124" s="26">
        <v>1200000</v>
      </c>
      <c r="BZ124" s="26">
        <v>1200000</v>
      </c>
      <c r="CA124" s="26">
        <v>1200000</v>
      </c>
      <c r="CB124" s="26">
        <v>3500000</v>
      </c>
      <c r="CC124" s="26">
        <v>3500000</v>
      </c>
      <c r="CD124" s="26">
        <v>3500000</v>
      </c>
      <c r="CE124" s="26">
        <v>3500000</v>
      </c>
      <c r="CF124" s="26">
        <v>3500000</v>
      </c>
      <c r="CG124" s="26">
        <v>3500000</v>
      </c>
      <c r="CH124" s="26">
        <v>3500000</v>
      </c>
      <c r="CI124" s="26">
        <v>3500000</v>
      </c>
      <c r="CJ124" s="26">
        <v>3500000</v>
      </c>
      <c r="CK124" s="26">
        <v>3500000</v>
      </c>
      <c r="CL124" s="26">
        <v>3500000</v>
      </c>
      <c r="CM124" s="26">
        <v>3500000</v>
      </c>
      <c r="CN124" s="26">
        <v>5050000</v>
      </c>
      <c r="CO124" s="26">
        <v>21</v>
      </c>
      <c r="CP124" s="26">
        <v>5050000</v>
      </c>
      <c r="CQ124" s="26">
        <v>730000</v>
      </c>
      <c r="CR124" s="26">
        <v>500000</v>
      </c>
      <c r="CS124" s="26">
        <v>1200000</v>
      </c>
      <c r="CT124" s="26">
        <v>3500000</v>
      </c>
      <c r="CU124" s="26">
        <v>5930000</v>
      </c>
    </row>
    <row r="125" spans="1:99" x14ac:dyDescent="0.3">
      <c r="A125" s="26">
        <v>11</v>
      </c>
      <c r="B125" s="27" t="s">
        <v>47</v>
      </c>
      <c r="C125" s="27" t="s">
        <v>48</v>
      </c>
      <c r="D125" s="27" t="s">
        <v>26</v>
      </c>
      <c r="E125" s="27" t="s">
        <v>27</v>
      </c>
      <c r="H125" s="26">
        <v>5050000</v>
      </c>
      <c r="I125" s="26">
        <v>5050000</v>
      </c>
      <c r="J125" s="26">
        <v>5050000</v>
      </c>
      <c r="K125" s="26">
        <v>5050000</v>
      </c>
      <c r="L125" s="26">
        <v>5050000</v>
      </c>
      <c r="M125" s="26">
        <v>5050000</v>
      </c>
      <c r="N125" s="26">
        <v>5050000</v>
      </c>
      <c r="O125" s="26">
        <v>5050000</v>
      </c>
      <c r="P125" s="26">
        <v>5050000</v>
      </c>
      <c r="Q125" s="26">
        <v>5050000</v>
      </c>
      <c r="R125" s="26">
        <v>5050000</v>
      </c>
      <c r="S125" s="26">
        <v>5050000</v>
      </c>
      <c r="U125" s="26">
        <v>5050000</v>
      </c>
      <c r="V125" s="26">
        <v>5050000</v>
      </c>
      <c r="W125" s="26">
        <v>5050000</v>
      </c>
      <c r="X125" s="26">
        <v>5050000</v>
      </c>
      <c r="Y125" s="26">
        <v>5050000</v>
      </c>
      <c r="Z125" s="26">
        <v>5050000</v>
      </c>
      <c r="AA125" s="26">
        <v>5050000</v>
      </c>
      <c r="AB125" s="26">
        <v>5050000</v>
      </c>
      <c r="AC125" s="26">
        <v>5050000</v>
      </c>
      <c r="AD125" s="26">
        <v>5050000</v>
      </c>
      <c r="AE125" s="26">
        <v>5050000</v>
      </c>
      <c r="AF125" s="26">
        <v>730000</v>
      </c>
      <c r="AG125" s="26">
        <v>730000</v>
      </c>
      <c r="AH125" s="26">
        <v>730000</v>
      </c>
      <c r="AI125" s="26">
        <v>730000</v>
      </c>
      <c r="AJ125" s="26">
        <v>730000</v>
      </c>
      <c r="AK125" s="26">
        <v>730000</v>
      </c>
      <c r="AL125" s="26">
        <v>730000</v>
      </c>
      <c r="AM125" s="26">
        <v>730000</v>
      </c>
      <c r="AN125" s="26">
        <v>730000</v>
      </c>
      <c r="AO125" s="26">
        <v>730000</v>
      </c>
      <c r="AP125" s="26">
        <v>730000</v>
      </c>
      <c r="AQ125" s="26">
        <v>730000</v>
      </c>
      <c r="AR125" s="26">
        <v>500000</v>
      </c>
      <c r="AS125" s="26">
        <v>500000</v>
      </c>
      <c r="AT125" s="26">
        <v>500000</v>
      </c>
      <c r="AU125" s="26">
        <v>500000</v>
      </c>
      <c r="AV125" s="26">
        <v>500000</v>
      </c>
      <c r="AW125" s="26">
        <v>500000</v>
      </c>
      <c r="AX125" s="26">
        <v>500000</v>
      </c>
      <c r="AY125" s="26">
        <v>500000</v>
      </c>
      <c r="AZ125" s="26">
        <v>500000</v>
      </c>
      <c r="BA125" s="26">
        <v>500000</v>
      </c>
      <c r="BB125" s="26">
        <v>500000</v>
      </c>
      <c r="BC125" s="26">
        <v>500000</v>
      </c>
      <c r="BD125" s="26">
        <v>0</v>
      </c>
      <c r="BE125" s="26">
        <v>0</v>
      </c>
      <c r="BF125" s="26">
        <v>0</v>
      </c>
      <c r="BG125" s="26">
        <v>0</v>
      </c>
      <c r="BH125" s="26">
        <v>0</v>
      </c>
      <c r="BI125" s="26">
        <v>0</v>
      </c>
      <c r="BJ125" s="26">
        <v>0</v>
      </c>
      <c r="BK125" s="26">
        <v>0</v>
      </c>
      <c r="BL125" s="26">
        <v>0</v>
      </c>
      <c r="BM125" s="26">
        <v>0</v>
      </c>
      <c r="BN125" s="26">
        <v>0</v>
      </c>
      <c r="BO125" s="26">
        <v>0</v>
      </c>
      <c r="BP125" s="26">
        <v>1200000</v>
      </c>
      <c r="BQ125" s="26">
        <v>1200000</v>
      </c>
      <c r="BR125" s="26">
        <v>1200000</v>
      </c>
      <c r="BS125" s="26">
        <v>1200000</v>
      </c>
      <c r="BT125" s="26">
        <v>1200000</v>
      </c>
      <c r="BU125" s="26">
        <v>1200000</v>
      </c>
      <c r="BV125" s="26">
        <v>1200000</v>
      </c>
      <c r="BW125" s="26">
        <v>1200000</v>
      </c>
      <c r="BX125" s="26">
        <v>1200000</v>
      </c>
      <c r="BY125" s="26">
        <v>1200000</v>
      </c>
      <c r="BZ125" s="26">
        <v>1200000</v>
      </c>
      <c r="CA125" s="26">
        <v>1200000</v>
      </c>
      <c r="CB125" s="26">
        <v>3500000</v>
      </c>
      <c r="CC125" s="26">
        <v>3500000</v>
      </c>
      <c r="CD125" s="26">
        <v>3500000</v>
      </c>
      <c r="CE125" s="26">
        <v>3500000</v>
      </c>
      <c r="CF125" s="26">
        <v>3500000</v>
      </c>
      <c r="CG125" s="26">
        <v>3500000</v>
      </c>
      <c r="CH125" s="26">
        <v>3500000</v>
      </c>
      <c r="CI125" s="26">
        <v>3500000</v>
      </c>
      <c r="CJ125" s="26">
        <v>3500000</v>
      </c>
      <c r="CK125" s="26">
        <v>3500000</v>
      </c>
      <c r="CL125" s="26">
        <v>3500000</v>
      </c>
      <c r="CM125" s="26">
        <v>3500000</v>
      </c>
      <c r="CN125" s="26">
        <v>5050000</v>
      </c>
      <c r="CO125" s="26">
        <v>22</v>
      </c>
      <c r="CP125" s="26">
        <v>5050000</v>
      </c>
      <c r="CQ125" s="26">
        <v>730000</v>
      </c>
      <c r="CR125" s="26">
        <v>500000</v>
      </c>
      <c r="CS125" s="26">
        <v>1200000</v>
      </c>
      <c r="CT125" s="26">
        <v>3500000</v>
      </c>
      <c r="CU125" s="26">
        <v>5930000</v>
      </c>
    </row>
    <row r="126" spans="1:99" x14ac:dyDescent="0.3">
      <c r="A126" s="26">
        <v>11</v>
      </c>
      <c r="B126" s="27" t="s">
        <v>47</v>
      </c>
      <c r="C126" s="27" t="s">
        <v>48</v>
      </c>
      <c r="D126" s="27" t="s">
        <v>26</v>
      </c>
      <c r="E126" s="27" t="s">
        <v>27</v>
      </c>
      <c r="H126" s="26">
        <v>5050000</v>
      </c>
      <c r="I126" s="26">
        <v>5050000</v>
      </c>
      <c r="J126" s="26">
        <v>5050000</v>
      </c>
      <c r="K126" s="26">
        <v>5050000</v>
      </c>
      <c r="L126" s="26">
        <v>5050000</v>
      </c>
      <c r="M126" s="26">
        <v>5050000</v>
      </c>
      <c r="N126" s="26">
        <v>5050000</v>
      </c>
      <c r="O126" s="26">
        <v>5050000</v>
      </c>
      <c r="P126" s="26">
        <v>5050000</v>
      </c>
      <c r="Q126" s="26">
        <v>5050000</v>
      </c>
      <c r="R126" s="26">
        <v>5050000</v>
      </c>
      <c r="S126" s="26">
        <v>5050000</v>
      </c>
      <c r="U126" s="26">
        <v>5050000</v>
      </c>
      <c r="V126" s="26">
        <v>5050000</v>
      </c>
      <c r="W126" s="26">
        <v>5050000</v>
      </c>
      <c r="X126" s="26">
        <v>5050000</v>
      </c>
      <c r="Y126" s="26">
        <v>5050000</v>
      </c>
      <c r="Z126" s="26">
        <v>5050000</v>
      </c>
      <c r="AA126" s="26">
        <v>5050000</v>
      </c>
      <c r="AB126" s="26">
        <v>5050000</v>
      </c>
      <c r="AC126" s="26">
        <v>5050000</v>
      </c>
      <c r="AD126" s="26">
        <v>5050000</v>
      </c>
      <c r="AE126" s="26">
        <v>5050000</v>
      </c>
      <c r="AF126" s="26">
        <v>730000</v>
      </c>
      <c r="AG126" s="26">
        <v>730000</v>
      </c>
      <c r="AH126" s="26">
        <v>730000</v>
      </c>
      <c r="AI126" s="26">
        <v>730000</v>
      </c>
      <c r="AJ126" s="26">
        <v>730000</v>
      </c>
      <c r="AK126" s="26">
        <v>730000</v>
      </c>
      <c r="AL126" s="26">
        <v>730000</v>
      </c>
      <c r="AM126" s="26">
        <v>730000</v>
      </c>
      <c r="AN126" s="26">
        <v>730000</v>
      </c>
      <c r="AO126" s="26">
        <v>730000</v>
      </c>
      <c r="AP126" s="26">
        <v>730000</v>
      </c>
      <c r="AQ126" s="26">
        <v>730000</v>
      </c>
      <c r="AR126" s="26">
        <v>500000</v>
      </c>
      <c r="AS126" s="26">
        <v>500000</v>
      </c>
      <c r="AT126" s="26">
        <v>500000</v>
      </c>
      <c r="AU126" s="26">
        <v>500000</v>
      </c>
      <c r="AV126" s="26">
        <v>500000</v>
      </c>
      <c r="AW126" s="26">
        <v>500000</v>
      </c>
      <c r="AX126" s="26">
        <v>500000</v>
      </c>
      <c r="AY126" s="26">
        <v>500000</v>
      </c>
      <c r="AZ126" s="26">
        <v>500000</v>
      </c>
      <c r="BA126" s="26">
        <v>500000</v>
      </c>
      <c r="BB126" s="26">
        <v>500000</v>
      </c>
      <c r="BC126" s="26">
        <v>500000</v>
      </c>
      <c r="BD126" s="26">
        <v>0</v>
      </c>
      <c r="BE126" s="26">
        <v>0</v>
      </c>
      <c r="BF126" s="26">
        <v>0</v>
      </c>
      <c r="BG126" s="26">
        <v>0</v>
      </c>
      <c r="BH126" s="26">
        <v>0</v>
      </c>
      <c r="BI126" s="26">
        <v>0</v>
      </c>
      <c r="BJ126" s="26">
        <v>0</v>
      </c>
      <c r="BK126" s="26">
        <v>0</v>
      </c>
      <c r="BL126" s="26">
        <v>0</v>
      </c>
      <c r="BM126" s="26">
        <v>0</v>
      </c>
      <c r="BN126" s="26">
        <v>0</v>
      </c>
      <c r="BO126" s="26">
        <v>0</v>
      </c>
      <c r="BP126" s="26">
        <v>1200000</v>
      </c>
      <c r="BQ126" s="26">
        <v>1200000</v>
      </c>
      <c r="BR126" s="26">
        <v>1200000</v>
      </c>
      <c r="BS126" s="26">
        <v>1200000</v>
      </c>
      <c r="BT126" s="26">
        <v>1200000</v>
      </c>
      <c r="BU126" s="26">
        <v>1200000</v>
      </c>
      <c r="BV126" s="26">
        <v>1200000</v>
      </c>
      <c r="BW126" s="26">
        <v>1200000</v>
      </c>
      <c r="BX126" s="26">
        <v>1200000</v>
      </c>
      <c r="BY126" s="26">
        <v>1200000</v>
      </c>
      <c r="BZ126" s="26">
        <v>1200000</v>
      </c>
      <c r="CA126" s="26">
        <v>1200000</v>
      </c>
      <c r="CB126" s="26">
        <v>3500000</v>
      </c>
      <c r="CC126" s="26">
        <v>3500000</v>
      </c>
      <c r="CD126" s="26">
        <v>3500000</v>
      </c>
      <c r="CE126" s="26">
        <v>3500000</v>
      </c>
      <c r="CF126" s="26">
        <v>3500000</v>
      </c>
      <c r="CG126" s="26">
        <v>3500000</v>
      </c>
      <c r="CH126" s="26">
        <v>3500000</v>
      </c>
      <c r="CI126" s="26">
        <v>3500000</v>
      </c>
      <c r="CJ126" s="26">
        <v>3500000</v>
      </c>
      <c r="CK126" s="26">
        <v>3500000</v>
      </c>
      <c r="CL126" s="26">
        <v>3500000</v>
      </c>
      <c r="CM126" s="26">
        <v>3500000</v>
      </c>
      <c r="CN126" s="26">
        <v>5050000</v>
      </c>
      <c r="CO126" s="26">
        <v>22</v>
      </c>
      <c r="CP126" s="26">
        <v>5050000</v>
      </c>
      <c r="CQ126" s="26">
        <v>730000</v>
      </c>
      <c r="CR126" s="26">
        <v>500000</v>
      </c>
      <c r="CS126" s="26">
        <v>1200000</v>
      </c>
      <c r="CT126" s="26">
        <v>3500000</v>
      </c>
      <c r="CU126" s="26">
        <v>5930000</v>
      </c>
    </row>
    <row r="127" spans="1:99" x14ac:dyDescent="0.3">
      <c r="A127" s="26">
        <v>11</v>
      </c>
      <c r="B127" s="27" t="s">
        <v>47</v>
      </c>
      <c r="C127" s="27" t="s">
        <v>48</v>
      </c>
      <c r="D127" s="27" t="s">
        <v>26</v>
      </c>
      <c r="E127" s="27" t="s">
        <v>27</v>
      </c>
      <c r="H127" s="26">
        <v>5050000</v>
      </c>
      <c r="I127" s="26">
        <v>5050000</v>
      </c>
      <c r="J127" s="26">
        <v>5050000</v>
      </c>
      <c r="K127" s="26">
        <v>5050000</v>
      </c>
      <c r="L127" s="26">
        <v>5050000</v>
      </c>
      <c r="M127" s="26">
        <v>5050000</v>
      </c>
      <c r="N127" s="26">
        <v>5050000</v>
      </c>
      <c r="O127" s="26">
        <v>5050000</v>
      </c>
      <c r="P127" s="26">
        <v>5050000</v>
      </c>
      <c r="Q127" s="26">
        <v>5050000</v>
      </c>
      <c r="R127" s="26">
        <v>5050000</v>
      </c>
      <c r="S127" s="26">
        <v>5050000</v>
      </c>
      <c r="U127" s="26">
        <v>5050000</v>
      </c>
      <c r="V127" s="26">
        <v>5050000</v>
      </c>
      <c r="W127" s="26">
        <v>5050000</v>
      </c>
      <c r="X127" s="26">
        <v>5050000</v>
      </c>
      <c r="Y127" s="26">
        <v>5050000</v>
      </c>
      <c r="Z127" s="26">
        <v>5050000</v>
      </c>
      <c r="AA127" s="26">
        <v>5050000</v>
      </c>
      <c r="AB127" s="26">
        <v>5050000</v>
      </c>
      <c r="AC127" s="26">
        <v>5050000</v>
      </c>
      <c r="AD127" s="26">
        <v>5050000</v>
      </c>
      <c r="AE127" s="26">
        <v>5050000</v>
      </c>
      <c r="AF127" s="26">
        <v>730000</v>
      </c>
      <c r="AG127" s="26">
        <v>730000</v>
      </c>
      <c r="AH127" s="26">
        <v>730000</v>
      </c>
      <c r="AI127" s="26">
        <v>730000</v>
      </c>
      <c r="AJ127" s="26">
        <v>730000</v>
      </c>
      <c r="AK127" s="26">
        <v>730000</v>
      </c>
      <c r="AL127" s="26">
        <v>730000</v>
      </c>
      <c r="AM127" s="26">
        <v>730000</v>
      </c>
      <c r="AN127" s="26">
        <v>730000</v>
      </c>
      <c r="AO127" s="26">
        <v>730000</v>
      </c>
      <c r="AP127" s="26">
        <v>730000</v>
      </c>
      <c r="AQ127" s="26">
        <v>730000</v>
      </c>
      <c r="AR127" s="26">
        <v>500000</v>
      </c>
      <c r="AS127" s="26">
        <v>500000</v>
      </c>
      <c r="AT127" s="26">
        <v>500000</v>
      </c>
      <c r="AU127" s="26">
        <v>500000</v>
      </c>
      <c r="AV127" s="26">
        <v>500000</v>
      </c>
      <c r="AW127" s="26">
        <v>500000</v>
      </c>
      <c r="AX127" s="26">
        <v>500000</v>
      </c>
      <c r="AY127" s="26">
        <v>500000</v>
      </c>
      <c r="AZ127" s="26">
        <v>500000</v>
      </c>
      <c r="BA127" s="26">
        <v>500000</v>
      </c>
      <c r="BB127" s="26">
        <v>500000</v>
      </c>
      <c r="BC127" s="26">
        <v>500000</v>
      </c>
      <c r="BD127" s="26">
        <v>0</v>
      </c>
      <c r="BE127" s="26">
        <v>0</v>
      </c>
      <c r="BF127" s="26">
        <v>0</v>
      </c>
      <c r="BG127" s="26">
        <v>0</v>
      </c>
      <c r="BH127" s="26">
        <v>0</v>
      </c>
      <c r="BI127" s="26">
        <v>0</v>
      </c>
      <c r="BJ127" s="26">
        <v>0</v>
      </c>
      <c r="BK127" s="26">
        <v>0</v>
      </c>
      <c r="BL127" s="26">
        <v>0</v>
      </c>
      <c r="BM127" s="26">
        <v>0</v>
      </c>
      <c r="BN127" s="26">
        <v>0</v>
      </c>
      <c r="BO127" s="26">
        <v>0</v>
      </c>
      <c r="BP127" s="26">
        <v>1200000</v>
      </c>
      <c r="BQ127" s="26">
        <v>1200000</v>
      </c>
      <c r="BR127" s="26">
        <v>1200000</v>
      </c>
      <c r="BS127" s="26">
        <v>1200000</v>
      </c>
      <c r="BT127" s="26">
        <v>1200000</v>
      </c>
      <c r="BU127" s="26">
        <v>1200000</v>
      </c>
      <c r="BV127" s="26">
        <v>1200000</v>
      </c>
      <c r="BW127" s="26">
        <v>1200000</v>
      </c>
      <c r="BX127" s="26">
        <v>1200000</v>
      </c>
      <c r="BY127" s="26">
        <v>1200000</v>
      </c>
      <c r="BZ127" s="26">
        <v>1200000</v>
      </c>
      <c r="CA127" s="26">
        <v>1200000</v>
      </c>
      <c r="CB127" s="26">
        <v>3500000</v>
      </c>
      <c r="CC127" s="26">
        <v>3500000</v>
      </c>
      <c r="CD127" s="26">
        <v>3500000</v>
      </c>
      <c r="CE127" s="26">
        <v>3500000</v>
      </c>
      <c r="CF127" s="26">
        <v>3500000</v>
      </c>
      <c r="CG127" s="26">
        <v>3500000</v>
      </c>
      <c r="CH127" s="26">
        <v>3500000</v>
      </c>
      <c r="CI127" s="26">
        <v>3500000</v>
      </c>
      <c r="CJ127" s="26">
        <v>3500000</v>
      </c>
      <c r="CK127" s="26">
        <v>3500000</v>
      </c>
      <c r="CL127" s="26">
        <v>3500000</v>
      </c>
      <c r="CM127" s="26">
        <v>3500000</v>
      </c>
      <c r="CN127" s="26">
        <v>5050000</v>
      </c>
      <c r="CO127" s="26">
        <v>21</v>
      </c>
      <c r="CP127" s="26">
        <v>5050000</v>
      </c>
      <c r="CQ127" s="26">
        <v>730000</v>
      </c>
      <c r="CR127" s="26">
        <v>500000</v>
      </c>
      <c r="CS127" s="26">
        <v>1200000</v>
      </c>
      <c r="CT127" s="26">
        <v>3500000</v>
      </c>
      <c r="CU127" s="26">
        <v>5930000</v>
      </c>
    </row>
    <row r="128" spans="1:99" x14ac:dyDescent="0.3">
      <c r="A128" s="26">
        <v>11</v>
      </c>
      <c r="B128" s="27" t="s">
        <v>47</v>
      </c>
      <c r="C128" s="27" t="s">
        <v>48</v>
      </c>
      <c r="D128" s="27" t="s">
        <v>26</v>
      </c>
      <c r="E128" s="27" t="s">
        <v>27</v>
      </c>
      <c r="H128" s="26">
        <v>5050000</v>
      </c>
      <c r="I128" s="26">
        <v>5050000</v>
      </c>
      <c r="J128" s="26">
        <v>5050000</v>
      </c>
      <c r="K128" s="26">
        <v>5050000</v>
      </c>
      <c r="L128" s="26">
        <v>5050000</v>
      </c>
      <c r="M128" s="26">
        <v>5050000</v>
      </c>
      <c r="N128" s="26">
        <v>5050000</v>
      </c>
      <c r="O128" s="26">
        <v>5050000</v>
      </c>
      <c r="P128" s="26">
        <v>5050000</v>
      </c>
      <c r="Q128" s="26">
        <v>5050000</v>
      </c>
      <c r="R128" s="26">
        <v>5050000</v>
      </c>
      <c r="S128" s="26">
        <v>5050000</v>
      </c>
      <c r="U128" s="26">
        <v>5050000</v>
      </c>
      <c r="V128" s="26">
        <v>5050000</v>
      </c>
      <c r="W128" s="26">
        <v>5050000</v>
      </c>
      <c r="X128" s="26">
        <v>5050000</v>
      </c>
      <c r="Y128" s="26">
        <v>5050000</v>
      </c>
      <c r="Z128" s="26">
        <v>5050000</v>
      </c>
      <c r="AA128" s="26">
        <v>5050000</v>
      </c>
      <c r="AB128" s="26">
        <v>5050000</v>
      </c>
      <c r="AC128" s="26">
        <v>5050000</v>
      </c>
      <c r="AD128" s="26">
        <v>5050000</v>
      </c>
      <c r="AE128" s="26">
        <v>5050000</v>
      </c>
      <c r="AF128" s="26">
        <v>730000</v>
      </c>
      <c r="AG128" s="26">
        <v>730000</v>
      </c>
      <c r="AH128" s="26">
        <v>730000</v>
      </c>
      <c r="AI128" s="26">
        <v>730000</v>
      </c>
      <c r="AJ128" s="26">
        <v>730000</v>
      </c>
      <c r="AK128" s="26">
        <v>730000</v>
      </c>
      <c r="AL128" s="26">
        <v>730000</v>
      </c>
      <c r="AM128" s="26">
        <v>730000</v>
      </c>
      <c r="AN128" s="26">
        <v>730000</v>
      </c>
      <c r="AO128" s="26">
        <v>730000</v>
      </c>
      <c r="AP128" s="26">
        <v>730000</v>
      </c>
      <c r="AQ128" s="26">
        <v>730000</v>
      </c>
      <c r="AR128" s="26">
        <v>500000</v>
      </c>
      <c r="AS128" s="26">
        <v>500000</v>
      </c>
      <c r="AT128" s="26">
        <v>500000</v>
      </c>
      <c r="AU128" s="26">
        <v>500000</v>
      </c>
      <c r="AV128" s="26">
        <v>500000</v>
      </c>
      <c r="AW128" s="26">
        <v>500000</v>
      </c>
      <c r="AX128" s="26">
        <v>500000</v>
      </c>
      <c r="AY128" s="26">
        <v>500000</v>
      </c>
      <c r="AZ128" s="26">
        <v>500000</v>
      </c>
      <c r="BA128" s="26">
        <v>500000</v>
      </c>
      <c r="BB128" s="26">
        <v>500000</v>
      </c>
      <c r="BC128" s="26">
        <v>500000</v>
      </c>
      <c r="BD128" s="26">
        <v>0</v>
      </c>
      <c r="BE128" s="26">
        <v>0</v>
      </c>
      <c r="BF128" s="26">
        <v>0</v>
      </c>
      <c r="BG128" s="26">
        <v>0</v>
      </c>
      <c r="BH128" s="26">
        <v>0</v>
      </c>
      <c r="BI128" s="26">
        <v>0</v>
      </c>
      <c r="BJ128" s="26">
        <v>0</v>
      </c>
      <c r="BK128" s="26">
        <v>0</v>
      </c>
      <c r="BL128" s="26">
        <v>0</v>
      </c>
      <c r="BM128" s="26">
        <v>0</v>
      </c>
      <c r="BN128" s="26">
        <v>0</v>
      </c>
      <c r="BO128" s="26">
        <v>0</v>
      </c>
      <c r="BP128" s="26">
        <v>1200000</v>
      </c>
      <c r="BQ128" s="26">
        <v>1200000</v>
      </c>
      <c r="BR128" s="26">
        <v>1200000</v>
      </c>
      <c r="BS128" s="26">
        <v>1200000</v>
      </c>
      <c r="BT128" s="26">
        <v>1200000</v>
      </c>
      <c r="BU128" s="26">
        <v>1200000</v>
      </c>
      <c r="BV128" s="26">
        <v>1200000</v>
      </c>
      <c r="BW128" s="26">
        <v>1200000</v>
      </c>
      <c r="BX128" s="26">
        <v>1200000</v>
      </c>
      <c r="BY128" s="26">
        <v>1200000</v>
      </c>
      <c r="BZ128" s="26">
        <v>1200000</v>
      </c>
      <c r="CA128" s="26">
        <v>1200000</v>
      </c>
      <c r="CB128" s="26">
        <v>3500000</v>
      </c>
      <c r="CC128" s="26">
        <v>3500000</v>
      </c>
      <c r="CD128" s="26">
        <v>3500000</v>
      </c>
      <c r="CE128" s="26">
        <v>3500000</v>
      </c>
      <c r="CF128" s="26">
        <v>3500000</v>
      </c>
      <c r="CG128" s="26">
        <v>3500000</v>
      </c>
      <c r="CH128" s="26">
        <v>3500000</v>
      </c>
      <c r="CI128" s="26">
        <v>3500000</v>
      </c>
      <c r="CJ128" s="26">
        <v>3500000</v>
      </c>
      <c r="CK128" s="26">
        <v>3500000</v>
      </c>
      <c r="CL128" s="26">
        <v>3500000</v>
      </c>
      <c r="CM128" s="26">
        <v>3500000</v>
      </c>
      <c r="CN128" s="26">
        <v>5050000</v>
      </c>
      <c r="CO128" s="26">
        <v>22</v>
      </c>
      <c r="CP128" s="26">
        <v>5050000</v>
      </c>
      <c r="CQ128" s="26">
        <v>730000</v>
      </c>
      <c r="CR128" s="26">
        <v>500000</v>
      </c>
      <c r="CS128" s="26">
        <v>1200000</v>
      </c>
      <c r="CT128" s="26">
        <v>3500000</v>
      </c>
      <c r="CU128" s="26">
        <v>5930000</v>
      </c>
    </row>
    <row r="129" spans="1:99" x14ac:dyDescent="0.3">
      <c r="A129" s="26">
        <v>11</v>
      </c>
      <c r="B129" s="27" t="s">
        <v>47</v>
      </c>
      <c r="C129" s="27" t="s">
        <v>48</v>
      </c>
      <c r="D129" s="27" t="s">
        <v>26</v>
      </c>
      <c r="E129" s="27" t="s">
        <v>27</v>
      </c>
      <c r="H129" s="26">
        <v>5050000</v>
      </c>
      <c r="I129" s="26">
        <v>5050000</v>
      </c>
      <c r="J129" s="26">
        <v>5050000</v>
      </c>
      <c r="K129" s="26">
        <v>5050000</v>
      </c>
      <c r="L129" s="26">
        <v>5050000</v>
      </c>
      <c r="M129" s="26">
        <v>5050000</v>
      </c>
      <c r="N129" s="26">
        <v>5050000</v>
      </c>
      <c r="O129" s="26">
        <v>5050000</v>
      </c>
      <c r="P129" s="26">
        <v>5050000</v>
      </c>
      <c r="Q129" s="26">
        <v>5050000</v>
      </c>
      <c r="R129" s="26">
        <v>5050000</v>
      </c>
      <c r="S129" s="26">
        <v>5050000</v>
      </c>
      <c r="U129" s="26">
        <v>5050000</v>
      </c>
      <c r="V129" s="26">
        <v>5050000</v>
      </c>
      <c r="W129" s="26">
        <v>5050000</v>
      </c>
      <c r="X129" s="26">
        <v>5050000</v>
      </c>
      <c r="Y129" s="26">
        <v>5050000</v>
      </c>
      <c r="Z129" s="26">
        <v>5050000</v>
      </c>
      <c r="AA129" s="26">
        <v>5050000</v>
      </c>
      <c r="AB129" s="26">
        <v>5050000</v>
      </c>
      <c r="AC129" s="26">
        <v>5050000</v>
      </c>
      <c r="AD129" s="26">
        <v>5050000</v>
      </c>
      <c r="AE129" s="26">
        <v>5050000</v>
      </c>
      <c r="AF129" s="26">
        <v>730000</v>
      </c>
      <c r="AG129" s="26">
        <v>730000</v>
      </c>
      <c r="AH129" s="26">
        <v>730000</v>
      </c>
      <c r="AI129" s="26">
        <v>730000</v>
      </c>
      <c r="AJ129" s="26">
        <v>730000</v>
      </c>
      <c r="AK129" s="26">
        <v>730000</v>
      </c>
      <c r="AL129" s="26">
        <v>730000</v>
      </c>
      <c r="AM129" s="26">
        <v>730000</v>
      </c>
      <c r="AN129" s="26">
        <v>730000</v>
      </c>
      <c r="AO129" s="26">
        <v>730000</v>
      </c>
      <c r="AP129" s="26">
        <v>730000</v>
      </c>
      <c r="AQ129" s="26">
        <v>730000</v>
      </c>
      <c r="AR129" s="26">
        <v>500000</v>
      </c>
      <c r="AS129" s="26">
        <v>500000</v>
      </c>
      <c r="AT129" s="26">
        <v>500000</v>
      </c>
      <c r="AU129" s="26">
        <v>500000</v>
      </c>
      <c r="AV129" s="26">
        <v>500000</v>
      </c>
      <c r="AW129" s="26">
        <v>500000</v>
      </c>
      <c r="AX129" s="26">
        <v>500000</v>
      </c>
      <c r="AY129" s="26">
        <v>500000</v>
      </c>
      <c r="AZ129" s="26">
        <v>500000</v>
      </c>
      <c r="BA129" s="26">
        <v>500000</v>
      </c>
      <c r="BB129" s="26">
        <v>500000</v>
      </c>
      <c r="BC129" s="26">
        <v>500000</v>
      </c>
      <c r="BD129" s="26">
        <v>0</v>
      </c>
      <c r="BE129" s="26">
        <v>0</v>
      </c>
      <c r="BF129" s="26">
        <v>0</v>
      </c>
      <c r="BG129" s="26">
        <v>0</v>
      </c>
      <c r="BH129" s="26">
        <v>0</v>
      </c>
      <c r="BI129" s="26">
        <v>0</v>
      </c>
      <c r="BJ129" s="26">
        <v>0</v>
      </c>
      <c r="BK129" s="26">
        <v>0</v>
      </c>
      <c r="BL129" s="26">
        <v>0</v>
      </c>
      <c r="BM129" s="26">
        <v>0</v>
      </c>
      <c r="BN129" s="26">
        <v>0</v>
      </c>
      <c r="BO129" s="26">
        <v>0</v>
      </c>
      <c r="BP129" s="26">
        <v>1200000</v>
      </c>
      <c r="BQ129" s="26">
        <v>1200000</v>
      </c>
      <c r="BR129" s="26">
        <v>1200000</v>
      </c>
      <c r="BS129" s="26">
        <v>1200000</v>
      </c>
      <c r="BT129" s="26">
        <v>1200000</v>
      </c>
      <c r="BU129" s="26">
        <v>1200000</v>
      </c>
      <c r="BV129" s="26">
        <v>1200000</v>
      </c>
      <c r="BW129" s="26">
        <v>1200000</v>
      </c>
      <c r="BX129" s="26">
        <v>1200000</v>
      </c>
      <c r="BY129" s="26">
        <v>1200000</v>
      </c>
      <c r="BZ129" s="26">
        <v>1200000</v>
      </c>
      <c r="CA129" s="26">
        <v>1200000</v>
      </c>
      <c r="CB129" s="26">
        <v>3500000</v>
      </c>
      <c r="CC129" s="26">
        <v>3500000</v>
      </c>
      <c r="CD129" s="26">
        <v>3500000</v>
      </c>
      <c r="CE129" s="26">
        <v>3500000</v>
      </c>
      <c r="CF129" s="26">
        <v>3500000</v>
      </c>
      <c r="CG129" s="26">
        <v>3500000</v>
      </c>
      <c r="CH129" s="26">
        <v>3500000</v>
      </c>
      <c r="CI129" s="26">
        <v>3500000</v>
      </c>
      <c r="CJ129" s="26">
        <v>3500000</v>
      </c>
      <c r="CK129" s="26">
        <v>3500000</v>
      </c>
      <c r="CL129" s="26">
        <v>3500000</v>
      </c>
      <c r="CM129" s="26">
        <v>3500000</v>
      </c>
      <c r="CN129" s="26">
        <v>5050000</v>
      </c>
      <c r="CO129" s="26">
        <v>20</v>
      </c>
      <c r="CP129" s="26">
        <v>5050000</v>
      </c>
      <c r="CQ129" s="26">
        <v>730000</v>
      </c>
      <c r="CR129" s="26">
        <v>500000</v>
      </c>
      <c r="CS129" s="26">
        <v>1200000</v>
      </c>
      <c r="CT129" s="26">
        <v>3500000</v>
      </c>
      <c r="CU129" s="26">
        <v>5930000</v>
      </c>
    </row>
    <row r="130" spans="1:99" x14ac:dyDescent="0.3">
      <c r="A130" s="26">
        <v>11</v>
      </c>
      <c r="B130" s="27" t="s">
        <v>47</v>
      </c>
      <c r="C130" s="27" t="s">
        <v>48</v>
      </c>
      <c r="D130" s="27" t="s">
        <v>26</v>
      </c>
      <c r="E130" s="27" t="s">
        <v>27</v>
      </c>
      <c r="H130" s="26">
        <v>5050000</v>
      </c>
      <c r="I130" s="26">
        <v>5050000</v>
      </c>
      <c r="J130" s="26">
        <v>5050000</v>
      </c>
      <c r="K130" s="26">
        <v>5050000</v>
      </c>
      <c r="L130" s="26">
        <v>5050000</v>
      </c>
      <c r="M130" s="26">
        <v>5050000</v>
      </c>
      <c r="N130" s="26">
        <v>5050000</v>
      </c>
      <c r="O130" s="26">
        <v>5050000</v>
      </c>
      <c r="P130" s="26">
        <v>5050000</v>
      </c>
      <c r="Q130" s="26">
        <v>5050000</v>
      </c>
      <c r="R130" s="26">
        <v>5050000</v>
      </c>
      <c r="S130" s="26">
        <v>5050000</v>
      </c>
      <c r="U130" s="26">
        <v>5050000</v>
      </c>
      <c r="V130" s="26">
        <v>5050000</v>
      </c>
      <c r="W130" s="26">
        <v>5050000</v>
      </c>
      <c r="X130" s="26">
        <v>5050000</v>
      </c>
      <c r="Y130" s="26">
        <v>5050000</v>
      </c>
      <c r="Z130" s="26">
        <v>5050000</v>
      </c>
      <c r="AA130" s="26">
        <v>5050000</v>
      </c>
      <c r="AB130" s="26">
        <v>5050000</v>
      </c>
      <c r="AC130" s="26">
        <v>5050000</v>
      </c>
      <c r="AD130" s="26">
        <v>5050000</v>
      </c>
      <c r="AE130" s="26">
        <v>5050000</v>
      </c>
      <c r="AF130" s="26">
        <v>730000</v>
      </c>
      <c r="AG130" s="26">
        <v>730000</v>
      </c>
      <c r="AH130" s="26">
        <v>730000</v>
      </c>
      <c r="AI130" s="26">
        <v>730000</v>
      </c>
      <c r="AJ130" s="26">
        <v>730000</v>
      </c>
      <c r="AK130" s="26">
        <v>730000</v>
      </c>
      <c r="AL130" s="26">
        <v>730000</v>
      </c>
      <c r="AM130" s="26">
        <v>730000</v>
      </c>
      <c r="AN130" s="26">
        <v>730000</v>
      </c>
      <c r="AO130" s="26">
        <v>730000</v>
      </c>
      <c r="AP130" s="26">
        <v>730000</v>
      </c>
      <c r="AQ130" s="26">
        <v>730000</v>
      </c>
      <c r="AR130" s="26">
        <v>500000</v>
      </c>
      <c r="AS130" s="26">
        <v>500000</v>
      </c>
      <c r="AT130" s="26">
        <v>500000</v>
      </c>
      <c r="AU130" s="26">
        <v>500000</v>
      </c>
      <c r="AV130" s="26">
        <v>500000</v>
      </c>
      <c r="AW130" s="26">
        <v>500000</v>
      </c>
      <c r="AX130" s="26">
        <v>500000</v>
      </c>
      <c r="AY130" s="26">
        <v>500000</v>
      </c>
      <c r="AZ130" s="26">
        <v>500000</v>
      </c>
      <c r="BA130" s="26">
        <v>500000</v>
      </c>
      <c r="BB130" s="26">
        <v>500000</v>
      </c>
      <c r="BC130" s="26">
        <v>500000</v>
      </c>
      <c r="BD130" s="26">
        <v>0</v>
      </c>
      <c r="BE130" s="26">
        <v>0</v>
      </c>
      <c r="BF130" s="26">
        <v>0</v>
      </c>
      <c r="BG130" s="26">
        <v>0</v>
      </c>
      <c r="BH130" s="26">
        <v>0</v>
      </c>
      <c r="BI130" s="26">
        <v>0</v>
      </c>
      <c r="BJ130" s="26">
        <v>0</v>
      </c>
      <c r="BK130" s="26">
        <v>0</v>
      </c>
      <c r="BL130" s="26">
        <v>0</v>
      </c>
      <c r="BM130" s="26">
        <v>0</v>
      </c>
      <c r="BN130" s="26">
        <v>0</v>
      </c>
      <c r="BO130" s="26">
        <v>0</v>
      </c>
      <c r="BP130" s="26">
        <v>1200000</v>
      </c>
      <c r="BQ130" s="26">
        <v>1200000</v>
      </c>
      <c r="BR130" s="26">
        <v>1200000</v>
      </c>
      <c r="BS130" s="26">
        <v>1200000</v>
      </c>
      <c r="BT130" s="26">
        <v>1200000</v>
      </c>
      <c r="BU130" s="26">
        <v>1200000</v>
      </c>
      <c r="BV130" s="26">
        <v>1200000</v>
      </c>
      <c r="BW130" s="26">
        <v>1200000</v>
      </c>
      <c r="BX130" s="26">
        <v>1200000</v>
      </c>
      <c r="BY130" s="26">
        <v>1200000</v>
      </c>
      <c r="BZ130" s="26">
        <v>1200000</v>
      </c>
      <c r="CA130" s="26">
        <v>1200000</v>
      </c>
      <c r="CB130" s="26">
        <v>3500000</v>
      </c>
      <c r="CC130" s="26">
        <v>3500000</v>
      </c>
      <c r="CD130" s="26">
        <v>3500000</v>
      </c>
      <c r="CE130" s="26">
        <v>3500000</v>
      </c>
      <c r="CF130" s="26">
        <v>3500000</v>
      </c>
      <c r="CG130" s="26">
        <v>3500000</v>
      </c>
      <c r="CH130" s="26">
        <v>3500000</v>
      </c>
      <c r="CI130" s="26">
        <v>3500000</v>
      </c>
      <c r="CJ130" s="26">
        <v>3500000</v>
      </c>
      <c r="CK130" s="26">
        <v>3500000</v>
      </c>
      <c r="CL130" s="26">
        <v>3500000</v>
      </c>
      <c r="CM130" s="26">
        <v>3500000</v>
      </c>
      <c r="CN130" s="26">
        <v>5050000</v>
      </c>
      <c r="CO130" s="26">
        <v>23</v>
      </c>
      <c r="CP130" s="26">
        <v>5050000</v>
      </c>
      <c r="CQ130" s="26">
        <v>730000</v>
      </c>
      <c r="CR130" s="26">
        <v>500000</v>
      </c>
      <c r="CS130" s="26">
        <v>1200000</v>
      </c>
      <c r="CT130" s="26">
        <v>3500000</v>
      </c>
      <c r="CU130" s="26">
        <v>5930000</v>
      </c>
    </row>
    <row r="131" spans="1:99" x14ac:dyDescent="0.3">
      <c r="A131" s="26">
        <v>11</v>
      </c>
      <c r="B131" s="27" t="s">
        <v>47</v>
      </c>
      <c r="C131" s="27" t="s">
        <v>48</v>
      </c>
      <c r="D131" s="27" t="s">
        <v>26</v>
      </c>
      <c r="E131" s="27" t="s">
        <v>27</v>
      </c>
      <c r="H131" s="26">
        <v>5050000</v>
      </c>
      <c r="I131" s="26">
        <v>5050000</v>
      </c>
      <c r="J131" s="26">
        <v>5050000</v>
      </c>
      <c r="K131" s="26">
        <v>5050000</v>
      </c>
      <c r="L131" s="26">
        <v>5050000</v>
      </c>
      <c r="M131" s="26">
        <v>5050000</v>
      </c>
      <c r="N131" s="26">
        <v>5050000</v>
      </c>
      <c r="O131" s="26">
        <v>5050000</v>
      </c>
      <c r="P131" s="26">
        <v>5050000</v>
      </c>
      <c r="Q131" s="26">
        <v>5050000</v>
      </c>
      <c r="R131" s="26">
        <v>5050000</v>
      </c>
      <c r="S131" s="26">
        <v>5050000</v>
      </c>
      <c r="U131" s="26">
        <v>5050000</v>
      </c>
      <c r="V131" s="26">
        <v>5050000</v>
      </c>
      <c r="W131" s="26">
        <v>5050000</v>
      </c>
      <c r="X131" s="26">
        <v>5050000</v>
      </c>
      <c r="Y131" s="26">
        <v>5050000</v>
      </c>
      <c r="Z131" s="26">
        <v>5050000</v>
      </c>
      <c r="AA131" s="26">
        <v>5050000</v>
      </c>
      <c r="AB131" s="26">
        <v>5050000</v>
      </c>
      <c r="AC131" s="26">
        <v>5050000</v>
      </c>
      <c r="AD131" s="26">
        <v>5050000</v>
      </c>
      <c r="AE131" s="26">
        <v>5050000</v>
      </c>
      <c r="AF131" s="26">
        <v>730000</v>
      </c>
      <c r="AG131" s="26">
        <v>730000</v>
      </c>
      <c r="AH131" s="26">
        <v>730000</v>
      </c>
      <c r="AI131" s="26">
        <v>730000</v>
      </c>
      <c r="AJ131" s="26">
        <v>730000</v>
      </c>
      <c r="AK131" s="26">
        <v>730000</v>
      </c>
      <c r="AL131" s="26">
        <v>730000</v>
      </c>
      <c r="AM131" s="26">
        <v>730000</v>
      </c>
      <c r="AN131" s="26">
        <v>730000</v>
      </c>
      <c r="AO131" s="26">
        <v>730000</v>
      </c>
      <c r="AP131" s="26">
        <v>730000</v>
      </c>
      <c r="AQ131" s="26">
        <v>730000</v>
      </c>
      <c r="AR131" s="26">
        <v>500000</v>
      </c>
      <c r="AS131" s="26">
        <v>500000</v>
      </c>
      <c r="AT131" s="26">
        <v>500000</v>
      </c>
      <c r="AU131" s="26">
        <v>500000</v>
      </c>
      <c r="AV131" s="26">
        <v>500000</v>
      </c>
      <c r="AW131" s="26">
        <v>500000</v>
      </c>
      <c r="AX131" s="26">
        <v>500000</v>
      </c>
      <c r="AY131" s="26">
        <v>500000</v>
      </c>
      <c r="AZ131" s="26">
        <v>500000</v>
      </c>
      <c r="BA131" s="26">
        <v>500000</v>
      </c>
      <c r="BB131" s="26">
        <v>500000</v>
      </c>
      <c r="BC131" s="26">
        <v>500000</v>
      </c>
      <c r="BD131" s="26">
        <v>0</v>
      </c>
      <c r="BE131" s="26">
        <v>0</v>
      </c>
      <c r="BF131" s="26">
        <v>0</v>
      </c>
      <c r="BG131" s="26">
        <v>0</v>
      </c>
      <c r="BH131" s="26">
        <v>0</v>
      </c>
      <c r="BI131" s="26">
        <v>0</v>
      </c>
      <c r="BJ131" s="26">
        <v>0</v>
      </c>
      <c r="BK131" s="26">
        <v>0</v>
      </c>
      <c r="BL131" s="26">
        <v>0</v>
      </c>
      <c r="BM131" s="26">
        <v>0</v>
      </c>
      <c r="BN131" s="26">
        <v>0</v>
      </c>
      <c r="BO131" s="26">
        <v>0</v>
      </c>
      <c r="BP131" s="26">
        <v>1200000</v>
      </c>
      <c r="BQ131" s="26">
        <v>1200000</v>
      </c>
      <c r="BR131" s="26">
        <v>1200000</v>
      </c>
      <c r="BS131" s="26">
        <v>1200000</v>
      </c>
      <c r="BT131" s="26">
        <v>1200000</v>
      </c>
      <c r="BU131" s="26">
        <v>1200000</v>
      </c>
      <c r="BV131" s="26">
        <v>1200000</v>
      </c>
      <c r="BW131" s="26">
        <v>1200000</v>
      </c>
      <c r="BX131" s="26">
        <v>1200000</v>
      </c>
      <c r="BY131" s="26">
        <v>1200000</v>
      </c>
      <c r="BZ131" s="26">
        <v>1200000</v>
      </c>
      <c r="CA131" s="26">
        <v>1200000</v>
      </c>
      <c r="CB131" s="26">
        <v>3500000</v>
      </c>
      <c r="CC131" s="26">
        <v>3500000</v>
      </c>
      <c r="CD131" s="26">
        <v>3500000</v>
      </c>
      <c r="CE131" s="26">
        <v>3500000</v>
      </c>
      <c r="CF131" s="26">
        <v>3500000</v>
      </c>
      <c r="CG131" s="26">
        <v>3500000</v>
      </c>
      <c r="CH131" s="26">
        <v>3500000</v>
      </c>
      <c r="CI131" s="26">
        <v>3500000</v>
      </c>
      <c r="CJ131" s="26">
        <v>3500000</v>
      </c>
      <c r="CK131" s="26">
        <v>3500000</v>
      </c>
      <c r="CL131" s="26">
        <v>3500000</v>
      </c>
      <c r="CM131" s="26">
        <v>3500000</v>
      </c>
      <c r="CN131" s="26">
        <v>5050000</v>
      </c>
      <c r="CO131" s="26">
        <v>23</v>
      </c>
      <c r="CP131" s="26">
        <v>5050000</v>
      </c>
      <c r="CQ131" s="26">
        <v>730000</v>
      </c>
      <c r="CR131" s="26">
        <v>500000</v>
      </c>
      <c r="CS131" s="26">
        <v>1200000</v>
      </c>
      <c r="CT131" s="26">
        <v>3500000</v>
      </c>
      <c r="CU131" s="26">
        <v>5930000</v>
      </c>
    </row>
    <row r="132" spans="1:99" x14ac:dyDescent="0.3">
      <c r="A132" s="26">
        <v>11</v>
      </c>
      <c r="B132" s="27" t="s">
        <v>47</v>
      </c>
      <c r="C132" s="27" t="s">
        <v>48</v>
      </c>
      <c r="D132" s="27" t="s">
        <v>26</v>
      </c>
      <c r="E132" s="27" t="s">
        <v>27</v>
      </c>
      <c r="H132" s="26">
        <v>5050000</v>
      </c>
      <c r="I132" s="26">
        <v>5050000</v>
      </c>
      <c r="J132" s="26">
        <v>5050000</v>
      </c>
      <c r="K132" s="26">
        <v>5050000</v>
      </c>
      <c r="L132" s="26">
        <v>5050000</v>
      </c>
      <c r="M132" s="26">
        <v>5050000</v>
      </c>
      <c r="N132" s="26">
        <v>5050000</v>
      </c>
      <c r="O132" s="26">
        <v>5050000</v>
      </c>
      <c r="P132" s="26">
        <v>5050000</v>
      </c>
      <c r="Q132" s="26">
        <v>5050000</v>
      </c>
      <c r="R132" s="26">
        <v>5050000</v>
      </c>
      <c r="S132" s="26">
        <v>5050000</v>
      </c>
      <c r="U132" s="26">
        <v>5050000</v>
      </c>
      <c r="V132" s="26">
        <v>5050000</v>
      </c>
      <c r="W132" s="26">
        <v>5050000</v>
      </c>
      <c r="X132" s="26">
        <v>5050000</v>
      </c>
      <c r="Y132" s="26">
        <v>5050000</v>
      </c>
      <c r="Z132" s="26">
        <v>5050000</v>
      </c>
      <c r="AA132" s="26">
        <v>5050000</v>
      </c>
      <c r="AB132" s="26">
        <v>5050000</v>
      </c>
      <c r="AC132" s="26">
        <v>5050000</v>
      </c>
      <c r="AD132" s="26">
        <v>5050000</v>
      </c>
      <c r="AE132" s="26">
        <v>5050000</v>
      </c>
      <c r="AF132" s="26">
        <v>730000</v>
      </c>
      <c r="AG132" s="26">
        <v>730000</v>
      </c>
      <c r="AH132" s="26">
        <v>730000</v>
      </c>
      <c r="AI132" s="26">
        <v>730000</v>
      </c>
      <c r="AJ132" s="26">
        <v>730000</v>
      </c>
      <c r="AK132" s="26">
        <v>730000</v>
      </c>
      <c r="AL132" s="26">
        <v>730000</v>
      </c>
      <c r="AM132" s="26">
        <v>730000</v>
      </c>
      <c r="AN132" s="26">
        <v>730000</v>
      </c>
      <c r="AO132" s="26">
        <v>730000</v>
      </c>
      <c r="AP132" s="26">
        <v>730000</v>
      </c>
      <c r="AQ132" s="26">
        <v>730000</v>
      </c>
      <c r="AR132" s="26">
        <v>500000</v>
      </c>
      <c r="AS132" s="26">
        <v>500000</v>
      </c>
      <c r="AT132" s="26">
        <v>500000</v>
      </c>
      <c r="AU132" s="26">
        <v>500000</v>
      </c>
      <c r="AV132" s="26">
        <v>500000</v>
      </c>
      <c r="AW132" s="26">
        <v>500000</v>
      </c>
      <c r="AX132" s="26">
        <v>500000</v>
      </c>
      <c r="AY132" s="26">
        <v>500000</v>
      </c>
      <c r="AZ132" s="26">
        <v>500000</v>
      </c>
      <c r="BA132" s="26">
        <v>500000</v>
      </c>
      <c r="BB132" s="26">
        <v>500000</v>
      </c>
      <c r="BC132" s="26">
        <v>500000</v>
      </c>
      <c r="BD132" s="26">
        <v>0</v>
      </c>
      <c r="BE132" s="26">
        <v>0</v>
      </c>
      <c r="BF132" s="26">
        <v>0</v>
      </c>
      <c r="BG132" s="26">
        <v>0</v>
      </c>
      <c r="BH132" s="26">
        <v>0</v>
      </c>
      <c r="BI132" s="26">
        <v>0</v>
      </c>
      <c r="BJ132" s="26">
        <v>0</v>
      </c>
      <c r="BK132" s="26">
        <v>0</v>
      </c>
      <c r="BL132" s="26">
        <v>0</v>
      </c>
      <c r="BM132" s="26">
        <v>0</v>
      </c>
      <c r="BN132" s="26">
        <v>0</v>
      </c>
      <c r="BO132" s="26">
        <v>0</v>
      </c>
      <c r="BP132" s="26">
        <v>1200000</v>
      </c>
      <c r="BQ132" s="26">
        <v>1200000</v>
      </c>
      <c r="BR132" s="26">
        <v>1200000</v>
      </c>
      <c r="BS132" s="26">
        <v>1200000</v>
      </c>
      <c r="BT132" s="26">
        <v>1200000</v>
      </c>
      <c r="BU132" s="26">
        <v>1200000</v>
      </c>
      <c r="BV132" s="26">
        <v>1200000</v>
      </c>
      <c r="BW132" s="26">
        <v>1200000</v>
      </c>
      <c r="BX132" s="26">
        <v>1200000</v>
      </c>
      <c r="BY132" s="26">
        <v>1200000</v>
      </c>
      <c r="BZ132" s="26">
        <v>1200000</v>
      </c>
      <c r="CA132" s="26">
        <v>1200000</v>
      </c>
      <c r="CB132" s="26">
        <v>3500000</v>
      </c>
      <c r="CC132" s="26">
        <v>3500000</v>
      </c>
      <c r="CD132" s="26">
        <v>3500000</v>
      </c>
      <c r="CE132" s="26">
        <v>3500000</v>
      </c>
      <c r="CF132" s="26">
        <v>3500000</v>
      </c>
      <c r="CG132" s="26">
        <v>3500000</v>
      </c>
      <c r="CH132" s="26">
        <v>3500000</v>
      </c>
      <c r="CI132" s="26">
        <v>3500000</v>
      </c>
      <c r="CJ132" s="26">
        <v>3500000</v>
      </c>
      <c r="CK132" s="26">
        <v>3500000</v>
      </c>
      <c r="CL132" s="26">
        <v>3500000</v>
      </c>
      <c r="CM132" s="26">
        <v>3500000</v>
      </c>
      <c r="CN132" s="26">
        <v>5050000</v>
      </c>
      <c r="CO132" s="26">
        <v>22</v>
      </c>
      <c r="CP132" s="26">
        <v>5050000</v>
      </c>
      <c r="CQ132" s="26">
        <v>730000</v>
      </c>
      <c r="CR132" s="26">
        <v>500000</v>
      </c>
      <c r="CS132" s="26">
        <v>1200000</v>
      </c>
      <c r="CT132" s="26">
        <v>3500000</v>
      </c>
      <c r="CU132" s="26">
        <v>5930000</v>
      </c>
    </row>
    <row r="133" spans="1:99" x14ac:dyDescent="0.3">
      <c r="A133" s="26">
        <v>11</v>
      </c>
      <c r="B133" s="27" t="s">
        <v>47</v>
      </c>
      <c r="C133" s="27" t="s">
        <v>48</v>
      </c>
      <c r="D133" s="27" t="s">
        <v>26</v>
      </c>
      <c r="E133" s="27" t="s">
        <v>27</v>
      </c>
      <c r="H133" s="26">
        <v>5050000</v>
      </c>
      <c r="I133" s="26">
        <v>5050000</v>
      </c>
      <c r="J133" s="26">
        <v>5050000</v>
      </c>
      <c r="K133" s="26">
        <v>5050000</v>
      </c>
      <c r="L133" s="26">
        <v>5050000</v>
      </c>
      <c r="M133" s="26">
        <v>5050000</v>
      </c>
      <c r="N133" s="26">
        <v>5050000</v>
      </c>
      <c r="O133" s="26">
        <v>5050000</v>
      </c>
      <c r="P133" s="26">
        <v>5050000</v>
      </c>
      <c r="Q133" s="26">
        <v>5050000</v>
      </c>
      <c r="R133" s="26">
        <v>5050000</v>
      </c>
      <c r="S133" s="26">
        <v>5050000</v>
      </c>
      <c r="U133" s="26">
        <v>5050000</v>
      </c>
      <c r="V133" s="26">
        <v>5050000</v>
      </c>
      <c r="W133" s="26">
        <v>5050000</v>
      </c>
      <c r="X133" s="26">
        <v>5050000</v>
      </c>
      <c r="Y133" s="26">
        <v>5050000</v>
      </c>
      <c r="Z133" s="26">
        <v>5050000</v>
      </c>
      <c r="AA133" s="26">
        <v>5050000</v>
      </c>
      <c r="AB133" s="26">
        <v>5050000</v>
      </c>
      <c r="AC133" s="26">
        <v>5050000</v>
      </c>
      <c r="AD133" s="26">
        <v>5050000</v>
      </c>
      <c r="AE133" s="26">
        <v>5050000</v>
      </c>
      <c r="AF133" s="26">
        <v>730000</v>
      </c>
      <c r="AG133" s="26">
        <v>730000</v>
      </c>
      <c r="AH133" s="26">
        <v>730000</v>
      </c>
      <c r="AI133" s="26">
        <v>730000</v>
      </c>
      <c r="AJ133" s="26">
        <v>730000</v>
      </c>
      <c r="AK133" s="26">
        <v>730000</v>
      </c>
      <c r="AL133" s="26">
        <v>730000</v>
      </c>
      <c r="AM133" s="26">
        <v>730000</v>
      </c>
      <c r="AN133" s="26">
        <v>730000</v>
      </c>
      <c r="AO133" s="26">
        <v>730000</v>
      </c>
      <c r="AP133" s="26">
        <v>730000</v>
      </c>
      <c r="AQ133" s="26">
        <v>730000</v>
      </c>
      <c r="AR133" s="26">
        <v>500000</v>
      </c>
      <c r="AS133" s="26">
        <v>500000</v>
      </c>
      <c r="AT133" s="26">
        <v>500000</v>
      </c>
      <c r="AU133" s="26">
        <v>500000</v>
      </c>
      <c r="AV133" s="26">
        <v>500000</v>
      </c>
      <c r="AW133" s="26">
        <v>500000</v>
      </c>
      <c r="AX133" s="26">
        <v>500000</v>
      </c>
      <c r="AY133" s="26">
        <v>500000</v>
      </c>
      <c r="AZ133" s="26">
        <v>500000</v>
      </c>
      <c r="BA133" s="26">
        <v>500000</v>
      </c>
      <c r="BB133" s="26">
        <v>500000</v>
      </c>
      <c r="BC133" s="26">
        <v>500000</v>
      </c>
      <c r="BD133" s="26">
        <v>0</v>
      </c>
      <c r="BE133" s="26">
        <v>0</v>
      </c>
      <c r="BF133" s="26">
        <v>0</v>
      </c>
      <c r="BG133" s="26">
        <v>0</v>
      </c>
      <c r="BH133" s="26">
        <v>0</v>
      </c>
      <c r="BI133" s="26">
        <v>0</v>
      </c>
      <c r="BJ133" s="26">
        <v>0</v>
      </c>
      <c r="BK133" s="26">
        <v>0</v>
      </c>
      <c r="BL133" s="26">
        <v>0</v>
      </c>
      <c r="BM133" s="26">
        <v>0</v>
      </c>
      <c r="BN133" s="26">
        <v>0</v>
      </c>
      <c r="BO133" s="26">
        <v>0</v>
      </c>
      <c r="BP133" s="26">
        <v>1200000</v>
      </c>
      <c r="BQ133" s="26">
        <v>1200000</v>
      </c>
      <c r="BR133" s="26">
        <v>1200000</v>
      </c>
      <c r="BS133" s="26">
        <v>1200000</v>
      </c>
      <c r="BT133" s="26">
        <v>1200000</v>
      </c>
      <c r="BU133" s="26">
        <v>1200000</v>
      </c>
      <c r="BV133" s="26">
        <v>1200000</v>
      </c>
      <c r="BW133" s="26">
        <v>1200000</v>
      </c>
      <c r="BX133" s="26">
        <v>1200000</v>
      </c>
      <c r="BY133" s="26">
        <v>1200000</v>
      </c>
      <c r="BZ133" s="26">
        <v>1200000</v>
      </c>
      <c r="CA133" s="26">
        <v>1200000</v>
      </c>
      <c r="CB133" s="26">
        <v>3500000</v>
      </c>
      <c r="CC133" s="26">
        <v>3500000</v>
      </c>
      <c r="CD133" s="26">
        <v>3500000</v>
      </c>
      <c r="CE133" s="26">
        <v>3500000</v>
      </c>
      <c r="CF133" s="26">
        <v>3500000</v>
      </c>
      <c r="CG133" s="26">
        <v>3500000</v>
      </c>
      <c r="CH133" s="26">
        <v>3500000</v>
      </c>
      <c r="CI133" s="26">
        <v>3500000</v>
      </c>
      <c r="CJ133" s="26">
        <v>3500000</v>
      </c>
      <c r="CK133" s="26">
        <v>3500000</v>
      </c>
      <c r="CL133" s="26">
        <v>3500000</v>
      </c>
      <c r="CM133" s="26">
        <v>3500000</v>
      </c>
      <c r="CN133" s="26">
        <v>5050000</v>
      </c>
      <c r="CO133" s="26">
        <v>23</v>
      </c>
      <c r="CP133" s="26">
        <v>5050000</v>
      </c>
      <c r="CQ133" s="26">
        <v>730000</v>
      </c>
      <c r="CR133" s="26">
        <v>500000</v>
      </c>
      <c r="CS133" s="26">
        <v>1200000</v>
      </c>
      <c r="CT133" s="26">
        <v>3500000</v>
      </c>
      <c r="CU133" s="26">
        <v>5930000</v>
      </c>
    </row>
    <row r="134" spans="1:99" x14ac:dyDescent="0.3">
      <c r="A134" s="26">
        <v>12</v>
      </c>
      <c r="B134" s="27" t="s">
        <v>49</v>
      </c>
      <c r="C134" s="27" t="s">
        <v>50</v>
      </c>
      <c r="D134" s="27" t="s">
        <v>26</v>
      </c>
      <c r="E134" s="27" t="s">
        <v>27</v>
      </c>
      <c r="H134" s="26">
        <v>5050000</v>
      </c>
      <c r="I134" s="26">
        <v>5050000</v>
      </c>
      <c r="J134" s="26">
        <v>5050000</v>
      </c>
      <c r="K134" s="26">
        <v>5050000</v>
      </c>
      <c r="L134" s="26">
        <v>5050000</v>
      </c>
      <c r="M134" s="26">
        <v>5050000</v>
      </c>
      <c r="N134" s="26">
        <v>5050000</v>
      </c>
      <c r="O134" s="26">
        <v>5050000</v>
      </c>
      <c r="P134" s="26">
        <v>5050000</v>
      </c>
      <c r="Q134" s="26">
        <v>5050000</v>
      </c>
      <c r="R134" s="26">
        <v>5050000</v>
      </c>
      <c r="S134" s="26">
        <v>5050000</v>
      </c>
      <c r="U134" s="26">
        <v>5050000</v>
      </c>
      <c r="V134" s="26">
        <v>5050000</v>
      </c>
      <c r="W134" s="26">
        <v>5050000</v>
      </c>
      <c r="X134" s="26">
        <v>5050000</v>
      </c>
      <c r="Y134" s="26">
        <v>5050000</v>
      </c>
      <c r="Z134" s="26">
        <v>5050000</v>
      </c>
      <c r="AA134" s="26">
        <v>5050000</v>
      </c>
      <c r="AB134" s="26">
        <v>5050000</v>
      </c>
      <c r="AC134" s="26">
        <v>5050000</v>
      </c>
      <c r="AD134" s="26">
        <v>5050000</v>
      </c>
      <c r="AE134" s="26">
        <v>5050000</v>
      </c>
      <c r="AF134" s="26">
        <v>730000</v>
      </c>
      <c r="AG134" s="26">
        <v>730000</v>
      </c>
      <c r="AH134" s="26">
        <v>730000</v>
      </c>
      <c r="AI134" s="26">
        <v>730000</v>
      </c>
      <c r="AJ134" s="26">
        <v>730000</v>
      </c>
      <c r="AK134" s="26">
        <v>730000</v>
      </c>
      <c r="AL134" s="26">
        <v>730000</v>
      </c>
      <c r="AM134" s="26">
        <v>730000</v>
      </c>
      <c r="AN134" s="26">
        <v>730000</v>
      </c>
      <c r="AO134" s="26">
        <v>730000</v>
      </c>
      <c r="AP134" s="26">
        <v>730000</v>
      </c>
      <c r="AQ134" s="26">
        <v>730000</v>
      </c>
      <c r="AR134" s="26">
        <v>500000</v>
      </c>
      <c r="AS134" s="26">
        <v>500000</v>
      </c>
      <c r="AT134" s="26">
        <v>500000</v>
      </c>
      <c r="AU134" s="26">
        <v>500000</v>
      </c>
      <c r="AV134" s="26">
        <v>500000</v>
      </c>
      <c r="AW134" s="26">
        <v>500000</v>
      </c>
      <c r="AX134" s="26">
        <v>500000</v>
      </c>
      <c r="AY134" s="26">
        <v>500000</v>
      </c>
      <c r="AZ134" s="26">
        <v>500000</v>
      </c>
      <c r="BA134" s="26">
        <v>500000</v>
      </c>
      <c r="BB134" s="26">
        <v>500000</v>
      </c>
      <c r="BC134" s="26">
        <v>500000</v>
      </c>
      <c r="BD134" s="26">
        <v>0</v>
      </c>
      <c r="BE134" s="26">
        <v>0</v>
      </c>
      <c r="BF134" s="26">
        <v>0</v>
      </c>
      <c r="BG134" s="26">
        <v>0</v>
      </c>
      <c r="BH134" s="26">
        <v>0</v>
      </c>
      <c r="BI134" s="26">
        <v>0</v>
      </c>
      <c r="BJ134" s="26">
        <v>0</v>
      </c>
      <c r="BK134" s="26">
        <v>0</v>
      </c>
      <c r="BL134" s="26">
        <v>0</v>
      </c>
      <c r="BM134" s="26">
        <v>0</v>
      </c>
      <c r="BN134" s="26">
        <v>0</v>
      </c>
      <c r="BO134" s="26">
        <v>0</v>
      </c>
      <c r="BP134" s="26">
        <v>1200000</v>
      </c>
      <c r="BQ134" s="26">
        <v>1200000</v>
      </c>
      <c r="BR134" s="26">
        <v>1200000</v>
      </c>
      <c r="BS134" s="26">
        <v>1200000</v>
      </c>
      <c r="BT134" s="26">
        <v>1200000</v>
      </c>
      <c r="BU134" s="26">
        <v>1200000</v>
      </c>
      <c r="BV134" s="26">
        <v>1200000</v>
      </c>
      <c r="BW134" s="26">
        <v>1200000</v>
      </c>
      <c r="BX134" s="26">
        <v>1200000</v>
      </c>
      <c r="BY134" s="26">
        <v>1200000</v>
      </c>
      <c r="BZ134" s="26">
        <v>1200000</v>
      </c>
      <c r="CA134" s="26">
        <v>1200000</v>
      </c>
      <c r="CB134" s="26">
        <v>3500000</v>
      </c>
      <c r="CC134" s="26">
        <v>3500000</v>
      </c>
      <c r="CD134" s="26">
        <v>3500000</v>
      </c>
      <c r="CE134" s="26">
        <v>3500000</v>
      </c>
      <c r="CF134" s="26">
        <v>3500000</v>
      </c>
      <c r="CG134" s="26">
        <v>3500000</v>
      </c>
      <c r="CH134" s="26">
        <v>3500000</v>
      </c>
      <c r="CI134" s="26">
        <v>3500000</v>
      </c>
      <c r="CJ134" s="26">
        <v>3500000</v>
      </c>
      <c r="CK134" s="26">
        <v>3500000</v>
      </c>
      <c r="CL134" s="26">
        <v>3500000</v>
      </c>
      <c r="CM134" s="26">
        <v>3500000</v>
      </c>
      <c r="CN134" s="26">
        <v>5050000</v>
      </c>
      <c r="CO134" s="26">
        <v>23</v>
      </c>
      <c r="CP134" s="26">
        <v>5050000</v>
      </c>
      <c r="CQ134" s="26">
        <v>730000</v>
      </c>
      <c r="CR134" s="26">
        <v>500000</v>
      </c>
      <c r="CS134" s="26">
        <v>1200000</v>
      </c>
      <c r="CT134" s="26">
        <v>3500000</v>
      </c>
      <c r="CU134" s="26">
        <v>5930000</v>
      </c>
    </row>
    <row r="135" spans="1:99" x14ac:dyDescent="0.3">
      <c r="A135" s="26">
        <v>12</v>
      </c>
      <c r="B135" s="27" t="s">
        <v>49</v>
      </c>
      <c r="C135" s="27" t="s">
        <v>50</v>
      </c>
      <c r="D135" s="27" t="s">
        <v>26</v>
      </c>
      <c r="E135" s="27" t="s">
        <v>27</v>
      </c>
      <c r="H135" s="26">
        <v>5050000</v>
      </c>
      <c r="I135" s="26">
        <v>5050000</v>
      </c>
      <c r="J135" s="26">
        <v>5050000</v>
      </c>
      <c r="K135" s="26">
        <v>5050000</v>
      </c>
      <c r="L135" s="26">
        <v>5050000</v>
      </c>
      <c r="M135" s="26">
        <v>5050000</v>
      </c>
      <c r="N135" s="26">
        <v>5050000</v>
      </c>
      <c r="O135" s="26">
        <v>5050000</v>
      </c>
      <c r="P135" s="26">
        <v>5050000</v>
      </c>
      <c r="Q135" s="26">
        <v>5050000</v>
      </c>
      <c r="R135" s="26">
        <v>5050000</v>
      </c>
      <c r="S135" s="26">
        <v>5050000</v>
      </c>
      <c r="U135" s="26">
        <v>5050000</v>
      </c>
      <c r="V135" s="26">
        <v>5050000</v>
      </c>
      <c r="W135" s="26">
        <v>5050000</v>
      </c>
      <c r="X135" s="26">
        <v>5050000</v>
      </c>
      <c r="Y135" s="26">
        <v>5050000</v>
      </c>
      <c r="Z135" s="26">
        <v>5050000</v>
      </c>
      <c r="AA135" s="26">
        <v>5050000</v>
      </c>
      <c r="AB135" s="26">
        <v>5050000</v>
      </c>
      <c r="AC135" s="26">
        <v>5050000</v>
      </c>
      <c r="AD135" s="26">
        <v>5050000</v>
      </c>
      <c r="AE135" s="26">
        <v>5050000</v>
      </c>
      <c r="AF135" s="26">
        <v>730000</v>
      </c>
      <c r="AG135" s="26">
        <v>730000</v>
      </c>
      <c r="AH135" s="26">
        <v>730000</v>
      </c>
      <c r="AI135" s="26">
        <v>730000</v>
      </c>
      <c r="AJ135" s="26">
        <v>730000</v>
      </c>
      <c r="AK135" s="26">
        <v>730000</v>
      </c>
      <c r="AL135" s="26">
        <v>730000</v>
      </c>
      <c r="AM135" s="26">
        <v>730000</v>
      </c>
      <c r="AN135" s="26">
        <v>730000</v>
      </c>
      <c r="AO135" s="26">
        <v>730000</v>
      </c>
      <c r="AP135" s="26">
        <v>730000</v>
      </c>
      <c r="AQ135" s="26">
        <v>730000</v>
      </c>
      <c r="AR135" s="26">
        <v>500000</v>
      </c>
      <c r="AS135" s="26">
        <v>500000</v>
      </c>
      <c r="AT135" s="26">
        <v>500000</v>
      </c>
      <c r="AU135" s="26">
        <v>500000</v>
      </c>
      <c r="AV135" s="26">
        <v>500000</v>
      </c>
      <c r="AW135" s="26">
        <v>500000</v>
      </c>
      <c r="AX135" s="26">
        <v>500000</v>
      </c>
      <c r="AY135" s="26">
        <v>500000</v>
      </c>
      <c r="AZ135" s="26">
        <v>500000</v>
      </c>
      <c r="BA135" s="26">
        <v>500000</v>
      </c>
      <c r="BB135" s="26">
        <v>500000</v>
      </c>
      <c r="BC135" s="26">
        <v>500000</v>
      </c>
      <c r="BD135" s="26">
        <v>0</v>
      </c>
      <c r="BE135" s="26">
        <v>0</v>
      </c>
      <c r="BF135" s="26">
        <v>0</v>
      </c>
      <c r="BG135" s="26">
        <v>0</v>
      </c>
      <c r="BH135" s="26">
        <v>0</v>
      </c>
      <c r="BI135" s="26">
        <v>0</v>
      </c>
      <c r="BJ135" s="26">
        <v>0</v>
      </c>
      <c r="BK135" s="26">
        <v>0</v>
      </c>
      <c r="BL135" s="26">
        <v>0</v>
      </c>
      <c r="BM135" s="26">
        <v>0</v>
      </c>
      <c r="BN135" s="26">
        <v>0</v>
      </c>
      <c r="BO135" s="26">
        <v>0</v>
      </c>
      <c r="BP135" s="26">
        <v>1200000</v>
      </c>
      <c r="BQ135" s="26">
        <v>1200000</v>
      </c>
      <c r="BR135" s="26">
        <v>1200000</v>
      </c>
      <c r="BS135" s="26">
        <v>1200000</v>
      </c>
      <c r="BT135" s="26">
        <v>1200000</v>
      </c>
      <c r="BU135" s="26">
        <v>1200000</v>
      </c>
      <c r="BV135" s="26">
        <v>1200000</v>
      </c>
      <c r="BW135" s="26">
        <v>1200000</v>
      </c>
      <c r="BX135" s="26">
        <v>1200000</v>
      </c>
      <c r="BY135" s="26">
        <v>1200000</v>
      </c>
      <c r="BZ135" s="26">
        <v>1200000</v>
      </c>
      <c r="CA135" s="26">
        <v>1200000</v>
      </c>
      <c r="CB135" s="26">
        <v>3500000</v>
      </c>
      <c r="CC135" s="26">
        <v>3500000</v>
      </c>
      <c r="CD135" s="26">
        <v>3500000</v>
      </c>
      <c r="CE135" s="26">
        <v>3500000</v>
      </c>
      <c r="CF135" s="26">
        <v>3500000</v>
      </c>
      <c r="CG135" s="26">
        <v>3500000</v>
      </c>
      <c r="CH135" s="26">
        <v>3500000</v>
      </c>
      <c r="CI135" s="26">
        <v>3500000</v>
      </c>
      <c r="CJ135" s="26">
        <v>3500000</v>
      </c>
      <c r="CK135" s="26">
        <v>3500000</v>
      </c>
      <c r="CL135" s="26">
        <v>3500000</v>
      </c>
      <c r="CM135" s="26">
        <v>3500000</v>
      </c>
      <c r="CN135" s="26">
        <v>5050000</v>
      </c>
      <c r="CO135" s="26">
        <v>20</v>
      </c>
      <c r="CP135" s="26">
        <v>5050000</v>
      </c>
      <c r="CQ135" s="26">
        <v>730000</v>
      </c>
      <c r="CR135" s="26">
        <v>500000</v>
      </c>
      <c r="CS135" s="26">
        <v>1200000</v>
      </c>
      <c r="CT135" s="26">
        <v>3500000</v>
      </c>
      <c r="CU135" s="26">
        <v>5930000</v>
      </c>
    </row>
    <row r="136" spans="1:99" x14ac:dyDescent="0.3">
      <c r="A136" s="26">
        <v>12</v>
      </c>
      <c r="B136" s="27" t="s">
        <v>49</v>
      </c>
      <c r="C136" s="27" t="s">
        <v>50</v>
      </c>
      <c r="D136" s="27" t="s">
        <v>26</v>
      </c>
      <c r="E136" s="27" t="s">
        <v>27</v>
      </c>
      <c r="H136" s="26">
        <v>5050000</v>
      </c>
      <c r="I136" s="26">
        <v>5050000</v>
      </c>
      <c r="J136" s="26">
        <v>5050000</v>
      </c>
      <c r="K136" s="26">
        <v>5050000</v>
      </c>
      <c r="L136" s="26">
        <v>5050000</v>
      </c>
      <c r="M136" s="26">
        <v>5050000</v>
      </c>
      <c r="N136" s="26">
        <v>5050000</v>
      </c>
      <c r="O136" s="26">
        <v>5050000</v>
      </c>
      <c r="P136" s="26">
        <v>5050000</v>
      </c>
      <c r="Q136" s="26">
        <v>5050000</v>
      </c>
      <c r="R136" s="26">
        <v>5050000</v>
      </c>
      <c r="S136" s="26">
        <v>5050000</v>
      </c>
      <c r="U136" s="26">
        <v>5050000</v>
      </c>
      <c r="V136" s="26">
        <v>5050000</v>
      </c>
      <c r="W136" s="26">
        <v>5050000</v>
      </c>
      <c r="X136" s="26">
        <v>5050000</v>
      </c>
      <c r="Y136" s="26">
        <v>5050000</v>
      </c>
      <c r="Z136" s="26">
        <v>5050000</v>
      </c>
      <c r="AA136" s="26">
        <v>5050000</v>
      </c>
      <c r="AB136" s="26">
        <v>5050000</v>
      </c>
      <c r="AC136" s="26">
        <v>5050000</v>
      </c>
      <c r="AD136" s="26">
        <v>5050000</v>
      </c>
      <c r="AE136" s="26">
        <v>5050000</v>
      </c>
      <c r="AF136" s="26">
        <v>730000</v>
      </c>
      <c r="AG136" s="26">
        <v>730000</v>
      </c>
      <c r="AH136" s="26">
        <v>730000</v>
      </c>
      <c r="AI136" s="26">
        <v>730000</v>
      </c>
      <c r="AJ136" s="26">
        <v>730000</v>
      </c>
      <c r="AK136" s="26">
        <v>730000</v>
      </c>
      <c r="AL136" s="26">
        <v>730000</v>
      </c>
      <c r="AM136" s="26">
        <v>730000</v>
      </c>
      <c r="AN136" s="26">
        <v>730000</v>
      </c>
      <c r="AO136" s="26">
        <v>730000</v>
      </c>
      <c r="AP136" s="26">
        <v>730000</v>
      </c>
      <c r="AQ136" s="26">
        <v>730000</v>
      </c>
      <c r="AR136" s="26">
        <v>500000</v>
      </c>
      <c r="AS136" s="26">
        <v>500000</v>
      </c>
      <c r="AT136" s="26">
        <v>500000</v>
      </c>
      <c r="AU136" s="26">
        <v>500000</v>
      </c>
      <c r="AV136" s="26">
        <v>500000</v>
      </c>
      <c r="AW136" s="26">
        <v>500000</v>
      </c>
      <c r="AX136" s="26">
        <v>500000</v>
      </c>
      <c r="AY136" s="26">
        <v>500000</v>
      </c>
      <c r="AZ136" s="26">
        <v>500000</v>
      </c>
      <c r="BA136" s="26">
        <v>500000</v>
      </c>
      <c r="BB136" s="26">
        <v>500000</v>
      </c>
      <c r="BC136" s="26">
        <v>500000</v>
      </c>
      <c r="BD136" s="26">
        <v>0</v>
      </c>
      <c r="BE136" s="26">
        <v>0</v>
      </c>
      <c r="BF136" s="26">
        <v>0</v>
      </c>
      <c r="BG136" s="26">
        <v>0</v>
      </c>
      <c r="BH136" s="26">
        <v>0</v>
      </c>
      <c r="BI136" s="26">
        <v>0</v>
      </c>
      <c r="BJ136" s="26">
        <v>0</v>
      </c>
      <c r="BK136" s="26">
        <v>0</v>
      </c>
      <c r="BL136" s="26">
        <v>0</v>
      </c>
      <c r="BM136" s="26">
        <v>0</v>
      </c>
      <c r="BN136" s="26">
        <v>0</v>
      </c>
      <c r="BO136" s="26">
        <v>0</v>
      </c>
      <c r="BP136" s="26">
        <v>1200000</v>
      </c>
      <c r="BQ136" s="26">
        <v>1200000</v>
      </c>
      <c r="BR136" s="26">
        <v>1200000</v>
      </c>
      <c r="BS136" s="26">
        <v>1200000</v>
      </c>
      <c r="BT136" s="26">
        <v>1200000</v>
      </c>
      <c r="BU136" s="26">
        <v>1200000</v>
      </c>
      <c r="BV136" s="26">
        <v>1200000</v>
      </c>
      <c r="BW136" s="26">
        <v>1200000</v>
      </c>
      <c r="BX136" s="26">
        <v>1200000</v>
      </c>
      <c r="BY136" s="26">
        <v>1200000</v>
      </c>
      <c r="BZ136" s="26">
        <v>1200000</v>
      </c>
      <c r="CA136" s="26">
        <v>1200000</v>
      </c>
      <c r="CB136" s="26">
        <v>3500000</v>
      </c>
      <c r="CC136" s="26">
        <v>3500000</v>
      </c>
      <c r="CD136" s="26">
        <v>3500000</v>
      </c>
      <c r="CE136" s="26">
        <v>3500000</v>
      </c>
      <c r="CF136" s="26">
        <v>3500000</v>
      </c>
      <c r="CG136" s="26">
        <v>3500000</v>
      </c>
      <c r="CH136" s="26">
        <v>3500000</v>
      </c>
      <c r="CI136" s="26">
        <v>3500000</v>
      </c>
      <c r="CJ136" s="26">
        <v>3500000</v>
      </c>
      <c r="CK136" s="26">
        <v>3500000</v>
      </c>
      <c r="CL136" s="26">
        <v>3500000</v>
      </c>
      <c r="CM136" s="26">
        <v>3500000</v>
      </c>
      <c r="CN136" s="26">
        <v>5050000</v>
      </c>
      <c r="CO136" s="26">
        <v>20</v>
      </c>
      <c r="CP136" s="26">
        <v>5050000</v>
      </c>
      <c r="CQ136" s="26">
        <v>730000</v>
      </c>
      <c r="CR136" s="26">
        <v>500000</v>
      </c>
      <c r="CS136" s="26">
        <v>1200000</v>
      </c>
      <c r="CT136" s="26">
        <v>3500000</v>
      </c>
      <c r="CU136" s="26">
        <v>5930000</v>
      </c>
    </row>
    <row r="137" spans="1:99" x14ac:dyDescent="0.3">
      <c r="A137" s="26">
        <v>12</v>
      </c>
      <c r="B137" s="27" t="s">
        <v>49</v>
      </c>
      <c r="C137" s="27" t="s">
        <v>50</v>
      </c>
      <c r="D137" s="27" t="s">
        <v>26</v>
      </c>
      <c r="E137" s="27" t="s">
        <v>27</v>
      </c>
      <c r="H137" s="26">
        <v>5050000</v>
      </c>
      <c r="I137" s="26">
        <v>5050000</v>
      </c>
      <c r="J137" s="26">
        <v>5050000</v>
      </c>
      <c r="K137" s="26">
        <v>5050000</v>
      </c>
      <c r="L137" s="26">
        <v>5050000</v>
      </c>
      <c r="M137" s="26">
        <v>5050000</v>
      </c>
      <c r="N137" s="26">
        <v>5050000</v>
      </c>
      <c r="O137" s="26">
        <v>5050000</v>
      </c>
      <c r="P137" s="26">
        <v>5050000</v>
      </c>
      <c r="Q137" s="26">
        <v>5050000</v>
      </c>
      <c r="R137" s="26">
        <v>5050000</v>
      </c>
      <c r="S137" s="26">
        <v>5050000</v>
      </c>
      <c r="U137" s="26">
        <v>5050000</v>
      </c>
      <c r="V137" s="26">
        <v>5050000</v>
      </c>
      <c r="W137" s="26">
        <v>5050000</v>
      </c>
      <c r="X137" s="26">
        <v>5050000</v>
      </c>
      <c r="Y137" s="26">
        <v>5050000</v>
      </c>
      <c r="Z137" s="26">
        <v>5050000</v>
      </c>
      <c r="AA137" s="26">
        <v>5050000</v>
      </c>
      <c r="AB137" s="26">
        <v>5050000</v>
      </c>
      <c r="AC137" s="26">
        <v>5050000</v>
      </c>
      <c r="AD137" s="26">
        <v>5050000</v>
      </c>
      <c r="AE137" s="26">
        <v>5050000</v>
      </c>
      <c r="AF137" s="26">
        <v>730000</v>
      </c>
      <c r="AG137" s="26">
        <v>730000</v>
      </c>
      <c r="AH137" s="26">
        <v>730000</v>
      </c>
      <c r="AI137" s="26">
        <v>730000</v>
      </c>
      <c r="AJ137" s="26">
        <v>730000</v>
      </c>
      <c r="AK137" s="26">
        <v>730000</v>
      </c>
      <c r="AL137" s="26">
        <v>730000</v>
      </c>
      <c r="AM137" s="26">
        <v>730000</v>
      </c>
      <c r="AN137" s="26">
        <v>730000</v>
      </c>
      <c r="AO137" s="26">
        <v>730000</v>
      </c>
      <c r="AP137" s="26">
        <v>730000</v>
      </c>
      <c r="AQ137" s="26">
        <v>730000</v>
      </c>
      <c r="AR137" s="26">
        <v>500000</v>
      </c>
      <c r="AS137" s="26">
        <v>500000</v>
      </c>
      <c r="AT137" s="26">
        <v>500000</v>
      </c>
      <c r="AU137" s="26">
        <v>500000</v>
      </c>
      <c r="AV137" s="26">
        <v>500000</v>
      </c>
      <c r="AW137" s="26">
        <v>500000</v>
      </c>
      <c r="AX137" s="26">
        <v>500000</v>
      </c>
      <c r="AY137" s="26">
        <v>500000</v>
      </c>
      <c r="AZ137" s="26">
        <v>500000</v>
      </c>
      <c r="BA137" s="26">
        <v>500000</v>
      </c>
      <c r="BB137" s="26">
        <v>500000</v>
      </c>
      <c r="BC137" s="26">
        <v>500000</v>
      </c>
      <c r="BD137" s="26">
        <v>0</v>
      </c>
      <c r="BE137" s="26">
        <v>0</v>
      </c>
      <c r="BF137" s="26">
        <v>0</v>
      </c>
      <c r="BG137" s="26">
        <v>0</v>
      </c>
      <c r="BH137" s="26">
        <v>0</v>
      </c>
      <c r="BI137" s="26">
        <v>0</v>
      </c>
      <c r="BJ137" s="26">
        <v>0</v>
      </c>
      <c r="BK137" s="26">
        <v>0</v>
      </c>
      <c r="BL137" s="26">
        <v>0</v>
      </c>
      <c r="BM137" s="26">
        <v>0</v>
      </c>
      <c r="BN137" s="26">
        <v>0</v>
      </c>
      <c r="BO137" s="26">
        <v>0</v>
      </c>
      <c r="BP137" s="26">
        <v>1200000</v>
      </c>
      <c r="BQ137" s="26">
        <v>1200000</v>
      </c>
      <c r="BR137" s="26">
        <v>1200000</v>
      </c>
      <c r="BS137" s="26">
        <v>1200000</v>
      </c>
      <c r="BT137" s="26">
        <v>1200000</v>
      </c>
      <c r="BU137" s="26">
        <v>1200000</v>
      </c>
      <c r="BV137" s="26">
        <v>1200000</v>
      </c>
      <c r="BW137" s="26">
        <v>1200000</v>
      </c>
      <c r="BX137" s="26">
        <v>1200000</v>
      </c>
      <c r="BY137" s="26">
        <v>1200000</v>
      </c>
      <c r="BZ137" s="26">
        <v>1200000</v>
      </c>
      <c r="CA137" s="26">
        <v>1200000</v>
      </c>
      <c r="CB137" s="26">
        <v>3500000</v>
      </c>
      <c r="CC137" s="26">
        <v>3500000</v>
      </c>
      <c r="CD137" s="26">
        <v>3500000</v>
      </c>
      <c r="CE137" s="26">
        <v>3500000</v>
      </c>
      <c r="CF137" s="26">
        <v>3500000</v>
      </c>
      <c r="CG137" s="26">
        <v>3500000</v>
      </c>
      <c r="CH137" s="26">
        <v>3500000</v>
      </c>
      <c r="CI137" s="26">
        <v>3500000</v>
      </c>
      <c r="CJ137" s="26">
        <v>3500000</v>
      </c>
      <c r="CK137" s="26">
        <v>3500000</v>
      </c>
      <c r="CL137" s="26">
        <v>3500000</v>
      </c>
      <c r="CM137" s="26">
        <v>3500000</v>
      </c>
      <c r="CN137" s="26">
        <v>5050000</v>
      </c>
      <c r="CO137" s="26">
        <v>23</v>
      </c>
      <c r="CP137" s="26">
        <v>5050000</v>
      </c>
      <c r="CQ137" s="26">
        <v>730000</v>
      </c>
      <c r="CR137" s="26">
        <v>500000</v>
      </c>
      <c r="CS137" s="26">
        <v>1200000</v>
      </c>
      <c r="CT137" s="26">
        <v>3500000</v>
      </c>
      <c r="CU137" s="26">
        <v>5930000</v>
      </c>
    </row>
    <row r="138" spans="1:99" x14ac:dyDescent="0.3">
      <c r="A138" s="26">
        <v>12</v>
      </c>
      <c r="B138" s="27" t="s">
        <v>49</v>
      </c>
      <c r="C138" s="27" t="s">
        <v>50</v>
      </c>
      <c r="D138" s="27" t="s">
        <v>26</v>
      </c>
      <c r="E138" s="27" t="s">
        <v>27</v>
      </c>
      <c r="H138" s="26">
        <v>5050000</v>
      </c>
      <c r="I138" s="26">
        <v>5050000</v>
      </c>
      <c r="J138" s="26">
        <v>5050000</v>
      </c>
      <c r="K138" s="26">
        <v>5050000</v>
      </c>
      <c r="L138" s="26">
        <v>5050000</v>
      </c>
      <c r="M138" s="26">
        <v>5050000</v>
      </c>
      <c r="N138" s="26">
        <v>5050000</v>
      </c>
      <c r="O138" s="26">
        <v>5050000</v>
      </c>
      <c r="P138" s="26">
        <v>5050000</v>
      </c>
      <c r="Q138" s="26">
        <v>5050000</v>
      </c>
      <c r="R138" s="26">
        <v>5050000</v>
      </c>
      <c r="S138" s="26">
        <v>5050000</v>
      </c>
      <c r="U138" s="26">
        <v>5050000</v>
      </c>
      <c r="V138" s="26">
        <v>5050000</v>
      </c>
      <c r="W138" s="26">
        <v>5050000</v>
      </c>
      <c r="X138" s="26">
        <v>5050000</v>
      </c>
      <c r="Y138" s="26">
        <v>5050000</v>
      </c>
      <c r="Z138" s="26">
        <v>5050000</v>
      </c>
      <c r="AA138" s="26">
        <v>5050000</v>
      </c>
      <c r="AB138" s="26">
        <v>5050000</v>
      </c>
      <c r="AC138" s="26">
        <v>5050000</v>
      </c>
      <c r="AD138" s="26">
        <v>5050000</v>
      </c>
      <c r="AE138" s="26">
        <v>5050000</v>
      </c>
      <c r="AF138" s="26">
        <v>730000</v>
      </c>
      <c r="AG138" s="26">
        <v>730000</v>
      </c>
      <c r="AH138" s="26">
        <v>730000</v>
      </c>
      <c r="AI138" s="26">
        <v>730000</v>
      </c>
      <c r="AJ138" s="26">
        <v>730000</v>
      </c>
      <c r="AK138" s="26">
        <v>730000</v>
      </c>
      <c r="AL138" s="26">
        <v>730000</v>
      </c>
      <c r="AM138" s="26">
        <v>730000</v>
      </c>
      <c r="AN138" s="26">
        <v>730000</v>
      </c>
      <c r="AO138" s="26">
        <v>730000</v>
      </c>
      <c r="AP138" s="26">
        <v>730000</v>
      </c>
      <c r="AQ138" s="26">
        <v>730000</v>
      </c>
      <c r="AR138" s="26">
        <v>500000</v>
      </c>
      <c r="AS138" s="26">
        <v>500000</v>
      </c>
      <c r="AT138" s="26">
        <v>500000</v>
      </c>
      <c r="AU138" s="26">
        <v>500000</v>
      </c>
      <c r="AV138" s="26">
        <v>500000</v>
      </c>
      <c r="AW138" s="26">
        <v>500000</v>
      </c>
      <c r="AX138" s="26">
        <v>500000</v>
      </c>
      <c r="AY138" s="26">
        <v>500000</v>
      </c>
      <c r="AZ138" s="26">
        <v>500000</v>
      </c>
      <c r="BA138" s="26">
        <v>500000</v>
      </c>
      <c r="BB138" s="26">
        <v>500000</v>
      </c>
      <c r="BC138" s="26">
        <v>500000</v>
      </c>
      <c r="BD138" s="26">
        <v>0</v>
      </c>
      <c r="BE138" s="26">
        <v>0</v>
      </c>
      <c r="BF138" s="26">
        <v>0</v>
      </c>
      <c r="BG138" s="26">
        <v>0</v>
      </c>
      <c r="BH138" s="26">
        <v>0</v>
      </c>
      <c r="BI138" s="26">
        <v>0</v>
      </c>
      <c r="BJ138" s="26">
        <v>0</v>
      </c>
      <c r="BK138" s="26">
        <v>0</v>
      </c>
      <c r="BL138" s="26">
        <v>0</v>
      </c>
      <c r="BM138" s="26">
        <v>0</v>
      </c>
      <c r="BN138" s="26">
        <v>0</v>
      </c>
      <c r="BO138" s="26">
        <v>0</v>
      </c>
      <c r="BP138" s="26">
        <v>1200000</v>
      </c>
      <c r="BQ138" s="26">
        <v>1200000</v>
      </c>
      <c r="BR138" s="26">
        <v>1200000</v>
      </c>
      <c r="BS138" s="26">
        <v>1200000</v>
      </c>
      <c r="BT138" s="26">
        <v>1200000</v>
      </c>
      <c r="BU138" s="26">
        <v>1200000</v>
      </c>
      <c r="BV138" s="26">
        <v>1200000</v>
      </c>
      <c r="BW138" s="26">
        <v>1200000</v>
      </c>
      <c r="BX138" s="26">
        <v>1200000</v>
      </c>
      <c r="BY138" s="26">
        <v>1200000</v>
      </c>
      <c r="BZ138" s="26">
        <v>1200000</v>
      </c>
      <c r="CA138" s="26">
        <v>1200000</v>
      </c>
      <c r="CB138" s="26">
        <v>3500000</v>
      </c>
      <c r="CC138" s="26">
        <v>3500000</v>
      </c>
      <c r="CD138" s="26">
        <v>3500000</v>
      </c>
      <c r="CE138" s="26">
        <v>3500000</v>
      </c>
      <c r="CF138" s="26">
        <v>3500000</v>
      </c>
      <c r="CG138" s="26">
        <v>3500000</v>
      </c>
      <c r="CH138" s="26">
        <v>3500000</v>
      </c>
      <c r="CI138" s="26">
        <v>3500000</v>
      </c>
      <c r="CJ138" s="26">
        <v>3500000</v>
      </c>
      <c r="CK138" s="26">
        <v>3500000</v>
      </c>
      <c r="CL138" s="26">
        <v>3500000</v>
      </c>
      <c r="CM138" s="26">
        <v>3500000</v>
      </c>
      <c r="CN138" s="26">
        <v>5050000</v>
      </c>
      <c r="CO138" s="26">
        <v>21</v>
      </c>
      <c r="CP138" s="26">
        <v>5050000</v>
      </c>
      <c r="CQ138" s="26">
        <v>730000</v>
      </c>
      <c r="CR138" s="26">
        <v>500000</v>
      </c>
      <c r="CS138" s="26">
        <v>1200000</v>
      </c>
      <c r="CT138" s="26">
        <v>3500000</v>
      </c>
      <c r="CU138" s="26">
        <v>5930000</v>
      </c>
    </row>
    <row r="139" spans="1:99" x14ac:dyDescent="0.3">
      <c r="A139" s="26">
        <v>12</v>
      </c>
      <c r="B139" s="27" t="s">
        <v>49</v>
      </c>
      <c r="C139" s="27" t="s">
        <v>50</v>
      </c>
      <c r="D139" s="27" t="s">
        <v>26</v>
      </c>
      <c r="E139" s="27" t="s">
        <v>27</v>
      </c>
      <c r="H139" s="26">
        <v>5050000</v>
      </c>
      <c r="I139" s="26">
        <v>5050000</v>
      </c>
      <c r="J139" s="26">
        <v>5050000</v>
      </c>
      <c r="K139" s="26">
        <v>5050000</v>
      </c>
      <c r="L139" s="26">
        <v>5050000</v>
      </c>
      <c r="M139" s="26">
        <v>5050000</v>
      </c>
      <c r="N139" s="26">
        <v>5050000</v>
      </c>
      <c r="O139" s="26">
        <v>5050000</v>
      </c>
      <c r="P139" s="26">
        <v>5050000</v>
      </c>
      <c r="Q139" s="26">
        <v>5050000</v>
      </c>
      <c r="R139" s="26">
        <v>5050000</v>
      </c>
      <c r="S139" s="26">
        <v>5050000</v>
      </c>
      <c r="U139" s="26">
        <v>5050000</v>
      </c>
      <c r="V139" s="26">
        <v>5050000</v>
      </c>
      <c r="W139" s="26">
        <v>5050000</v>
      </c>
      <c r="X139" s="26">
        <v>5050000</v>
      </c>
      <c r="Y139" s="26">
        <v>5050000</v>
      </c>
      <c r="Z139" s="26">
        <v>5050000</v>
      </c>
      <c r="AA139" s="26">
        <v>5050000</v>
      </c>
      <c r="AB139" s="26">
        <v>5050000</v>
      </c>
      <c r="AC139" s="26">
        <v>5050000</v>
      </c>
      <c r="AD139" s="26">
        <v>5050000</v>
      </c>
      <c r="AE139" s="26">
        <v>5050000</v>
      </c>
      <c r="AF139" s="26">
        <v>730000</v>
      </c>
      <c r="AG139" s="26">
        <v>730000</v>
      </c>
      <c r="AH139" s="26">
        <v>730000</v>
      </c>
      <c r="AI139" s="26">
        <v>730000</v>
      </c>
      <c r="AJ139" s="26">
        <v>730000</v>
      </c>
      <c r="AK139" s="26">
        <v>730000</v>
      </c>
      <c r="AL139" s="26">
        <v>730000</v>
      </c>
      <c r="AM139" s="26">
        <v>730000</v>
      </c>
      <c r="AN139" s="26">
        <v>730000</v>
      </c>
      <c r="AO139" s="26">
        <v>730000</v>
      </c>
      <c r="AP139" s="26">
        <v>730000</v>
      </c>
      <c r="AQ139" s="26">
        <v>730000</v>
      </c>
      <c r="AR139" s="26">
        <v>500000</v>
      </c>
      <c r="AS139" s="26">
        <v>500000</v>
      </c>
      <c r="AT139" s="26">
        <v>500000</v>
      </c>
      <c r="AU139" s="26">
        <v>500000</v>
      </c>
      <c r="AV139" s="26">
        <v>500000</v>
      </c>
      <c r="AW139" s="26">
        <v>500000</v>
      </c>
      <c r="AX139" s="26">
        <v>500000</v>
      </c>
      <c r="AY139" s="26">
        <v>500000</v>
      </c>
      <c r="AZ139" s="26">
        <v>500000</v>
      </c>
      <c r="BA139" s="26">
        <v>500000</v>
      </c>
      <c r="BB139" s="26">
        <v>500000</v>
      </c>
      <c r="BC139" s="26">
        <v>500000</v>
      </c>
      <c r="BD139" s="26">
        <v>0</v>
      </c>
      <c r="BE139" s="26">
        <v>0</v>
      </c>
      <c r="BF139" s="26">
        <v>0</v>
      </c>
      <c r="BG139" s="26">
        <v>0</v>
      </c>
      <c r="BH139" s="26">
        <v>0</v>
      </c>
      <c r="BI139" s="26">
        <v>0</v>
      </c>
      <c r="BJ139" s="26">
        <v>0</v>
      </c>
      <c r="BK139" s="26">
        <v>0</v>
      </c>
      <c r="BL139" s="26">
        <v>0</v>
      </c>
      <c r="BM139" s="26">
        <v>0</v>
      </c>
      <c r="BN139" s="26">
        <v>0</v>
      </c>
      <c r="BO139" s="26">
        <v>0</v>
      </c>
      <c r="BP139" s="26">
        <v>1200000</v>
      </c>
      <c r="BQ139" s="26">
        <v>1200000</v>
      </c>
      <c r="BR139" s="26">
        <v>1200000</v>
      </c>
      <c r="BS139" s="26">
        <v>1200000</v>
      </c>
      <c r="BT139" s="26">
        <v>1200000</v>
      </c>
      <c r="BU139" s="26">
        <v>1200000</v>
      </c>
      <c r="BV139" s="26">
        <v>1200000</v>
      </c>
      <c r="BW139" s="26">
        <v>1200000</v>
      </c>
      <c r="BX139" s="26">
        <v>1200000</v>
      </c>
      <c r="BY139" s="26">
        <v>1200000</v>
      </c>
      <c r="BZ139" s="26">
        <v>1200000</v>
      </c>
      <c r="CA139" s="26">
        <v>1200000</v>
      </c>
      <c r="CB139" s="26">
        <v>3500000</v>
      </c>
      <c r="CC139" s="26">
        <v>3500000</v>
      </c>
      <c r="CD139" s="26">
        <v>3500000</v>
      </c>
      <c r="CE139" s="26">
        <v>3500000</v>
      </c>
      <c r="CF139" s="26">
        <v>3500000</v>
      </c>
      <c r="CG139" s="26">
        <v>3500000</v>
      </c>
      <c r="CH139" s="26">
        <v>3500000</v>
      </c>
      <c r="CI139" s="26">
        <v>3500000</v>
      </c>
      <c r="CJ139" s="26">
        <v>3500000</v>
      </c>
      <c r="CK139" s="26">
        <v>3500000</v>
      </c>
      <c r="CL139" s="26">
        <v>3500000</v>
      </c>
      <c r="CM139" s="26">
        <v>3500000</v>
      </c>
      <c r="CN139" s="26">
        <v>5050000</v>
      </c>
      <c r="CO139" s="26">
        <v>22</v>
      </c>
      <c r="CP139" s="26">
        <v>5050000</v>
      </c>
      <c r="CQ139" s="26">
        <v>730000</v>
      </c>
      <c r="CR139" s="26">
        <v>500000</v>
      </c>
      <c r="CS139" s="26">
        <v>1200000</v>
      </c>
      <c r="CT139" s="26">
        <v>3500000</v>
      </c>
      <c r="CU139" s="26">
        <v>5930000</v>
      </c>
    </row>
    <row r="140" spans="1:99" x14ac:dyDescent="0.3">
      <c r="A140" s="26">
        <v>12</v>
      </c>
      <c r="B140" s="27" t="s">
        <v>49</v>
      </c>
      <c r="C140" s="27" t="s">
        <v>50</v>
      </c>
      <c r="D140" s="27" t="s">
        <v>26</v>
      </c>
      <c r="E140" s="27" t="s">
        <v>27</v>
      </c>
      <c r="H140" s="26">
        <v>5050000</v>
      </c>
      <c r="I140" s="26">
        <v>5050000</v>
      </c>
      <c r="J140" s="26">
        <v>5050000</v>
      </c>
      <c r="K140" s="26">
        <v>5050000</v>
      </c>
      <c r="L140" s="26">
        <v>5050000</v>
      </c>
      <c r="M140" s="26">
        <v>5050000</v>
      </c>
      <c r="N140" s="26">
        <v>5050000</v>
      </c>
      <c r="O140" s="26">
        <v>5050000</v>
      </c>
      <c r="P140" s="26">
        <v>5050000</v>
      </c>
      <c r="Q140" s="26">
        <v>5050000</v>
      </c>
      <c r="R140" s="26">
        <v>5050000</v>
      </c>
      <c r="S140" s="26">
        <v>5050000</v>
      </c>
      <c r="U140" s="26">
        <v>5050000</v>
      </c>
      <c r="V140" s="26">
        <v>5050000</v>
      </c>
      <c r="W140" s="26">
        <v>5050000</v>
      </c>
      <c r="X140" s="26">
        <v>5050000</v>
      </c>
      <c r="Y140" s="26">
        <v>5050000</v>
      </c>
      <c r="Z140" s="26">
        <v>5050000</v>
      </c>
      <c r="AA140" s="26">
        <v>5050000</v>
      </c>
      <c r="AB140" s="26">
        <v>5050000</v>
      </c>
      <c r="AC140" s="26">
        <v>5050000</v>
      </c>
      <c r="AD140" s="26">
        <v>5050000</v>
      </c>
      <c r="AE140" s="26">
        <v>5050000</v>
      </c>
      <c r="AF140" s="26">
        <v>730000</v>
      </c>
      <c r="AG140" s="26">
        <v>730000</v>
      </c>
      <c r="AH140" s="26">
        <v>730000</v>
      </c>
      <c r="AI140" s="26">
        <v>730000</v>
      </c>
      <c r="AJ140" s="26">
        <v>730000</v>
      </c>
      <c r="AK140" s="26">
        <v>730000</v>
      </c>
      <c r="AL140" s="26">
        <v>730000</v>
      </c>
      <c r="AM140" s="26">
        <v>730000</v>
      </c>
      <c r="AN140" s="26">
        <v>730000</v>
      </c>
      <c r="AO140" s="26">
        <v>730000</v>
      </c>
      <c r="AP140" s="26">
        <v>730000</v>
      </c>
      <c r="AQ140" s="26">
        <v>730000</v>
      </c>
      <c r="AR140" s="26">
        <v>500000</v>
      </c>
      <c r="AS140" s="26">
        <v>500000</v>
      </c>
      <c r="AT140" s="26">
        <v>500000</v>
      </c>
      <c r="AU140" s="26">
        <v>500000</v>
      </c>
      <c r="AV140" s="26">
        <v>500000</v>
      </c>
      <c r="AW140" s="26">
        <v>500000</v>
      </c>
      <c r="AX140" s="26">
        <v>500000</v>
      </c>
      <c r="AY140" s="26">
        <v>500000</v>
      </c>
      <c r="AZ140" s="26">
        <v>500000</v>
      </c>
      <c r="BA140" s="26">
        <v>500000</v>
      </c>
      <c r="BB140" s="26">
        <v>500000</v>
      </c>
      <c r="BC140" s="26">
        <v>500000</v>
      </c>
      <c r="BD140" s="26">
        <v>0</v>
      </c>
      <c r="BE140" s="26">
        <v>0</v>
      </c>
      <c r="BF140" s="26">
        <v>0</v>
      </c>
      <c r="BG140" s="26">
        <v>0</v>
      </c>
      <c r="BH140" s="26">
        <v>0</v>
      </c>
      <c r="BI140" s="26">
        <v>0</v>
      </c>
      <c r="BJ140" s="26">
        <v>0</v>
      </c>
      <c r="BK140" s="26">
        <v>0</v>
      </c>
      <c r="BL140" s="26">
        <v>0</v>
      </c>
      <c r="BM140" s="26">
        <v>0</v>
      </c>
      <c r="BN140" s="26">
        <v>0</v>
      </c>
      <c r="BO140" s="26">
        <v>0</v>
      </c>
      <c r="BP140" s="26">
        <v>1200000</v>
      </c>
      <c r="BQ140" s="26">
        <v>1200000</v>
      </c>
      <c r="BR140" s="26">
        <v>1200000</v>
      </c>
      <c r="BS140" s="26">
        <v>1200000</v>
      </c>
      <c r="BT140" s="26">
        <v>1200000</v>
      </c>
      <c r="BU140" s="26">
        <v>1200000</v>
      </c>
      <c r="BV140" s="26">
        <v>1200000</v>
      </c>
      <c r="BW140" s="26">
        <v>1200000</v>
      </c>
      <c r="BX140" s="26">
        <v>1200000</v>
      </c>
      <c r="BY140" s="26">
        <v>1200000</v>
      </c>
      <c r="BZ140" s="26">
        <v>1200000</v>
      </c>
      <c r="CA140" s="26">
        <v>1200000</v>
      </c>
      <c r="CB140" s="26">
        <v>3500000</v>
      </c>
      <c r="CC140" s="26">
        <v>3500000</v>
      </c>
      <c r="CD140" s="26">
        <v>3500000</v>
      </c>
      <c r="CE140" s="26">
        <v>3500000</v>
      </c>
      <c r="CF140" s="26">
        <v>3500000</v>
      </c>
      <c r="CG140" s="26">
        <v>3500000</v>
      </c>
      <c r="CH140" s="26">
        <v>3500000</v>
      </c>
      <c r="CI140" s="26">
        <v>3500000</v>
      </c>
      <c r="CJ140" s="26">
        <v>3500000</v>
      </c>
      <c r="CK140" s="26">
        <v>3500000</v>
      </c>
      <c r="CL140" s="26">
        <v>3500000</v>
      </c>
      <c r="CM140" s="26">
        <v>3500000</v>
      </c>
      <c r="CN140" s="26">
        <v>5050000</v>
      </c>
      <c r="CO140" s="26">
        <v>22</v>
      </c>
      <c r="CP140" s="26">
        <v>5050000</v>
      </c>
      <c r="CQ140" s="26">
        <v>730000</v>
      </c>
      <c r="CR140" s="26">
        <v>500000</v>
      </c>
      <c r="CS140" s="26">
        <v>1200000</v>
      </c>
      <c r="CT140" s="26">
        <v>3500000</v>
      </c>
      <c r="CU140" s="26">
        <v>5930000</v>
      </c>
    </row>
    <row r="141" spans="1:99" x14ac:dyDescent="0.3">
      <c r="A141" s="26">
        <v>12</v>
      </c>
      <c r="B141" s="27" t="s">
        <v>49</v>
      </c>
      <c r="C141" s="27" t="s">
        <v>50</v>
      </c>
      <c r="D141" s="27" t="s">
        <v>26</v>
      </c>
      <c r="E141" s="27" t="s">
        <v>27</v>
      </c>
      <c r="H141" s="26">
        <v>5050000</v>
      </c>
      <c r="I141" s="26">
        <v>5050000</v>
      </c>
      <c r="J141" s="26">
        <v>5050000</v>
      </c>
      <c r="K141" s="26">
        <v>5050000</v>
      </c>
      <c r="L141" s="26">
        <v>5050000</v>
      </c>
      <c r="M141" s="26">
        <v>5050000</v>
      </c>
      <c r="N141" s="26">
        <v>5050000</v>
      </c>
      <c r="O141" s="26">
        <v>5050000</v>
      </c>
      <c r="P141" s="26">
        <v>5050000</v>
      </c>
      <c r="Q141" s="26">
        <v>5050000</v>
      </c>
      <c r="R141" s="26">
        <v>5050000</v>
      </c>
      <c r="S141" s="26">
        <v>5050000</v>
      </c>
      <c r="U141" s="26">
        <v>5050000</v>
      </c>
      <c r="V141" s="26">
        <v>5050000</v>
      </c>
      <c r="W141" s="26">
        <v>5050000</v>
      </c>
      <c r="X141" s="26">
        <v>5050000</v>
      </c>
      <c r="Y141" s="26">
        <v>5050000</v>
      </c>
      <c r="Z141" s="26">
        <v>5050000</v>
      </c>
      <c r="AA141" s="26">
        <v>5050000</v>
      </c>
      <c r="AB141" s="26">
        <v>5050000</v>
      </c>
      <c r="AC141" s="26">
        <v>5050000</v>
      </c>
      <c r="AD141" s="26">
        <v>5050000</v>
      </c>
      <c r="AE141" s="26">
        <v>5050000</v>
      </c>
      <c r="AF141" s="26">
        <v>730000</v>
      </c>
      <c r="AG141" s="26">
        <v>730000</v>
      </c>
      <c r="AH141" s="26">
        <v>730000</v>
      </c>
      <c r="AI141" s="26">
        <v>730000</v>
      </c>
      <c r="AJ141" s="26">
        <v>730000</v>
      </c>
      <c r="AK141" s="26">
        <v>730000</v>
      </c>
      <c r="AL141" s="26">
        <v>730000</v>
      </c>
      <c r="AM141" s="26">
        <v>730000</v>
      </c>
      <c r="AN141" s="26">
        <v>730000</v>
      </c>
      <c r="AO141" s="26">
        <v>730000</v>
      </c>
      <c r="AP141" s="26">
        <v>730000</v>
      </c>
      <c r="AQ141" s="26">
        <v>730000</v>
      </c>
      <c r="AR141" s="26">
        <v>500000</v>
      </c>
      <c r="AS141" s="26">
        <v>500000</v>
      </c>
      <c r="AT141" s="26">
        <v>500000</v>
      </c>
      <c r="AU141" s="26">
        <v>500000</v>
      </c>
      <c r="AV141" s="26">
        <v>500000</v>
      </c>
      <c r="AW141" s="26">
        <v>500000</v>
      </c>
      <c r="AX141" s="26">
        <v>500000</v>
      </c>
      <c r="AY141" s="26">
        <v>500000</v>
      </c>
      <c r="AZ141" s="26">
        <v>500000</v>
      </c>
      <c r="BA141" s="26">
        <v>500000</v>
      </c>
      <c r="BB141" s="26">
        <v>500000</v>
      </c>
      <c r="BC141" s="26">
        <v>500000</v>
      </c>
      <c r="BD141" s="26">
        <v>0</v>
      </c>
      <c r="BE141" s="26">
        <v>0</v>
      </c>
      <c r="BF141" s="26">
        <v>0</v>
      </c>
      <c r="BG141" s="26">
        <v>0</v>
      </c>
      <c r="BH141" s="26">
        <v>0</v>
      </c>
      <c r="BI141" s="26">
        <v>0</v>
      </c>
      <c r="BJ141" s="26">
        <v>0</v>
      </c>
      <c r="BK141" s="26">
        <v>0</v>
      </c>
      <c r="BL141" s="26">
        <v>0</v>
      </c>
      <c r="BM141" s="26">
        <v>0</v>
      </c>
      <c r="BN141" s="26">
        <v>0</v>
      </c>
      <c r="BO141" s="26">
        <v>0</v>
      </c>
      <c r="BP141" s="26">
        <v>1200000</v>
      </c>
      <c r="BQ141" s="26">
        <v>1200000</v>
      </c>
      <c r="BR141" s="26">
        <v>1200000</v>
      </c>
      <c r="BS141" s="26">
        <v>1200000</v>
      </c>
      <c r="BT141" s="26">
        <v>1200000</v>
      </c>
      <c r="BU141" s="26">
        <v>1200000</v>
      </c>
      <c r="BV141" s="26">
        <v>1200000</v>
      </c>
      <c r="BW141" s="26">
        <v>1200000</v>
      </c>
      <c r="BX141" s="26">
        <v>1200000</v>
      </c>
      <c r="BY141" s="26">
        <v>1200000</v>
      </c>
      <c r="BZ141" s="26">
        <v>1200000</v>
      </c>
      <c r="CA141" s="26">
        <v>1200000</v>
      </c>
      <c r="CB141" s="26">
        <v>3500000</v>
      </c>
      <c r="CC141" s="26">
        <v>3500000</v>
      </c>
      <c r="CD141" s="26">
        <v>3500000</v>
      </c>
      <c r="CE141" s="26">
        <v>3500000</v>
      </c>
      <c r="CF141" s="26">
        <v>3500000</v>
      </c>
      <c r="CG141" s="26">
        <v>3500000</v>
      </c>
      <c r="CH141" s="26">
        <v>3500000</v>
      </c>
      <c r="CI141" s="26">
        <v>3500000</v>
      </c>
      <c r="CJ141" s="26">
        <v>3500000</v>
      </c>
      <c r="CK141" s="26">
        <v>3500000</v>
      </c>
      <c r="CL141" s="26">
        <v>3500000</v>
      </c>
      <c r="CM141" s="26">
        <v>3500000</v>
      </c>
      <c r="CN141" s="26">
        <v>5050000</v>
      </c>
      <c r="CO141" s="26">
        <v>23</v>
      </c>
      <c r="CP141" s="26">
        <v>5050000</v>
      </c>
      <c r="CQ141" s="26">
        <v>730000</v>
      </c>
      <c r="CR141" s="26">
        <v>500000</v>
      </c>
      <c r="CS141" s="26">
        <v>1200000</v>
      </c>
      <c r="CT141" s="26">
        <v>3500000</v>
      </c>
      <c r="CU141" s="26">
        <v>5930000</v>
      </c>
    </row>
    <row r="142" spans="1:99" x14ac:dyDescent="0.3">
      <c r="A142" s="26">
        <v>12</v>
      </c>
      <c r="B142" s="27" t="s">
        <v>49</v>
      </c>
      <c r="C142" s="27" t="s">
        <v>50</v>
      </c>
      <c r="D142" s="27" t="s">
        <v>26</v>
      </c>
      <c r="E142" s="27" t="s">
        <v>27</v>
      </c>
      <c r="H142" s="26">
        <v>5050000</v>
      </c>
      <c r="I142" s="26">
        <v>5050000</v>
      </c>
      <c r="J142" s="26">
        <v>5050000</v>
      </c>
      <c r="K142" s="26">
        <v>5050000</v>
      </c>
      <c r="L142" s="26">
        <v>5050000</v>
      </c>
      <c r="M142" s="26">
        <v>5050000</v>
      </c>
      <c r="N142" s="26">
        <v>5050000</v>
      </c>
      <c r="O142" s="26">
        <v>5050000</v>
      </c>
      <c r="P142" s="26">
        <v>5050000</v>
      </c>
      <c r="Q142" s="26">
        <v>5050000</v>
      </c>
      <c r="R142" s="26">
        <v>5050000</v>
      </c>
      <c r="S142" s="26">
        <v>5050000</v>
      </c>
      <c r="U142" s="26">
        <v>5050000</v>
      </c>
      <c r="V142" s="26">
        <v>5050000</v>
      </c>
      <c r="W142" s="26">
        <v>5050000</v>
      </c>
      <c r="X142" s="26">
        <v>5050000</v>
      </c>
      <c r="Y142" s="26">
        <v>5050000</v>
      </c>
      <c r="Z142" s="26">
        <v>5050000</v>
      </c>
      <c r="AA142" s="26">
        <v>5050000</v>
      </c>
      <c r="AB142" s="26">
        <v>5050000</v>
      </c>
      <c r="AC142" s="26">
        <v>5050000</v>
      </c>
      <c r="AD142" s="26">
        <v>5050000</v>
      </c>
      <c r="AE142" s="26">
        <v>5050000</v>
      </c>
      <c r="AF142" s="26">
        <v>730000</v>
      </c>
      <c r="AG142" s="26">
        <v>730000</v>
      </c>
      <c r="AH142" s="26">
        <v>730000</v>
      </c>
      <c r="AI142" s="26">
        <v>730000</v>
      </c>
      <c r="AJ142" s="26">
        <v>730000</v>
      </c>
      <c r="AK142" s="26">
        <v>730000</v>
      </c>
      <c r="AL142" s="26">
        <v>730000</v>
      </c>
      <c r="AM142" s="26">
        <v>730000</v>
      </c>
      <c r="AN142" s="26">
        <v>730000</v>
      </c>
      <c r="AO142" s="26">
        <v>730000</v>
      </c>
      <c r="AP142" s="26">
        <v>730000</v>
      </c>
      <c r="AQ142" s="26">
        <v>730000</v>
      </c>
      <c r="AR142" s="26">
        <v>500000</v>
      </c>
      <c r="AS142" s="26">
        <v>500000</v>
      </c>
      <c r="AT142" s="26">
        <v>500000</v>
      </c>
      <c r="AU142" s="26">
        <v>500000</v>
      </c>
      <c r="AV142" s="26">
        <v>500000</v>
      </c>
      <c r="AW142" s="26">
        <v>500000</v>
      </c>
      <c r="AX142" s="26">
        <v>500000</v>
      </c>
      <c r="AY142" s="26">
        <v>500000</v>
      </c>
      <c r="AZ142" s="26">
        <v>500000</v>
      </c>
      <c r="BA142" s="26">
        <v>500000</v>
      </c>
      <c r="BB142" s="26">
        <v>500000</v>
      </c>
      <c r="BC142" s="26">
        <v>500000</v>
      </c>
      <c r="BD142" s="26">
        <v>0</v>
      </c>
      <c r="BE142" s="26">
        <v>0</v>
      </c>
      <c r="BF142" s="26">
        <v>0</v>
      </c>
      <c r="BG142" s="26">
        <v>0</v>
      </c>
      <c r="BH142" s="26">
        <v>0</v>
      </c>
      <c r="BI142" s="26">
        <v>0</v>
      </c>
      <c r="BJ142" s="26">
        <v>0</v>
      </c>
      <c r="BK142" s="26">
        <v>0</v>
      </c>
      <c r="BL142" s="26">
        <v>0</v>
      </c>
      <c r="BM142" s="26">
        <v>0</v>
      </c>
      <c r="BN142" s="26">
        <v>0</v>
      </c>
      <c r="BO142" s="26">
        <v>0</v>
      </c>
      <c r="BP142" s="26">
        <v>1200000</v>
      </c>
      <c r="BQ142" s="26">
        <v>1200000</v>
      </c>
      <c r="BR142" s="26">
        <v>1200000</v>
      </c>
      <c r="BS142" s="26">
        <v>1200000</v>
      </c>
      <c r="BT142" s="26">
        <v>1200000</v>
      </c>
      <c r="BU142" s="26">
        <v>1200000</v>
      </c>
      <c r="BV142" s="26">
        <v>1200000</v>
      </c>
      <c r="BW142" s="26">
        <v>1200000</v>
      </c>
      <c r="BX142" s="26">
        <v>1200000</v>
      </c>
      <c r="BY142" s="26">
        <v>1200000</v>
      </c>
      <c r="BZ142" s="26">
        <v>1200000</v>
      </c>
      <c r="CA142" s="26">
        <v>1200000</v>
      </c>
      <c r="CB142" s="26">
        <v>3500000</v>
      </c>
      <c r="CC142" s="26">
        <v>3500000</v>
      </c>
      <c r="CD142" s="26">
        <v>3500000</v>
      </c>
      <c r="CE142" s="26">
        <v>3500000</v>
      </c>
      <c r="CF142" s="26">
        <v>3500000</v>
      </c>
      <c r="CG142" s="26">
        <v>3500000</v>
      </c>
      <c r="CH142" s="26">
        <v>3500000</v>
      </c>
      <c r="CI142" s="26">
        <v>3500000</v>
      </c>
      <c r="CJ142" s="26">
        <v>3500000</v>
      </c>
      <c r="CK142" s="26">
        <v>3500000</v>
      </c>
      <c r="CL142" s="26">
        <v>3500000</v>
      </c>
      <c r="CM142" s="26">
        <v>3500000</v>
      </c>
      <c r="CN142" s="26">
        <v>5050000</v>
      </c>
      <c r="CO142" s="26">
        <v>21</v>
      </c>
      <c r="CP142" s="26">
        <v>5050000</v>
      </c>
      <c r="CQ142" s="26">
        <v>730000</v>
      </c>
      <c r="CR142" s="26">
        <v>500000</v>
      </c>
      <c r="CS142" s="26">
        <v>1200000</v>
      </c>
      <c r="CT142" s="26">
        <v>3500000</v>
      </c>
      <c r="CU142" s="26">
        <v>5930000</v>
      </c>
    </row>
    <row r="143" spans="1:99" x14ac:dyDescent="0.3">
      <c r="A143" s="26">
        <v>12</v>
      </c>
      <c r="B143" s="27" t="s">
        <v>49</v>
      </c>
      <c r="C143" s="27" t="s">
        <v>50</v>
      </c>
      <c r="D143" s="27" t="s">
        <v>26</v>
      </c>
      <c r="E143" s="27" t="s">
        <v>27</v>
      </c>
      <c r="H143" s="26">
        <v>5050000</v>
      </c>
      <c r="I143" s="26">
        <v>5050000</v>
      </c>
      <c r="J143" s="26">
        <v>5050000</v>
      </c>
      <c r="K143" s="26">
        <v>5050000</v>
      </c>
      <c r="L143" s="26">
        <v>5050000</v>
      </c>
      <c r="M143" s="26">
        <v>5050000</v>
      </c>
      <c r="N143" s="26">
        <v>5050000</v>
      </c>
      <c r="O143" s="26">
        <v>5050000</v>
      </c>
      <c r="P143" s="26">
        <v>5050000</v>
      </c>
      <c r="Q143" s="26">
        <v>5050000</v>
      </c>
      <c r="R143" s="26">
        <v>5050000</v>
      </c>
      <c r="S143" s="26">
        <v>5050000</v>
      </c>
      <c r="U143" s="26">
        <v>5050000</v>
      </c>
      <c r="V143" s="26">
        <v>5050000</v>
      </c>
      <c r="W143" s="26">
        <v>5050000</v>
      </c>
      <c r="X143" s="26">
        <v>5050000</v>
      </c>
      <c r="Y143" s="26">
        <v>5050000</v>
      </c>
      <c r="Z143" s="26">
        <v>5050000</v>
      </c>
      <c r="AA143" s="26">
        <v>5050000</v>
      </c>
      <c r="AB143" s="26">
        <v>5050000</v>
      </c>
      <c r="AC143" s="26">
        <v>5050000</v>
      </c>
      <c r="AD143" s="26">
        <v>5050000</v>
      </c>
      <c r="AE143" s="26">
        <v>5050000</v>
      </c>
      <c r="AF143" s="26">
        <v>730000</v>
      </c>
      <c r="AG143" s="26">
        <v>730000</v>
      </c>
      <c r="AH143" s="26">
        <v>730000</v>
      </c>
      <c r="AI143" s="26">
        <v>730000</v>
      </c>
      <c r="AJ143" s="26">
        <v>730000</v>
      </c>
      <c r="AK143" s="26">
        <v>730000</v>
      </c>
      <c r="AL143" s="26">
        <v>730000</v>
      </c>
      <c r="AM143" s="26">
        <v>730000</v>
      </c>
      <c r="AN143" s="26">
        <v>730000</v>
      </c>
      <c r="AO143" s="26">
        <v>730000</v>
      </c>
      <c r="AP143" s="26">
        <v>730000</v>
      </c>
      <c r="AQ143" s="26">
        <v>730000</v>
      </c>
      <c r="AR143" s="26">
        <v>500000</v>
      </c>
      <c r="AS143" s="26">
        <v>500000</v>
      </c>
      <c r="AT143" s="26">
        <v>500000</v>
      </c>
      <c r="AU143" s="26">
        <v>500000</v>
      </c>
      <c r="AV143" s="26">
        <v>500000</v>
      </c>
      <c r="AW143" s="26">
        <v>500000</v>
      </c>
      <c r="AX143" s="26">
        <v>500000</v>
      </c>
      <c r="AY143" s="26">
        <v>500000</v>
      </c>
      <c r="AZ143" s="26">
        <v>500000</v>
      </c>
      <c r="BA143" s="26">
        <v>500000</v>
      </c>
      <c r="BB143" s="26">
        <v>500000</v>
      </c>
      <c r="BC143" s="26">
        <v>500000</v>
      </c>
      <c r="BD143" s="26">
        <v>0</v>
      </c>
      <c r="BE143" s="26">
        <v>0</v>
      </c>
      <c r="BF143" s="26">
        <v>0</v>
      </c>
      <c r="BG143" s="26">
        <v>0</v>
      </c>
      <c r="BH143" s="26">
        <v>0</v>
      </c>
      <c r="BI143" s="26">
        <v>0</v>
      </c>
      <c r="BJ143" s="26">
        <v>0</v>
      </c>
      <c r="BK143" s="26">
        <v>0</v>
      </c>
      <c r="BL143" s="26">
        <v>0</v>
      </c>
      <c r="BM143" s="26">
        <v>0</v>
      </c>
      <c r="BN143" s="26">
        <v>0</v>
      </c>
      <c r="BO143" s="26">
        <v>0</v>
      </c>
      <c r="BP143" s="26">
        <v>1200000</v>
      </c>
      <c r="BQ143" s="26">
        <v>1200000</v>
      </c>
      <c r="BR143" s="26">
        <v>1200000</v>
      </c>
      <c r="BS143" s="26">
        <v>1200000</v>
      </c>
      <c r="BT143" s="26">
        <v>1200000</v>
      </c>
      <c r="BU143" s="26">
        <v>1200000</v>
      </c>
      <c r="BV143" s="26">
        <v>1200000</v>
      </c>
      <c r="BW143" s="26">
        <v>1200000</v>
      </c>
      <c r="BX143" s="26">
        <v>1200000</v>
      </c>
      <c r="BY143" s="26">
        <v>1200000</v>
      </c>
      <c r="BZ143" s="26">
        <v>1200000</v>
      </c>
      <c r="CA143" s="26">
        <v>1200000</v>
      </c>
      <c r="CB143" s="26">
        <v>3500000</v>
      </c>
      <c r="CC143" s="26">
        <v>3500000</v>
      </c>
      <c r="CD143" s="26">
        <v>3500000</v>
      </c>
      <c r="CE143" s="26">
        <v>3500000</v>
      </c>
      <c r="CF143" s="26">
        <v>3500000</v>
      </c>
      <c r="CG143" s="26">
        <v>3500000</v>
      </c>
      <c r="CH143" s="26">
        <v>3500000</v>
      </c>
      <c r="CI143" s="26">
        <v>3500000</v>
      </c>
      <c r="CJ143" s="26">
        <v>3500000</v>
      </c>
      <c r="CK143" s="26">
        <v>3500000</v>
      </c>
      <c r="CL143" s="26">
        <v>3500000</v>
      </c>
      <c r="CM143" s="26">
        <v>3500000</v>
      </c>
      <c r="CN143" s="26">
        <v>5050000</v>
      </c>
      <c r="CO143" s="26">
        <v>22</v>
      </c>
      <c r="CP143" s="26">
        <v>5050000</v>
      </c>
      <c r="CQ143" s="26">
        <v>730000</v>
      </c>
      <c r="CR143" s="26">
        <v>500000</v>
      </c>
      <c r="CS143" s="26">
        <v>1200000</v>
      </c>
      <c r="CT143" s="26">
        <v>3500000</v>
      </c>
      <c r="CU143" s="26">
        <v>5930000</v>
      </c>
    </row>
    <row r="144" spans="1:99" x14ac:dyDescent="0.3">
      <c r="A144" s="26">
        <v>12</v>
      </c>
      <c r="B144" s="27" t="s">
        <v>49</v>
      </c>
      <c r="C144" s="27" t="s">
        <v>50</v>
      </c>
      <c r="D144" s="27" t="s">
        <v>26</v>
      </c>
      <c r="E144" s="27" t="s">
        <v>27</v>
      </c>
      <c r="H144" s="26">
        <v>5050000</v>
      </c>
      <c r="I144" s="26">
        <v>5050000</v>
      </c>
      <c r="J144" s="26">
        <v>5050000</v>
      </c>
      <c r="K144" s="26">
        <v>5050000</v>
      </c>
      <c r="L144" s="26">
        <v>5050000</v>
      </c>
      <c r="M144" s="26">
        <v>5050000</v>
      </c>
      <c r="N144" s="26">
        <v>5050000</v>
      </c>
      <c r="O144" s="26">
        <v>5050000</v>
      </c>
      <c r="P144" s="26">
        <v>5050000</v>
      </c>
      <c r="Q144" s="26">
        <v>5050000</v>
      </c>
      <c r="R144" s="26">
        <v>5050000</v>
      </c>
      <c r="S144" s="26">
        <v>5050000</v>
      </c>
      <c r="U144" s="26">
        <v>5050000</v>
      </c>
      <c r="V144" s="26">
        <v>5050000</v>
      </c>
      <c r="W144" s="26">
        <v>5050000</v>
      </c>
      <c r="X144" s="26">
        <v>5050000</v>
      </c>
      <c r="Y144" s="26">
        <v>5050000</v>
      </c>
      <c r="Z144" s="26">
        <v>5050000</v>
      </c>
      <c r="AA144" s="26">
        <v>5050000</v>
      </c>
      <c r="AB144" s="26">
        <v>5050000</v>
      </c>
      <c r="AC144" s="26">
        <v>5050000</v>
      </c>
      <c r="AD144" s="26">
        <v>5050000</v>
      </c>
      <c r="AE144" s="26">
        <v>5050000</v>
      </c>
      <c r="AF144" s="26">
        <v>730000</v>
      </c>
      <c r="AG144" s="26">
        <v>730000</v>
      </c>
      <c r="AH144" s="26">
        <v>730000</v>
      </c>
      <c r="AI144" s="26">
        <v>730000</v>
      </c>
      <c r="AJ144" s="26">
        <v>730000</v>
      </c>
      <c r="AK144" s="26">
        <v>730000</v>
      </c>
      <c r="AL144" s="26">
        <v>730000</v>
      </c>
      <c r="AM144" s="26">
        <v>730000</v>
      </c>
      <c r="AN144" s="26">
        <v>730000</v>
      </c>
      <c r="AO144" s="26">
        <v>730000</v>
      </c>
      <c r="AP144" s="26">
        <v>730000</v>
      </c>
      <c r="AQ144" s="26">
        <v>730000</v>
      </c>
      <c r="AR144" s="26">
        <v>500000</v>
      </c>
      <c r="AS144" s="26">
        <v>500000</v>
      </c>
      <c r="AT144" s="26">
        <v>500000</v>
      </c>
      <c r="AU144" s="26">
        <v>500000</v>
      </c>
      <c r="AV144" s="26">
        <v>500000</v>
      </c>
      <c r="AW144" s="26">
        <v>500000</v>
      </c>
      <c r="AX144" s="26">
        <v>500000</v>
      </c>
      <c r="AY144" s="26">
        <v>500000</v>
      </c>
      <c r="AZ144" s="26">
        <v>500000</v>
      </c>
      <c r="BA144" s="26">
        <v>500000</v>
      </c>
      <c r="BB144" s="26">
        <v>500000</v>
      </c>
      <c r="BC144" s="26">
        <v>500000</v>
      </c>
      <c r="BD144" s="26">
        <v>0</v>
      </c>
      <c r="BE144" s="26">
        <v>0</v>
      </c>
      <c r="BF144" s="26">
        <v>0</v>
      </c>
      <c r="BG144" s="26">
        <v>0</v>
      </c>
      <c r="BH144" s="26">
        <v>0</v>
      </c>
      <c r="BI144" s="26">
        <v>0</v>
      </c>
      <c r="BJ144" s="26">
        <v>0</v>
      </c>
      <c r="BK144" s="26">
        <v>0</v>
      </c>
      <c r="BL144" s="26">
        <v>0</v>
      </c>
      <c r="BM144" s="26">
        <v>0</v>
      </c>
      <c r="BN144" s="26">
        <v>0</v>
      </c>
      <c r="BO144" s="26">
        <v>0</v>
      </c>
      <c r="BP144" s="26">
        <v>1200000</v>
      </c>
      <c r="BQ144" s="26">
        <v>1200000</v>
      </c>
      <c r="BR144" s="26">
        <v>1200000</v>
      </c>
      <c r="BS144" s="26">
        <v>1200000</v>
      </c>
      <c r="BT144" s="26">
        <v>1200000</v>
      </c>
      <c r="BU144" s="26">
        <v>1200000</v>
      </c>
      <c r="BV144" s="26">
        <v>1200000</v>
      </c>
      <c r="BW144" s="26">
        <v>1200000</v>
      </c>
      <c r="BX144" s="26">
        <v>1200000</v>
      </c>
      <c r="BY144" s="26">
        <v>1200000</v>
      </c>
      <c r="BZ144" s="26">
        <v>1200000</v>
      </c>
      <c r="CA144" s="26">
        <v>1200000</v>
      </c>
      <c r="CB144" s="26">
        <v>3500000</v>
      </c>
      <c r="CC144" s="26">
        <v>3500000</v>
      </c>
      <c r="CD144" s="26">
        <v>3500000</v>
      </c>
      <c r="CE144" s="26">
        <v>3500000</v>
      </c>
      <c r="CF144" s="26">
        <v>3500000</v>
      </c>
      <c r="CG144" s="26">
        <v>3500000</v>
      </c>
      <c r="CH144" s="26">
        <v>3500000</v>
      </c>
      <c r="CI144" s="26">
        <v>3500000</v>
      </c>
      <c r="CJ144" s="26">
        <v>3500000</v>
      </c>
      <c r="CK144" s="26">
        <v>3500000</v>
      </c>
      <c r="CL144" s="26">
        <v>3500000</v>
      </c>
      <c r="CM144" s="26">
        <v>3500000</v>
      </c>
      <c r="CN144" s="26">
        <v>5050000</v>
      </c>
      <c r="CO144" s="26">
        <v>22</v>
      </c>
      <c r="CP144" s="26">
        <v>5050000</v>
      </c>
      <c r="CQ144" s="26">
        <v>730000</v>
      </c>
      <c r="CR144" s="26">
        <v>500000</v>
      </c>
      <c r="CS144" s="26">
        <v>1200000</v>
      </c>
      <c r="CT144" s="26">
        <v>3500000</v>
      </c>
      <c r="CU144" s="26">
        <v>5930000</v>
      </c>
    </row>
    <row r="145" spans="1:99" x14ac:dyDescent="0.3">
      <c r="A145" s="26">
        <v>12</v>
      </c>
      <c r="B145" s="27" t="s">
        <v>49</v>
      </c>
      <c r="C145" s="27" t="s">
        <v>50</v>
      </c>
      <c r="D145" s="27" t="s">
        <v>26</v>
      </c>
      <c r="E145" s="27" t="s">
        <v>27</v>
      </c>
      <c r="H145" s="26">
        <v>5050000</v>
      </c>
      <c r="I145" s="26">
        <v>5050000</v>
      </c>
      <c r="J145" s="26">
        <v>5050000</v>
      </c>
      <c r="K145" s="26">
        <v>5050000</v>
      </c>
      <c r="L145" s="26">
        <v>5050000</v>
      </c>
      <c r="M145" s="26">
        <v>5050000</v>
      </c>
      <c r="N145" s="26">
        <v>5050000</v>
      </c>
      <c r="O145" s="26">
        <v>5050000</v>
      </c>
      <c r="P145" s="26">
        <v>5050000</v>
      </c>
      <c r="Q145" s="26">
        <v>5050000</v>
      </c>
      <c r="R145" s="26">
        <v>5050000</v>
      </c>
      <c r="S145" s="26">
        <v>5050000</v>
      </c>
      <c r="U145" s="26">
        <v>5050000</v>
      </c>
      <c r="V145" s="26">
        <v>5050000</v>
      </c>
      <c r="W145" s="26">
        <v>5050000</v>
      </c>
      <c r="X145" s="26">
        <v>5050000</v>
      </c>
      <c r="Y145" s="26">
        <v>5050000</v>
      </c>
      <c r="Z145" s="26">
        <v>5050000</v>
      </c>
      <c r="AA145" s="26">
        <v>5050000</v>
      </c>
      <c r="AB145" s="26">
        <v>5050000</v>
      </c>
      <c r="AC145" s="26">
        <v>5050000</v>
      </c>
      <c r="AD145" s="26">
        <v>5050000</v>
      </c>
      <c r="AE145" s="26">
        <v>5050000</v>
      </c>
      <c r="AF145" s="26">
        <v>730000</v>
      </c>
      <c r="AG145" s="26">
        <v>730000</v>
      </c>
      <c r="AH145" s="26">
        <v>730000</v>
      </c>
      <c r="AI145" s="26">
        <v>730000</v>
      </c>
      <c r="AJ145" s="26">
        <v>730000</v>
      </c>
      <c r="AK145" s="26">
        <v>730000</v>
      </c>
      <c r="AL145" s="26">
        <v>730000</v>
      </c>
      <c r="AM145" s="26">
        <v>730000</v>
      </c>
      <c r="AN145" s="26">
        <v>730000</v>
      </c>
      <c r="AO145" s="26">
        <v>730000</v>
      </c>
      <c r="AP145" s="26">
        <v>730000</v>
      </c>
      <c r="AQ145" s="26">
        <v>730000</v>
      </c>
      <c r="AR145" s="26">
        <v>500000</v>
      </c>
      <c r="AS145" s="26">
        <v>500000</v>
      </c>
      <c r="AT145" s="26">
        <v>500000</v>
      </c>
      <c r="AU145" s="26">
        <v>500000</v>
      </c>
      <c r="AV145" s="26">
        <v>500000</v>
      </c>
      <c r="AW145" s="26">
        <v>500000</v>
      </c>
      <c r="AX145" s="26">
        <v>500000</v>
      </c>
      <c r="AY145" s="26">
        <v>500000</v>
      </c>
      <c r="AZ145" s="26">
        <v>500000</v>
      </c>
      <c r="BA145" s="26">
        <v>500000</v>
      </c>
      <c r="BB145" s="26">
        <v>500000</v>
      </c>
      <c r="BC145" s="26">
        <v>500000</v>
      </c>
      <c r="BD145" s="26">
        <v>0</v>
      </c>
      <c r="BE145" s="26">
        <v>0</v>
      </c>
      <c r="BF145" s="26">
        <v>0</v>
      </c>
      <c r="BG145" s="26">
        <v>0</v>
      </c>
      <c r="BH145" s="26">
        <v>0</v>
      </c>
      <c r="BI145" s="26">
        <v>0</v>
      </c>
      <c r="BJ145" s="26">
        <v>0</v>
      </c>
      <c r="BK145" s="26">
        <v>0</v>
      </c>
      <c r="BL145" s="26">
        <v>0</v>
      </c>
      <c r="BM145" s="26">
        <v>0</v>
      </c>
      <c r="BN145" s="26">
        <v>0</v>
      </c>
      <c r="BO145" s="26">
        <v>0</v>
      </c>
      <c r="BP145" s="26">
        <v>1200000</v>
      </c>
      <c r="BQ145" s="26">
        <v>1200000</v>
      </c>
      <c r="BR145" s="26">
        <v>1200000</v>
      </c>
      <c r="BS145" s="26">
        <v>1200000</v>
      </c>
      <c r="BT145" s="26">
        <v>1200000</v>
      </c>
      <c r="BU145" s="26">
        <v>1200000</v>
      </c>
      <c r="BV145" s="26">
        <v>1200000</v>
      </c>
      <c r="BW145" s="26">
        <v>1200000</v>
      </c>
      <c r="BX145" s="26">
        <v>1200000</v>
      </c>
      <c r="BY145" s="26">
        <v>1200000</v>
      </c>
      <c r="BZ145" s="26">
        <v>1200000</v>
      </c>
      <c r="CA145" s="26">
        <v>1200000</v>
      </c>
      <c r="CB145" s="26">
        <v>3500000</v>
      </c>
      <c r="CC145" s="26">
        <v>3500000</v>
      </c>
      <c r="CD145" s="26">
        <v>3500000</v>
      </c>
      <c r="CE145" s="26">
        <v>3500000</v>
      </c>
      <c r="CF145" s="26">
        <v>3500000</v>
      </c>
      <c r="CG145" s="26">
        <v>3500000</v>
      </c>
      <c r="CH145" s="26">
        <v>3500000</v>
      </c>
      <c r="CI145" s="26">
        <v>3500000</v>
      </c>
      <c r="CJ145" s="26">
        <v>3500000</v>
      </c>
      <c r="CK145" s="26">
        <v>3500000</v>
      </c>
      <c r="CL145" s="26">
        <v>3500000</v>
      </c>
      <c r="CM145" s="26">
        <v>3500000</v>
      </c>
      <c r="CN145" s="26">
        <v>5050000</v>
      </c>
      <c r="CO145" s="26">
        <v>21</v>
      </c>
      <c r="CP145" s="26">
        <v>5050000</v>
      </c>
      <c r="CQ145" s="26">
        <v>730000</v>
      </c>
      <c r="CR145" s="26">
        <v>500000</v>
      </c>
      <c r="CS145" s="26">
        <v>1200000</v>
      </c>
      <c r="CT145" s="26">
        <v>3500000</v>
      </c>
      <c r="CU145" s="26">
        <v>5930000</v>
      </c>
    </row>
    <row r="146" spans="1:99" x14ac:dyDescent="0.3">
      <c r="A146" s="26">
        <v>13</v>
      </c>
      <c r="B146" s="27" t="s">
        <v>51</v>
      </c>
      <c r="C146" s="27" t="s">
        <v>52</v>
      </c>
      <c r="D146" s="27" t="s">
        <v>26</v>
      </c>
      <c r="E146" s="27" t="s">
        <v>27</v>
      </c>
      <c r="H146" s="26">
        <v>5050000</v>
      </c>
      <c r="I146" s="26">
        <v>5050000</v>
      </c>
      <c r="J146" s="26">
        <v>5050000</v>
      </c>
      <c r="K146" s="26">
        <v>5050000</v>
      </c>
      <c r="L146" s="26">
        <v>5050000</v>
      </c>
      <c r="M146" s="26">
        <v>5050000</v>
      </c>
      <c r="N146" s="26">
        <v>5050000</v>
      </c>
      <c r="O146" s="26">
        <v>5050000</v>
      </c>
      <c r="P146" s="26">
        <v>5050000</v>
      </c>
      <c r="Q146" s="26">
        <v>5050000</v>
      </c>
      <c r="R146" s="26">
        <v>5050000</v>
      </c>
      <c r="S146" s="26">
        <v>5050000</v>
      </c>
      <c r="U146" s="26">
        <v>5050000</v>
      </c>
      <c r="V146" s="26">
        <v>5050000</v>
      </c>
      <c r="W146" s="26">
        <v>5050000</v>
      </c>
      <c r="X146" s="26">
        <v>5050000</v>
      </c>
      <c r="Y146" s="26">
        <v>5050000</v>
      </c>
      <c r="Z146" s="26">
        <v>5050000</v>
      </c>
      <c r="AA146" s="26">
        <v>5050000</v>
      </c>
      <c r="AB146" s="26">
        <v>5050000</v>
      </c>
      <c r="AC146" s="26">
        <v>5050000</v>
      </c>
      <c r="AD146" s="26">
        <v>5050000</v>
      </c>
      <c r="AE146" s="26">
        <v>5050000</v>
      </c>
      <c r="AF146" s="26">
        <v>730000</v>
      </c>
      <c r="AG146" s="26">
        <v>730000</v>
      </c>
      <c r="AH146" s="26">
        <v>730000</v>
      </c>
      <c r="AI146" s="26">
        <v>730000</v>
      </c>
      <c r="AJ146" s="26">
        <v>730000</v>
      </c>
      <c r="AK146" s="26">
        <v>730000</v>
      </c>
      <c r="AL146" s="26">
        <v>730000</v>
      </c>
      <c r="AM146" s="26">
        <v>730000</v>
      </c>
      <c r="AN146" s="26">
        <v>730000</v>
      </c>
      <c r="AO146" s="26">
        <v>730000</v>
      </c>
      <c r="AP146" s="26">
        <v>730000</v>
      </c>
      <c r="AQ146" s="26">
        <v>730000</v>
      </c>
      <c r="AR146" s="26">
        <v>500000</v>
      </c>
      <c r="AS146" s="26">
        <v>500000</v>
      </c>
      <c r="AT146" s="26">
        <v>500000</v>
      </c>
      <c r="AU146" s="26">
        <v>500000</v>
      </c>
      <c r="AV146" s="26">
        <v>500000</v>
      </c>
      <c r="AW146" s="26">
        <v>500000</v>
      </c>
      <c r="AX146" s="26">
        <v>500000</v>
      </c>
      <c r="AY146" s="26">
        <v>500000</v>
      </c>
      <c r="AZ146" s="26">
        <v>500000</v>
      </c>
      <c r="BA146" s="26">
        <v>500000</v>
      </c>
      <c r="BB146" s="26">
        <v>500000</v>
      </c>
      <c r="BC146" s="26">
        <v>500000</v>
      </c>
      <c r="BD146" s="26">
        <v>0</v>
      </c>
      <c r="BE146" s="26">
        <v>0</v>
      </c>
      <c r="BF146" s="26">
        <v>0</v>
      </c>
      <c r="BG146" s="26">
        <v>0</v>
      </c>
      <c r="BH146" s="26">
        <v>0</v>
      </c>
      <c r="BI146" s="26">
        <v>0</v>
      </c>
      <c r="BJ146" s="26">
        <v>0</v>
      </c>
      <c r="BK146" s="26">
        <v>0</v>
      </c>
      <c r="BL146" s="26">
        <v>0</v>
      </c>
      <c r="BM146" s="26">
        <v>0</v>
      </c>
      <c r="BN146" s="26">
        <v>0</v>
      </c>
      <c r="BO146" s="26">
        <v>0</v>
      </c>
      <c r="BP146" s="26">
        <v>1200000</v>
      </c>
      <c r="BQ146" s="26">
        <v>1200000</v>
      </c>
      <c r="BR146" s="26">
        <v>1200000</v>
      </c>
      <c r="BS146" s="26">
        <v>1200000</v>
      </c>
      <c r="BT146" s="26">
        <v>1200000</v>
      </c>
      <c r="BU146" s="26">
        <v>1200000</v>
      </c>
      <c r="BV146" s="26">
        <v>1200000</v>
      </c>
      <c r="BW146" s="26">
        <v>1200000</v>
      </c>
      <c r="BX146" s="26">
        <v>1200000</v>
      </c>
      <c r="BY146" s="26">
        <v>1200000</v>
      </c>
      <c r="BZ146" s="26">
        <v>1200000</v>
      </c>
      <c r="CA146" s="26">
        <v>1200000</v>
      </c>
      <c r="CB146" s="26">
        <v>3500000</v>
      </c>
      <c r="CC146" s="26">
        <v>3500000</v>
      </c>
      <c r="CD146" s="26">
        <v>3500000</v>
      </c>
      <c r="CE146" s="26">
        <v>3500000</v>
      </c>
      <c r="CF146" s="26">
        <v>3500000</v>
      </c>
      <c r="CG146" s="26">
        <v>3500000</v>
      </c>
      <c r="CH146" s="26">
        <v>3500000</v>
      </c>
      <c r="CI146" s="26">
        <v>3500000</v>
      </c>
      <c r="CJ146" s="26">
        <v>3500000</v>
      </c>
      <c r="CK146" s="26">
        <v>3500000</v>
      </c>
      <c r="CL146" s="26">
        <v>3500000</v>
      </c>
      <c r="CM146" s="26">
        <v>3500000</v>
      </c>
      <c r="CN146" s="26">
        <v>5050000</v>
      </c>
      <c r="CO146" s="26">
        <v>20</v>
      </c>
      <c r="CP146" s="26">
        <v>5050000</v>
      </c>
      <c r="CQ146" s="26">
        <v>730000</v>
      </c>
      <c r="CR146" s="26">
        <v>500000</v>
      </c>
      <c r="CS146" s="26">
        <v>1200000</v>
      </c>
      <c r="CT146" s="26">
        <v>3500000</v>
      </c>
      <c r="CU146" s="26">
        <v>5930000</v>
      </c>
    </row>
    <row r="147" spans="1:99" x14ac:dyDescent="0.3">
      <c r="A147" s="26">
        <v>13</v>
      </c>
      <c r="B147" s="27" t="s">
        <v>51</v>
      </c>
      <c r="C147" s="27" t="s">
        <v>52</v>
      </c>
      <c r="D147" s="27" t="s">
        <v>26</v>
      </c>
      <c r="E147" s="27" t="s">
        <v>27</v>
      </c>
      <c r="H147" s="26">
        <v>5050000</v>
      </c>
      <c r="I147" s="26">
        <v>5050000</v>
      </c>
      <c r="J147" s="26">
        <v>5050000</v>
      </c>
      <c r="K147" s="26">
        <v>5050000</v>
      </c>
      <c r="L147" s="26">
        <v>5050000</v>
      </c>
      <c r="M147" s="26">
        <v>5050000</v>
      </c>
      <c r="N147" s="26">
        <v>5050000</v>
      </c>
      <c r="O147" s="26">
        <v>5050000</v>
      </c>
      <c r="P147" s="26">
        <v>5050000</v>
      </c>
      <c r="Q147" s="26">
        <v>5050000</v>
      </c>
      <c r="R147" s="26">
        <v>5050000</v>
      </c>
      <c r="S147" s="26">
        <v>5050000</v>
      </c>
      <c r="U147" s="26">
        <v>5050000</v>
      </c>
      <c r="V147" s="26">
        <v>5050000</v>
      </c>
      <c r="W147" s="26">
        <v>5050000</v>
      </c>
      <c r="X147" s="26">
        <v>5050000</v>
      </c>
      <c r="Y147" s="26">
        <v>5050000</v>
      </c>
      <c r="Z147" s="26">
        <v>5050000</v>
      </c>
      <c r="AA147" s="26">
        <v>5050000</v>
      </c>
      <c r="AB147" s="26">
        <v>5050000</v>
      </c>
      <c r="AC147" s="26">
        <v>5050000</v>
      </c>
      <c r="AD147" s="26">
        <v>5050000</v>
      </c>
      <c r="AE147" s="26">
        <v>5050000</v>
      </c>
      <c r="AF147" s="26">
        <v>730000</v>
      </c>
      <c r="AG147" s="26">
        <v>730000</v>
      </c>
      <c r="AH147" s="26">
        <v>730000</v>
      </c>
      <c r="AI147" s="26">
        <v>730000</v>
      </c>
      <c r="AJ147" s="26">
        <v>730000</v>
      </c>
      <c r="AK147" s="26">
        <v>730000</v>
      </c>
      <c r="AL147" s="26">
        <v>730000</v>
      </c>
      <c r="AM147" s="26">
        <v>730000</v>
      </c>
      <c r="AN147" s="26">
        <v>730000</v>
      </c>
      <c r="AO147" s="26">
        <v>730000</v>
      </c>
      <c r="AP147" s="26">
        <v>730000</v>
      </c>
      <c r="AQ147" s="26">
        <v>730000</v>
      </c>
      <c r="AR147" s="26">
        <v>500000</v>
      </c>
      <c r="AS147" s="26">
        <v>500000</v>
      </c>
      <c r="AT147" s="26">
        <v>500000</v>
      </c>
      <c r="AU147" s="26">
        <v>500000</v>
      </c>
      <c r="AV147" s="26">
        <v>500000</v>
      </c>
      <c r="AW147" s="26">
        <v>500000</v>
      </c>
      <c r="AX147" s="26">
        <v>500000</v>
      </c>
      <c r="AY147" s="26">
        <v>500000</v>
      </c>
      <c r="AZ147" s="26">
        <v>500000</v>
      </c>
      <c r="BA147" s="26">
        <v>500000</v>
      </c>
      <c r="BB147" s="26">
        <v>500000</v>
      </c>
      <c r="BC147" s="26">
        <v>500000</v>
      </c>
      <c r="BD147" s="26">
        <v>0</v>
      </c>
      <c r="BE147" s="26">
        <v>0</v>
      </c>
      <c r="BF147" s="26">
        <v>0</v>
      </c>
      <c r="BG147" s="26">
        <v>0</v>
      </c>
      <c r="BH147" s="26">
        <v>0</v>
      </c>
      <c r="BI147" s="26">
        <v>0</v>
      </c>
      <c r="BJ147" s="26">
        <v>0</v>
      </c>
      <c r="BK147" s="26">
        <v>0</v>
      </c>
      <c r="BL147" s="26">
        <v>0</v>
      </c>
      <c r="BM147" s="26">
        <v>0</v>
      </c>
      <c r="BN147" s="26">
        <v>0</v>
      </c>
      <c r="BO147" s="26">
        <v>0</v>
      </c>
      <c r="BP147" s="26">
        <v>1200000</v>
      </c>
      <c r="BQ147" s="26">
        <v>1200000</v>
      </c>
      <c r="BR147" s="26">
        <v>1200000</v>
      </c>
      <c r="BS147" s="26">
        <v>1200000</v>
      </c>
      <c r="BT147" s="26">
        <v>1200000</v>
      </c>
      <c r="BU147" s="26">
        <v>1200000</v>
      </c>
      <c r="BV147" s="26">
        <v>1200000</v>
      </c>
      <c r="BW147" s="26">
        <v>1200000</v>
      </c>
      <c r="BX147" s="26">
        <v>1200000</v>
      </c>
      <c r="BY147" s="26">
        <v>1200000</v>
      </c>
      <c r="BZ147" s="26">
        <v>1200000</v>
      </c>
      <c r="CA147" s="26">
        <v>1200000</v>
      </c>
      <c r="CB147" s="26">
        <v>3500000</v>
      </c>
      <c r="CC147" s="26">
        <v>3500000</v>
      </c>
      <c r="CD147" s="26">
        <v>3500000</v>
      </c>
      <c r="CE147" s="26">
        <v>3500000</v>
      </c>
      <c r="CF147" s="26">
        <v>3500000</v>
      </c>
      <c r="CG147" s="26">
        <v>3500000</v>
      </c>
      <c r="CH147" s="26">
        <v>3500000</v>
      </c>
      <c r="CI147" s="26">
        <v>3500000</v>
      </c>
      <c r="CJ147" s="26">
        <v>3500000</v>
      </c>
      <c r="CK147" s="26">
        <v>3500000</v>
      </c>
      <c r="CL147" s="26">
        <v>3500000</v>
      </c>
      <c r="CM147" s="26">
        <v>3500000</v>
      </c>
      <c r="CN147" s="26">
        <v>5050000</v>
      </c>
      <c r="CO147" s="26">
        <v>22</v>
      </c>
      <c r="CP147" s="26">
        <v>5050000</v>
      </c>
      <c r="CQ147" s="26">
        <v>730000</v>
      </c>
      <c r="CR147" s="26">
        <v>500000</v>
      </c>
      <c r="CS147" s="26">
        <v>1200000</v>
      </c>
      <c r="CT147" s="26">
        <v>3500000</v>
      </c>
      <c r="CU147" s="26">
        <v>5930000</v>
      </c>
    </row>
    <row r="148" spans="1:99" x14ac:dyDescent="0.3">
      <c r="A148" s="26">
        <v>13</v>
      </c>
      <c r="B148" s="27" t="s">
        <v>51</v>
      </c>
      <c r="C148" s="27" t="s">
        <v>52</v>
      </c>
      <c r="D148" s="27" t="s">
        <v>26</v>
      </c>
      <c r="E148" s="27" t="s">
        <v>27</v>
      </c>
      <c r="H148" s="26">
        <v>5050000</v>
      </c>
      <c r="I148" s="26">
        <v>5050000</v>
      </c>
      <c r="J148" s="26">
        <v>5050000</v>
      </c>
      <c r="K148" s="26">
        <v>5050000</v>
      </c>
      <c r="L148" s="26">
        <v>5050000</v>
      </c>
      <c r="M148" s="26">
        <v>5050000</v>
      </c>
      <c r="N148" s="26">
        <v>5050000</v>
      </c>
      <c r="O148" s="26">
        <v>5050000</v>
      </c>
      <c r="P148" s="26">
        <v>5050000</v>
      </c>
      <c r="Q148" s="26">
        <v>5050000</v>
      </c>
      <c r="R148" s="26">
        <v>5050000</v>
      </c>
      <c r="S148" s="26">
        <v>5050000</v>
      </c>
      <c r="U148" s="26">
        <v>5050000</v>
      </c>
      <c r="V148" s="26">
        <v>5050000</v>
      </c>
      <c r="W148" s="26">
        <v>5050000</v>
      </c>
      <c r="X148" s="26">
        <v>5050000</v>
      </c>
      <c r="Y148" s="26">
        <v>5050000</v>
      </c>
      <c r="Z148" s="26">
        <v>5050000</v>
      </c>
      <c r="AA148" s="26">
        <v>5050000</v>
      </c>
      <c r="AB148" s="26">
        <v>5050000</v>
      </c>
      <c r="AC148" s="26">
        <v>5050000</v>
      </c>
      <c r="AD148" s="26">
        <v>5050000</v>
      </c>
      <c r="AE148" s="26">
        <v>5050000</v>
      </c>
      <c r="AF148" s="26">
        <v>730000</v>
      </c>
      <c r="AG148" s="26">
        <v>730000</v>
      </c>
      <c r="AH148" s="26">
        <v>730000</v>
      </c>
      <c r="AI148" s="26">
        <v>730000</v>
      </c>
      <c r="AJ148" s="26">
        <v>730000</v>
      </c>
      <c r="AK148" s="26">
        <v>730000</v>
      </c>
      <c r="AL148" s="26">
        <v>730000</v>
      </c>
      <c r="AM148" s="26">
        <v>730000</v>
      </c>
      <c r="AN148" s="26">
        <v>730000</v>
      </c>
      <c r="AO148" s="26">
        <v>730000</v>
      </c>
      <c r="AP148" s="26">
        <v>730000</v>
      </c>
      <c r="AQ148" s="26">
        <v>730000</v>
      </c>
      <c r="AR148" s="26">
        <v>500000</v>
      </c>
      <c r="AS148" s="26">
        <v>500000</v>
      </c>
      <c r="AT148" s="26">
        <v>500000</v>
      </c>
      <c r="AU148" s="26">
        <v>500000</v>
      </c>
      <c r="AV148" s="26">
        <v>500000</v>
      </c>
      <c r="AW148" s="26">
        <v>500000</v>
      </c>
      <c r="AX148" s="26">
        <v>500000</v>
      </c>
      <c r="AY148" s="26">
        <v>500000</v>
      </c>
      <c r="AZ148" s="26">
        <v>500000</v>
      </c>
      <c r="BA148" s="26">
        <v>500000</v>
      </c>
      <c r="BB148" s="26">
        <v>500000</v>
      </c>
      <c r="BC148" s="26">
        <v>500000</v>
      </c>
      <c r="BD148" s="26">
        <v>0</v>
      </c>
      <c r="BE148" s="26">
        <v>0</v>
      </c>
      <c r="BF148" s="26">
        <v>0</v>
      </c>
      <c r="BG148" s="26">
        <v>0</v>
      </c>
      <c r="BH148" s="26">
        <v>0</v>
      </c>
      <c r="BI148" s="26">
        <v>0</v>
      </c>
      <c r="BJ148" s="26">
        <v>0</v>
      </c>
      <c r="BK148" s="26">
        <v>0</v>
      </c>
      <c r="BL148" s="26">
        <v>0</v>
      </c>
      <c r="BM148" s="26">
        <v>0</v>
      </c>
      <c r="BN148" s="26">
        <v>0</v>
      </c>
      <c r="BO148" s="26">
        <v>0</v>
      </c>
      <c r="BP148" s="26">
        <v>1200000</v>
      </c>
      <c r="BQ148" s="26">
        <v>1200000</v>
      </c>
      <c r="BR148" s="26">
        <v>1200000</v>
      </c>
      <c r="BS148" s="26">
        <v>1200000</v>
      </c>
      <c r="BT148" s="26">
        <v>1200000</v>
      </c>
      <c r="BU148" s="26">
        <v>1200000</v>
      </c>
      <c r="BV148" s="26">
        <v>1200000</v>
      </c>
      <c r="BW148" s="26">
        <v>1200000</v>
      </c>
      <c r="BX148" s="26">
        <v>1200000</v>
      </c>
      <c r="BY148" s="26">
        <v>1200000</v>
      </c>
      <c r="BZ148" s="26">
        <v>1200000</v>
      </c>
      <c r="CA148" s="26">
        <v>1200000</v>
      </c>
      <c r="CB148" s="26">
        <v>3500000</v>
      </c>
      <c r="CC148" s="26">
        <v>3500000</v>
      </c>
      <c r="CD148" s="26">
        <v>3500000</v>
      </c>
      <c r="CE148" s="26">
        <v>3500000</v>
      </c>
      <c r="CF148" s="26">
        <v>3500000</v>
      </c>
      <c r="CG148" s="26">
        <v>3500000</v>
      </c>
      <c r="CH148" s="26">
        <v>3500000</v>
      </c>
      <c r="CI148" s="26">
        <v>3500000</v>
      </c>
      <c r="CJ148" s="26">
        <v>3500000</v>
      </c>
      <c r="CK148" s="26">
        <v>3500000</v>
      </c>
      <c r="CL148" s="26">
        <v>3500000</v>
      </c>
      <c r="CM148" s="26">
        <v>3500000</v>
      </c>
      <c r="CN148" s="26">
        <v>5050000</v>
      </c>
      <c r="CO148" s="26">
        <v>21</v>
      </c>
      <c r="CP148" s="26">
        <v>5050000</v>
      </c>
      <c r="CQ148" s="26">
        <v>730000</v>
      </c>
      <c r="CR148" s="26">
        <v>500000</v>
      </c>
      <c r="CS148" s="26">
        <v>1200000</v>
      </c>
      <c r="CT148" s="26">
        <v>3500000</v>
      </c>
      <c r="CU148" s="26">
        <v>5930000</v>
      </c>
    </row>
    <row r="149" spans="1:99" x14ac:dyDescent="0.3">
      <c r="A149" s="26">
        <v>13</v>
      </c>
      <c r="B149" s="27" t="s">
        <v>51</v>
      </c>
      <c r="C149" s="27" t="s">
        <v>52</v>
      </c>
      <c r="D149" s="27" t="s">
        <v>26</v>
      </c>
      <c r="E149" s="27" t="s">
        <v>27</v>
      </c>
      <c r="H149" s="26">
        <v>5050000</v>
      </c>
      <c r="I149" s="26">
        <v>5050000</v>
      </c>
      <c r="J149" s="26">
        <v>5050000</v>
      </c>
      <c r="K149" s="26">
        <v>5050000</v>
      </c>
      <c r="L149" s="26">
        <v>5050000</v>
      </c>
      <c r="M149" s="26">
        <v>5050000</v>
      </c>
      <c r="N149" s="26">
        <v>5050000</v>
      </c>
      <c r="O149" s="26">
        <v>5050000</v>
      </c>
      <c r="P149" s="26">
        <v>5050000</v>
      </c>
      <c r="Q149" s="26">
        <v>5050000</v>
      </c>
      <c r="R149" s="26">
        <v>5050000</v>
      </c>
      <c r="S149" s="26">
        <v>5050000</v>
      </c>
      <c r="U149" s="26">
        <v>5050000</v>
      </c>
      <c r="V149" s="26">
        <v>5050000</v>
      </c>
      <c r="W149" s="26">
        <v>5050000</v>
      </c>
      <c r="X149" s="26">
        <v>5050000</v>
      </c>
      <c r="Y149" s="26">
        <v>5050000</v>
      </c>
      <c r="Z149" s="26">
        <v>5050000</v>
      </c>
      <c r="AA149" s="26">
        <v>5050000</v>
      </c>
      <c r="AB149" s="26">
        <v>5050000</v>
      </c>
      <c r="AC149" s="26">
        <v>5050000</v>
      </c>
      <c r="AD149" s="26">
        <v>5050000</v>
      </c>
      <c r="AE149" s="26">
        <v>5050000</v>
      </c>
      <c r="AF149" s="26">
        <v>730000</v>
      </c>
      <c r="AG149" s="26">
        <v>730000</v>
      </c>
      <c r="AH149" s="26">
        <v>730000</v>
      </c>
      <c r="AI149" s="26">
        <v>730000</v>
      </c>
      <c r="AJ149" s="26">
        <v>730000</v>
      </c>
      <c r="AK149" s="26">
        <v>730000</v>
      </c>
      <c r="AL149" s="26">
        <v>730000</v>
      </c>
      <c r="AM149" s="26">
        <v>730000</v>
      </c>
      <c r="AN149" s="26">
        <v>730000</v>
      </c>
      <c r="AO149" s="26">
        <v>730000</v>
      </c>
      <c r="AP149" s="26">
        <v>730000</v>
      </c>
      <c r="AQ149" s="26">
        <v>730000</v>
      </c>
      <c r="AR149" s="26">
        <v>500000</v>
      </c>
      <c r="AS149" s="26">
        <v>500000</v>
      </c>
      <c r="AT149" s="26">
        <v>500000</v>
      </c>
      <c r="AU149" s="26">
        <v>500000</v>
      </c>
      <c r="AV149" s="26">
        <v>500000</v>
      </c>
      <c r="AW149" s="26">
        <v>500000</v>
      </c>
      <c r="AX149" s="26">
        <v>500000</v>
      </c>
      <c r="AY149" s="26">
        <v>500000</v>
      </c>
      <c r="AZ149" s="26">
        <v>500000</v>
      </c>
      <c r="BA149" s="26">
        <v>500000</v>
      </c>
      <c r="BB149" s="26">
        <v>500000</v>
      </c>
      <c r="BC149" s="26">
        <v>500000</v>
      </c>
      <c r="BD149" s="26">
        <v>0</v>
      </c>
      <c r="BE149" s="26">
        <v>0</v>
      </c>
      <c r="BF149" s="26">
        <v>0</v>
      </c>
      <c r="BG149" s="26">
        <v>0</v>
      </c>
      <c r="BH149" s="26">
        <v>0</v>
      </c>
      <c r="BI149" s="26">
        <v>0</v>
      </c>
      <c r="BJ149" s="26">
        <v>0</v>
      </c>
      <c r="BK149" s="26">
        <v>0</v>
      </c>
      <c r="BL149" s="26">
        <v>0</v>
      </c>
      <c r="BM149" s="26">
        <v>0</v>
      </c>
      <c r="BN149" s="26">
        <v>0</v>
      </c>
      <c r="BO149" s="26">
        <v>0</v>
      </c>
      <c r="BP149" s="26">
        <v>1200000</v>
      </c>
      <c r="BQ149" s="26">
        <v>1200000</v>
      </c>
      <c r="BR149" s="26">
        <v>1200000</v>
      </c>
      <c r="BS149" s="26">
        <v>1200000</v>
      </c>
      <c r="BT149" s="26">
        <v>1200000</v>
      </c>
      <c r="BU149" s="26">
        <v>1200000</v>
      </c>
      <c r="BV149" s="26">
        <v>1200000</v>
      </c>
      <c r="BW149" s="26">
        <v>1200000</v>
      </c>
      <c r="BX149" s="26">
        <v>1200000</v>
      </c>
      <c r="BY149" s="26">
        <v>1200000</v>
      </c>
      <c r="BZ149" s="26">
        <v>1200000</v>
      </c>
      <c r="CA149" s="26">
        <v>1200000</v>
      </c>
      <c r="CB149" s="26">
        <v>3500000</v>
      </c>
      <c r="CC149" s="26">
        <v>3500000</v>
      </c>
      <c r="CD149" s="26">
        <v>3500000</v>
      </c>
      <c r="CE149" s="26">
        <v>3500000</v>
      </c>
      <c r="CF149" s="26">
        <v>3500000</v>
      </c>
      <c r="CG149" s="26">
        <v>3500000</v>
      </c>
      <c r="CH149" s="26">
        <v>3500000</v>
      </c>
      <c r="CI149" s="26">
        <v>3500000</v>
      </c>
      <c r="CJ149" s="26">
        <v>3500000</v>
      </c>
      <c r="CK149" s="26">
        <v>3500000</v>
      </c>
      <c r="CL149" s="26">
        <v>3500000</v>
      </c>
      <c r="CM149" s="26">
        <v>3500000</v>
      </c>
      <c r="CN149" s="26">
        <v>5050000</v>
      </c>
      <c r="CO149" s="26">
        <v>22</v>
      </c>
      <c r="CP149" s="26">
        <v>5050000</v>
      </c>
      <c r="CQ149" s="26">
        <v>730000</v>
      </c>
      <c r="CR149" s="26">
        <v>500000</v>
      </c>
      <c r="CS149" s="26">
        <v>1200000</v>
      </c>
      <c r="CT149" s="26">
        <v>3500000</v>
      </c>
      <c r="CU149" s="26">
        <v>5930000</v>
      </c>
    </row>
    <row r="150" spans="1:99" x14ac:dyDescent="0.3">
      <c r="A150" s="26">
        <v>13</v>
      </c>
      <c r="B150" s="27" t="s">
        <v>51</v>
      </c>
      <c r="C150" s="27" t="s">
        <v>52</v>
      </c>
      <c r="D150" s="27" t="s">
        <v>26</v>
      </c>
      <c r="E150" s="27" t="s">
        <v>27</v>
      </c>
      <c r="H150" s="26">
        <v>5050000</v>
      </c>
      <c r="I150" s="26">
        <v>5050000</v>
      </c>
      <c r="J150" s="26">
        <v>5050000</v>
      </c>
      <c r="K150" s="26">
        <v>5050000</v>
      </c>
      <c r="L150" s="26">
        <v>5050000</v>
      </c>
      <c r="M150" s="26">
        <v>5050000</v>
      </c>
      <c r="N150" s="26">
        <v>5050000</v>
      </c>
      <c r="O150" s="26">
        <v>5050000</v>
      </c>
      <c r="P150" s="26">
        <v>5050000</v>
      </c>
      <c r="Q150" s="26">
        <v>5050000</v>
      </c>
      <c r="R150" s="26">
        <v>5050000</v>
      </c>
      <c r="S150" s="26">
        <v>5050000</v>
      </c>
      <c r="U150" s="26">
        <v>5050000</v>
      </c>
      <c r="V150" s="26">
        <v>5050000</v>
      </c>
      <c r="W150" s="26">
        <v>5050000</v>
      </c>
      <c r="X150" s="26">
        <v>5050000</v>
      </c>
      <c r="Y150" s="26">
        <v>5050000</v>
      </c>
      <c r="Z150" s="26">
        <v>5050000</v>
      </c>
      <c r="AA150" s="26">
        <v>5050000</v>
      </c>
      <c r="AB150" s="26">
        <v>5050000</v>
      </c>
      <c r="AC150" s="26">
        <v>5050000</v>
      </c>
      <c r="AD150" s="26">
        <v>5050000</v>
      </c>
      <c r="AE150" s="26">
        <v>5050000</v>
      </c>
      <c r="AF150" s="26">
        <v>730000</v>
      </c>
      <c r="AG150" s="26">
        <v>730000</v>
      </c>
      <c r="AH150" s="26">
        <v>730000</v>
      </c>
      <c r="AI150" s="26">
        <v>730000</v>
      </c>
      <c r="AJ150" s="26">
        <v>730000</v>
      </c>
      <c r="AK150" s="26">
        <v>730000</v>
      </c>
      <c r="AL150" s="26">
        <v>730000</v>
      </c>
      <c r="AM150" s="26">
        <v>730000</v>
      </c>
      <c r="AN150" s="26">
        <v>730000</v>
      </c>
      <c r="AO150" s="26">
        <v>730000</v>
      </c>
      <c r="AP150" s="26">
        <v>730000</v>
      </c>
      <c r="AQ150" s="26">
        <v>730000</v>
      </c>
      <c r="AR150" s="26">
        <v>500000</v>
      </c>
      <c r="AS150" s="26">
        <v>500000</v>
      </c>
      <c r="AT150" s="26">
        <v>500000</v>
      </c>
      <c r="AU150" s="26">
        <v>500000</v>
      </c>
      <c r="AV150" s="26">
        <v>500000</v>
      </c>
      <c r="AW150" s="26">
        <v>500000</v>
      </c>
      <c r="AX150" s="26">
        <v>500000</v>
      </c>
      <c r="AY150" s="26">
        <v>500000</v>
      </c>
      <c r="AZ150" s="26">
        <v>500000</v>
      </c>
      <c r="BA150" s="26">
        <v>500000</v>
      </c>
      <c r="BB150" s="26">
        <v>500000</v>
      </c>
      <c r="BC150" s="26">
        <v>500000</v>
      </c>
      <c r="BD150" s="26">
        <v>0</v>
      </c>
      <c r="BE150" s="26">
        <v>0</v>
      </c>
      <c r="BF150" s="26">
        <v>0</v>
      </c>
      <c r="BG150" s="26">
        <v>0</v>
      </c>
      <c r="BH150" s="26">
        <v>0</v>
      </c>
      <c r="BI150" s="26">
        <v>0</v>
      </c>
      <c r="BJ150" s="26">
        <v>0</v>
      </c>
      <c r="BK150" s="26">
        <v>0</v>
      </c>
      <c r="BL150" s="26">
        <v>0</v>
      </c>
      <c r="BM150" s="26">
        <v>0</v>
      </c>
      <c r="BN150" s="26">
        <v>0</v>
      </c>
      <c r="BO150" s="26">
        <v>0</v>
      </c>
      <c r="BP150" s="26">
        <v>1200000</v>
      </c>
      <c r="BQ150" s="26">
        <v>1200000</v>
      </c>
      <c r="BR150" s="26">
        <v>1200000</v>
      </c>
      <c r="BS150" s="26">
        <v>1200000</v>
      </c>
      <c r="BT150" s="26">
        <v>1200000</v>
      </c>
      <c r="BU150" s="26">
        <v>1200000</v>
      </c>
      <c r="BV150" s="26">
        <v>1200000</v>
      </c>
      <c r="BW150" s="26">
        <v>1200000</v>
      </c>
      <c r="BX150" s="26">
        <v>1200000</v>
      </c>
      <c r="BY150" s="26">
        <v>1200000</v>
      </c>
      <c r="BZ150" s="26">
        <v>1200000</v>
      </c>
      <c r="CA150" s="26">
        <v>1200000</v>
      </c>
      <c r="CB150" s="26">
        <v>3500000</v>
      </c>
      <c r="CC150" s="26">
        <v>3500000</v>
      </c>
      <c r="CD150" s="26">
        <v>3500000</v>
      </c>
      <c r="CE150" s="26">
        <v>3500000</v>
      </c>
      <c r="CF150" s="26">
        <v>3500000</v>
      </c>
      <c r="CG150" s="26">
        <v>3500000</v>
      </c>
      <c r="CH150" s="26">
        <v>3500000</v>
      </c>
      <c r="CI150" s="26">
        <v>3500000</v>
      </c>
      <c r="CJ150" s="26">
        <v>3500000</v>
      </c>
      <c r="CK150" s="26">
        <v>3500000</v>
      </c>
      <c r="CL150" s="26">
        <v>3500000</v>
      </c>
      <c r="CM150" s="26">
        <v>3500000</v>
      </c>
      <c r="CN150" s="26">
        <v>5050000</v>
      </c>
      <c r="CO150" s="26">
        <v>23</v>
      </c>
      <c r="CP150" s="26">
        <v>5050000</v>
      </c>
      <c r="CQ150" s="26">
        <v>730000</v>
      </c>
      <c r="CR150" s="26">
        <v>500000</v>
      </c>
      <c r="CS150" s="26">
        <v>1200000</v>
      </c>
      <c r="CT150" s="26">
        <v>3500000</v>
      </c>
      <c r="CU150" s="26">
        <v>5930000</v>
      </c>
    </row>
    <row r="151" spans="1:99" x14ac:dyDescent="0.3">
      <c r="A151" s="26">
        <v>13</v>
      </c>
      <c r="B151" s="27" t="s">
        <v>51</v>
      </c>
      <c r="C151" s="27" t="s">
        <v>52</v>
      </c>
      <c r="D151" s="27" t="s">
        <v>26</v>
      </c>
      <c r="E151" s="27" t="s">
        <v>27</v>
      </c>
      <c r="H151" s="26">
        <v>5050000</v>
      </c>
      <c r="I151" s="26">
        <v>5050000</v>
      </c>
      <c r="J151" s="26">
        <v>5050000</v>
      </c>
      <c r="K151" s="26">
        <v>5050000</v>
      </c>
      <c r="L151" s="26">
        <v>5050000</v>
      </c>
      <c r="M151" s="26">
        <v>5050000</v>
      </c>
      <c r="N151" s="26">
        <v>5050000</v>
      </c>
      <c r="O151" s="26">
        <v>5050000</v>
      </c>
      <c r="P151" s="26">
        <v>5050000</v>
      </c>
      <c r="Q151" s="26">
        <v>5050000</v>
      </c>
      <c r="R151" s="26">
        <v>5050000</v>
      </c>
      <c r="S151" s="26">
        <v>5050000</v>
      </c>
      <c r="U151" s="26">
        <v>5050000</v>
      </c>
      <c r="V151" s="26">
        <v>5050000</v>
      </c>
      <c r="W151" s="26">
        <v>5050000</v>
      </c>
      <c r="X151" s="26">
        <v>5050000</v>
      </c>
      <c r="Y151" s="26">
        <v>5050000</v>
      </c>
      <c r="Z151" s="26">
        <v>5050000</v>
      </c>
      <c r="AA151" s="26">
        <v>5050000</v>
      </c>
      <c r="AB151" s="26">
        <v>5050000</v>
      </c>
      <c r="AC151" s="26">
        <v>5050000</v>
      </c>
      <c r="AD151" s="26">
        <v>5050000</v>
      </c>
      <c r="AE151" s="26">
        <v>5050000</v>
      </c>
      <c r="AF151" s="26">
        <v>730000</v>
      </c>
      <c r="AG151" s="26">
        <v>730000</v>
      </c>
      <c r="AH151" s="26">
        <v>730000</v>
      </c>
      <c r="AI151" s="26">
        <v>730000</v>
      </c>
      <c r="AJ151" s="26">
        <v>730000</v>
      </c>
      <c r="AK151" s="26">
        <v>730000</v>
      </c>
      <c r="AL151" s="26">
        <v>730000</v>
      </c>
      <c r="AM151" s="26">
        <v>730000</v>
      </c>
      <c r="AN151" s="26">
        <v>730000</v>
      </c>
      <c r="AO151" s="26">
        <v>730000</v>
      </c>
      <c r="AP151" s="26">
        <v>730000</v>
      </c>
      <c r="AQ151" s="26">
        <v>730000</v>
      </c>
      <c r="AR151" s="26">
        <v>500000</v>
      </c>
      <c r="AS151" s="26">
        <v>500000</v>
      </c>
      <c r="AT151" s="26">
        <v>500000</v>
      </c>
      <c r="AU151" s="26">
        <v>500000</v>
      </c>
      <c r="AV151" s="26">
        <v>500000</v>
      </c>
      <c r="AW151" s="26">
        <v>500000</v>
      </c>
      <c r="AX151" s="26">
        <v>500000</v>
      </c>
      <c r="AY151" s="26">
        <v>500000</v>
      </c>
      <c r="AZ151" s="26">
        <v>500000</v>
      </c>
      <c r="BA151" s="26">
        <v>500000</v>
      </c>
      <c r="BB151" s="26">
        <v>500000</v>
      </c>
      <c r="BC151" s="26">
        <v>500000</v>
      </c>
      <c r="BD151" s="26">
        <v>0</v>
      </c>
      <c r="BE151" s="26">
        <v>0</v>
      </c>
      <c r="BF151" s="26">
        <v>0</v>
      </c>
      <c r="BG151" s="26">
        <v>0</v>
      </c>
      <c r="BH151" s="26">
        <v>0</v>
      </c>
      <c r="BI151" s="26">
        <v>0</v>
      </c>
      <c r="BJ151" s="26">
        <v>0</v>
      </c>
      <c r="BK151" s="26">
        <v>0</v>
      </c>
      <c r="BL151" s="26">
        <v>0</v>
      </c>
      <c r="BM151" s="26">
        <v>0</v>
      </c>
      <c r="BN151" s="26">
        <v>0</v>
      </c>
      <c r="BO151" s="26">
        <v>0</v>
      </c>
      <c r="BP151" s="26">
        <v>1200000</v>
      </c>
      <c r="BQ151" s="26">
        <v>1200000</v>
      </c>
      <c r="BR151" s="26">
        <v>1200000</v>
      </c>
      <c r="BS151" s="26">
        <v>1200000</v>
      </c>
      <c r="BT151" s="26">
        <v>1200000</v>
      </c>
      <c r="BU151" s="26">
        <v>1200000</v>
      </c>
      <c r="BV151" s="26">
        <v>1200000</v>
      </c>
      <c r="BW151" s="26">
        <v>1200000</v>
      </c>
      <c r="BX151" s="26">
        <v>1200000</v>
      </c>
      <c r="BY151" s="26">
        <v>1200000</v>
      </c>
      <c r="BZ151" s="26">
        <v>1200000</v>
      </c>
      <c r="CA151" s="26">
        <v>1200000</v>
      </c>
      <c r="CB151" s="26">
        <v>3500000</v>
      </c>
      <c r="CC151" s="26">
        <v>3500000</v>
      </c>
      <c r="CD151" s="26">
        <v>3500000</v>
      </c>
      <c r="CE151" s="26">
        <v>3500000</v>
      </c>
      <c r="CF151" s="26">
        <v>3500000</v>
      </c>
      <c r="CG151" s="26">
        <v>3500000</v>
      </c>
      <c r="CH151" s="26">
        <v>3500000</v>
      </c>
      <c r="CI151" s="26">
        <v>3500000</v>
      </c>
      <c r="CJ151" s="26">
        <v>3500000</v>
      </c>
      <c r="CK151" s="26">
        <v>3500000</v>
      </c>
      <c r="CL151" s="26">
        <v>3500000</v>
      </c>
      <c r="CM151" s="26">
        <v>3500000</v>
      </c>
      <c r="CN151" s="26">
        <v>5050000</v>
      </c>
      <c r="CO151" s="26">
        <v>22</v>
      </c>
      <c r="CP151" s="26">
        <v>5050000</v>
      </c>
      <c r="CQ151" s="26">
        <v>730000</v>
      </c>
      <c r="CR151" s="26">
        <v>500000</v>
      </c>
      <c r="CS151" s="26">
        <v>1200000</v>
      </c>
      <c r="CT151" s="26">
        <v>3500000</v>
      </c>
      <c r="CU151" s="26">
        <v>5930000</v>
      </c>
    </row>
    <row r="152" spans="1:99" x14ac:dyDescent="0.3">
      <c r="A152" s="26">
        <v>13</v>
      </c>
      <c r="B152" s="27" t="s">
        <v>51</v>
      </c>
      <c r="C152" s="27" t="s">
        <v>52</v>
      </c>
      <c r="D152" s="27" t="s">
        <v>26</v>
      </c>
      <c r="E152" s="27" t="s">
        <v>27</v>
      </c>
      <c r="H152" s="26">
        <v>5050000</v>
      </c>
      <c r="I152" s="26">
        <v>5050000</v>
      </c>
      <c r="J152" s="26">
        <v>5050000</v>
      </c>
      <c r="K152" s="26">
        <v>5050000</v>
      </c>
      <c r="L152" s="26">
        <v>5050000</v>
      </c>
      <c r="M152" s="26">
        <v>5050000</v>
      </c>
      <c r="N152" s="26">
        <v>5050000</v>
      </c>
      <c r="O152" s="26">
        <v>5050000</v>
      </c>
      <c r="P152" s="26">
        <v>5050000</v>
      </c>
      <c r="Q152" s="26">
        <v>5050000</v>
      </c>
      <c r="R152" s="26">
        <v>5050000</v>
      </c>
      <c r="S152" s="26">
        <v>5050000</v>
      </c>
      <c r="U152" s="26">
        <v>5050000</v>
      </c>
      <c r="V152" s="26">
        <v>5050000</v>
      </c>
      <c r="W152" s="26">
        <v>5050000</v>
      </c>
      <c r="X152" s="26">
        <v>5050000</v>
      </c>
      <c r="Y152" s="26">
        <v>5050000</v>
      </c>
      <c r="Z152" s="26">
        <v>5050000</v>
      </c>
      <c r="AA152" s="26">
        <v>5050000</v>
      </c>
      <c r="AB152" s="26">
        <v>5050000</v>
      </c>
      <c r="AC152" s="26">
        <v>5050000</v>
      </c>
      <c r="AD152" s="26">
        <v>5050000</v>
      </c>
      <c r="AE152" s="26">
        <v>5050000</v>
      </c>
      <c r="AF152" s="26">
        <v>730000</v>
      </c>
      <c r="AG152" s="26">
        <v>730000</v>
      </c>
      <c r="AH152" s="26">
        <v>730000</v>
      </c>
      <c r="AI152" s="26">
        <v>730000</v>
      </c>
      <c r="AJ152" s="26">
        <v>730000</v>
      </c>
      <c r="AK152" s="26">
        <v>730000</v>
      </c>
      <c r="AL152" s="26">
        <v>730000</v>
      </c>
      <c r="AM152" s="26">
        <v>730000</v>
      </c>
      <c r="AN152" s="26">
        <v>730000</v>
      </c>
      <c r="AO152" s="26">
        <v>730000</v>
      </c>
      <c r="AP152" s="26">
        <v>730000</v>
      </c>
      <c r="AQ152" s="26">
        <v>730000</v>
      </c>
      <c r="AR152" s="26">
        <v>500000</v>
      </c>
      <c r="AS152" s="26">
        <v>500000</v>
      </c>
      <c r="AT152" s="26">
        <v>500000</v>
      </c>
      <c r="AU152" s="26">
        <v>500000</v>
      </c>
      <c r="AV152" s="26">
        <v>500000</v>
      </c>
      <c r="AW152" s="26">
        <v>500000</v>
      </c>
      <c r="AX152" s="26">
        <v>500000</v>
      </c>
      <c r="AY152" s="26">
        <v>500000</v>
      </c>
      <c r="AZ152" s="26">
        <v>500000</v>
      </c>
      <c r="BA152" s="26">
        <v>500000</v>
      </c>
      <c r="BB152" s="26">
        <v>500000</v>
      </c>
      <c r="BC152" s="26">
        <v>500000</v>
      </c>
      <c r="BD152" s="26">
        <v>0</v>
      </c>
      <c r="BE152" s="26">
        <v>0</v>
      </c>
      <c r="BF152" s="26">
        <v>0</v>
      </c>
      <c r="BG152" s="26">
        <v>0</v>
      </c>
      <c r="BH152" s="26">
        <v>0</v>
      </c>
      <c r="BI152" s="26">
        <v>0</v>
      </c>
      <c r="BJ152" s="26">
        <v>0</v>
      </c>
      <c r="BK152" s="26">
        <v>0</v>
      </c>
      <c r="BL152" s="26">
        <v>0</v>
      </c>
      <c r="BM152" s="26">
        <v>0</v>
      </c>
      <c r="BN152" s="26">
        <v>0</v>
      </c>
      <c r="BO152" s="26">
        <v>0</v>
      </c>
      <c r="BP152" s="26">
        <v>1200000</v>
      </c>
      <c r="BQ152" s="26">
        <v>1200000</v>
      </c>
      <c r="BR152" s="26">
        <v>1200000</v>
      </c>
      <c r="BS152" s="26">
        <v>1200000</v>
      </c>
      <c r="BT152" s="26">
        <v>1200000</v>
      </c>
      <c r="BU152" s="26">
        <v>1200000</v>
      </c>
      <c r="BV152" s="26">
        <v>1200000</v>
      </c>
      <c r="BW152" s="26">
        <v>1200000</v>
      </c>
      <c r="BX152" s="26">
        <v>1200000</v>
      </c>
      <c r="BY152" s="26">
        <v>1200000</v>
      </c>
      <c r="BZ152" s="26">
        <v>1200000</v>
      </c>
      <c r="CA152" s="26">
        <v>1200000</v>
      </c>
      <c r="CB152" s="26">
        <v>3500000</v>
      </c>
      <c r="CC152" s="26">
        <v>3500000</v>
      </c>
      <c r="CD152" s="26">
        <v>3500000</v>
      </c>
      <c r="CE152" s="26">
        <v>3500000</v>
      </c>
      <c r="CF152" s="26">
        <v>3500000</v>
      </c>
      <c r="CG152" s="26">
        <v>3500000</v>
      </c>
      <c r="CH152" s="26">
        <v>3500000</v>
      </c>
      <c r="CI152" s="26">
        <v>3500000</v>
      </c>
      <c r="CJ152" s="26">
        <v>3500000</v>
      </c>
      <c r="CK152" s="26">
        <v>3500000</v>
      </c>
      <c r="CL152" s="26">
        <v>3500000</v>
      </c>
      <c r="CM152" s="26">
        <v>3500000</v>
      </c>
      <c r="CN152" s="26">
        <v>5050000</v>
      </c>
      <c r="CO152" s="26">
        <v>20</v>
      </c>
      <c r="CP152" s="26">
        <v>5050000</v>
      </c>
      <c r="CQ152" s="26">
        <v>730000</v>
      </c>
      <c r="CR152" s="26">
        <v>500000</v>
      </c>
      <c r="CS152" s="26">
        <v>1200000</v>
      </c>
      <c r="CT152" s="26">
        <v>3500000</v>
      </c>
      <c r="CU152" s="26">
        <v>5930000</v>
      </c>
    </row>
    <row r="153" spans="1:99" x14ac:dyDescent="0.3">
      <c r="A153" s="26">
        <v>13</v>
      </c>
      <c r="B153" s="27" t="s">
        <v>51</v>
      </c>
      <c r="C153" s="27" t="s">
        <v>52</v>
      </c>
      <c r="D153" s="27" t="s">
        <v>26</v>
      </c>
      <c r="E153" s="27" t="s">
        <v>27</v>
      </c>
      <c r="H153" s="26">
        <v>5050000</v>
      </c>
      <c r="I153" s="26">
        <v>5050000</v>
      </c>
      <c r="J153" s="26">
        <v>5050000</v>
      </c>
      <c r="K153" s="26">
        <v>5050000</v>
      </c>
      <c r="L153" s="26">
        <v>5050000</v>
      </c>
      <c r="M153" s="26">
        <v>5050000</v>
      </c>
      <c r="N153" s="26">
        <v>5050000</v>
      </c>
      <c r="O153" s="26">
        <v>5050000</v>
      </c>
      <c r="P153" s="26">
        <v>5050000</v>
      </c>
      <c r="Q153" s="26">
        <v>5050000</v>
      </c>
      <c r="R153" s="26">
        <v>5050000</v>
      </c>
      <c r="S153" s="26">
        <v>5050000</v>
      </c>
      <c r="U153" s="26">
        <v>5050000</v>
      </c>
      <c r="V153" s="26">
        <v>5050000</v>
      </c>
      <c r="W153" s="26">
        <v>5050000</v>
      </c>
      <c r="X153" s="26">
        <v>5050000</v>
      </c>
      <c r="Y153" s="26">
        <v>5050000</v>
      </c>
      <c r="Z153" s="26">
        <v>5050000</v>
      </c>
      <c r="AA153" s="26">
        <v>5050000</v>
      </c>
      <c r="AB153" s="26">
        <v>5050000</v>
      </c>
      <c r="AC153" s="26">
        <v>5050000</v>
      </c>
      <c r="AD153" s="26">
        <v>5050000</v>
      </c>
      <c r="AE153" s="26">
        <v>5050000</v>
      </c>
      <c r="AF153" s="26">
        <v>730000</v>
      </c>
      <c r="AG153" s="26">
        <v>730000</v>
      </c>
      <c r="AH153" s="26">
        <v>730000</v>
      </c>
      <c r="AI153" s="26">
        <v>730000</v>
      </c>
      <c r="AJ153" s="26">
        <v>730000</v>
      </c>
      <c r="AK153" s="26">
        <v>730000</v>
      </c>
      <c r="AL153" s="26">
        <v>730000</v>
      </c>
      <c r="AM153" s="26">
        <v>730000</v>
      </c>
      <c r="AN153" s="26">
        <v>730000</v>
      </c>
      <c r="AO153" s="26">
        <v>730000</v>
      </c>
      <c r="AP153" s="26">
        <v>730000</v>
      </c>
      <c r="AQ153" s="26">
        <v>730000</v>
      </c>
      <c r="AR153" s="26">
        <v>500000</v>
      </c>
      <c r="AS153" s="26">
        <v>500000</v>
      </c>
      <c r="AT153" s="26">
        <v>500000</v>
      </c>
      <c r="AU153" s="26">
        <v>500000</v>
      </c>
      <c r="AV153" s="26">
        <v>500000</v>
      </c>
      <c r="AW153" s="26">
        <v>500000</v>
      </c>
      <c r="AX153" s="26">
        <v>500000</v>
      </c>
      <c r="AY153" s="26">
        <v>500000</v>
      </c>
      <c r="AZ153" s="26">
        <v>500000</v>
      </c>
      <c r="BA153" s="26">
        <v>500000</v>
      </c>
      <c r="BB153" s="26">
        <v>500000</v>
      </c>
      <c r="BC153" s="26">
        <v>500000</v>
      </c>
      <c r="BD153" s="26">
        <v>0</v>
      </c>
      <c r="BE153" s="26">
        <v>0</v>
      </c>
      <c r="BF153" s="26">
        <v>0</v>
      </c>
      <c r="BG153" s="26">
        <v>0</v>
      </c>
      <c r="BH153" s="26">
        <v>0</v>
      </c>
      <c r="BI153" s="26">
        <v>0</v>
      </c>
      <c r="BJ153" s="26">
        <v>0</v>
      </c>
      <c r="BK153" s="26">
        <v>0</v>
      </c>
      <c r="BL153" s="26">
        <v>0</v>
      </c>
      <c r="BM153" s="26">
        <v>0</v>
      </c>
      <c r="BN153" s="26">
        <v>0</v>
      </c>
      <c r="BO153" s="26">
        <v>0</v>
      </c>
      <c r="BP153" s="26">
        <v>1200000</v>
      </c>
      <c r="BQ153" s="26">
        <v>1200000</v>
      </c>
      <c r="BR153" s="26">
        <v>1200000</v>
      </c>
      <c r="BS153" s="26">
        <v>1200000</v>
      </c>
      <c r="BT153" s="26">
        <v>1200000</v>
      </c>
      <c r="BU153" s="26">
        <v>1200000</v>
      </c>
      <c r="BV153" s="26">
        <v>1200000</v>
      </c>
      <c r="BW153" s="26">
        <v>1200000</v>
      </c>
      <c r="BX153" s="26">
        <v>1200000</v>
      </c>
      <c r="BY153" s="26">
        <v>1200000</v>
      </c>
      <c r="BZ153" s="26">
        <v>1200000</v>
      </c>
      <c r="CA153" s="26">
        <v>1200000</v>
      </c>
      <c r="CB153" s="26">
        <v>3500000</v>
      </c>
      <c r="CC153" s="26">
        <v>3500000</v>
      </c>
      <c r="CD153" s="26">
        <v>3500000</v>
      </c>
      <c r="CE153" s="26">
        <v>3500000</v>
      </c>
      <c r="CF153" s="26">
        <v>3500000</v>
      </c>
      <c r="CG153" s="26">
        <v>3500000</v>
      </c>
      <c r="CH153" s="26">
        <v>3500000</v>
      </c>
      <c r="CI153" s="26">
        <v>3500000</v>
      </c>
      <c r="CJ153" s="26">
        <v>3500000</v>
      </c>
      <c r="CK153" s="26">
        <v>3500000</v>
      </c>
      <c r="CL153" s="26">
        <v>3500000</v>
      </c>
      <c r="CM153" s="26">
        <v>3500000</v>
      </c>
      <c r="CN153" s="26">
        <v>5050000</v>
      </c>
      <c r="CO153" s="26">
        <v>21</v>
      </c>
      <c r="CP153" s="26">
        <v>5050000</v>
      </c>
      <c r="CQ153" s="26">
        <v>730000</v>
      </c>
      <c r="CR153" s="26">
        <v>500000</v>
      </c>
      <c r="CS153" s="26">
        <v>1200000</v>
      </c>
      <c r="CT153" s="26">
        <v>3500000</v>
      </c>
      <c r="CU153" s="26">
        <v>5930000</v>
      </c>
    </row>
    <row r="154" spans="1:99" x14ac:dyDescent="0.3">
      <c r="A154" s="26">
        <v>13</v>
      </c>
      <c r="B154" s="27" t="s">
        <v>51</v>
      </c>
      <c r="C154" s="27" t="s">
        <v>52</v>
      </c>
      <c r="D154" s="27" t="s">
        <v>26</v>
      </c>
      <c r="E154" s="27" t="s">
        <v>27</v>
      </c>
      <c r="H154" s="26">
        <v>5050000</v>
      </c>
      <c r="I154" s="26">
        <v>5050000</v>
      </c>
      <c r="J154" s="26">
        <v>5050000</v>
      </c>
      <c r="K154" s="26">
        <v>5050000</v>
      </c>
      <c r="L154" s="26">
        <v>5050000</v>
      </c>
      <c r="M154" s="26">
        <v>5050000</v>
      </c>
      <c r="N154" s="26">
        <v>5050000</v>
      </c>
      <c r="O154" s="26">
        <v>5050000</v>
      </c>
      <c r="P154" s="26">
        <v>5050000</v>
      </c>
      <c r="Q154" s="26">
        <v>5050000</v>
      </c>
      <c r="R154" s="26">
        <v>5050000</v>
      </c>
      <c r="S154" s="26">
        <v>5050000</v>
      </c>
      <c r="U154" s="26">
        <v>5050000</v>
      </c>
      <c r="V154" s="26">
        <v>5050000</v>
      </c>
      <c r="W154" s="26">
        <v>5050000</v>
      </c>
      <c r="X154" s="26">
        <v>5050000</v>
      </c>
      <c r="Y154" s="26">
        <v>5050000</v>
      </c>
      <c r="Z154" s="26">
        <v>5050000</v>
      </c>
      <c r="AA154" s="26">
        <v>5050000</v>
      </c>
      <c r="AB154" s="26">
        <v>5050000</v>
      </c>
      <c r="AC154" s="26">
        <v>5050000</v>
      </c>
      <c r="AD154" s="26">
        <v>5050000</v>
      </c>
      <c r="AE154" s="26">
        <v>5050000</v>
      </c>
      <c r="AF154" s="26">
        <v>730000</v>
      </c>
      <c r="AG154" s="26">
        <v>730000</v>
      </c>
      <c r="AH154" s="26">
        <v>730000</v>
      </c>
      <c r="AI154" s="26">
        <v>730000</v>
      </c>
      <c r="AJ154" s="26">
        <v>730000</v>
      </c>
      <c r="AK154" s="26">
        <v>730000</v>
      </c>
      <c r="AL154" s="26">
        <v>730000</v>
      </c>
      <c r="AM154" s="26">
        <v>730000</v>
      </c>
      <c r="AN154" s="26">
        <v>730000</v>
      </c>
      <c r="AO154" s="26">
        <v>730000</v>
      </c>
      <c r="AP154" s="26">
        <v>730000</v>
      </c>
      <c r="AQ154" s="26">
        <v>730000</v>
      </c>
      <c r="AR154" s="26">
        <v>500000</v>
      </c>
      <c r="AS154" s="26">
        <v>500000</v>
      </c>
      <c r="AT154" s="26">
        <v>500000</v>
      </c>
      <c r="AU154" s="26">
        <v>500000</v>
      </c>
      <c r="AV154" s="26">
        <v>500000</v>
      </c>
      <c r="AW154" s="26">
        <v>500000</v>
      </c>
      <c r="AX154" s="26">
        <v>500000</v>
      </c>
      <c r="AY154" s="26">
        <v>500000</v>
      </c>
      <c r="AZ154" s="26">
        <v>500000</v>
      </c>
      <c r="BA154" s="26">
        <v>500000</v>
      </c>
      <c r="BB154" s="26">
        <v>500000</v>
      </c>
      <c r="BC154" s="26">
        <v>500000</v>
      </c>
      <c r="BD154" s="26">
        <v>0</v>
      </c>
      <c r="BE154" s="26">
        <v>0</v>
      </c>
      <c r="BF154" s="26">
        <v>0</v>
      </c>
      <c r="BG154" s="26">
        <v>0</v>
      </c>
      <c r="BH154" s="26">
        <v>0</v>
      </c>
      <c r="BI154" s="26">
        <v>0</v>
      </c>
      <c r="BJ154" s="26">
        <v>0</v>
      </c>
      <c r="BK154" s="26">
        <v>0</v>
      </c>
      <c r="BL154" s="26">
        <v>0</v>
      </c>
      <c r="BM154" s="26">
        <v>0</v>
      </c>
      <c r="BN154" s="26">
        <v>0</v>
      </c>
      <c r="BO154" s="26">
        <v>0</v>
      </c>
      <c r="BP154" s="26">
        <v>1200000</v>
      </c>
      <c r="BQ154" s="26">
        <v>1200000</v>
      </c>
      <c r="BR154" s="26">
        <v>1200000</v>
      </c>
      <c r="BS154" s="26">
        <v>1200000</v>
      </c>
      <c r="BT154" s="26">
        <v>1200000</v>
      </c>
      <c r="BU154" s="26">
        <v>1200000</v>
      </c>
      <c r="BV154" s="26">
        <v>1200000</v>
      </c>
      <c r="BW154" s="26">
        <v>1200000</v>
      </c>
      <c r="BX154" s="26">
        <v>1200000</v>
      </c>
      <c r="BY154" s="26">
        <v>1200000</v>
      </c>
      <c r="BZ154" s="26">
        <v>1200000</v>
      </c>
      <c r="CA154" s="26">
        <v>1200000</v>
      </c>
      <c r="CB154" s="26">
        <v>3500000</v>
      </c>
      <c r="CC154" s="26">
        <v>3500000</v>
      </c>
      <c r="CD154" s="26">
        <v>3500000</v>
      </c>
      <c r="CE154" s="26">
        <v>3500000</v>
      </c>
      <c r="CF154" s="26">
        <v>3500000</v>
      </c>
      <c r="CG154" s="26">
        <v>3500000</v>
      </c>
      <c r="CH154" s="26">
        <v>3500000</v>
      </c>
      <c r="CI154" s="26">
        <v>3500000</v>
      </c>
      <c r="CJ154" s="26">
        <v>3500000</v>
      </c>
      <c r="CK154" s="26">
        <v>3500000</v>
      </c>
      <c r="CL154" s="26">
        <v>3500000</v>
      </c>
      <c r="CM154" s="26">
        <v>3500000</v>
      </c>
      <c r="CN154" s="26">
        <v>5050000</v>
      </c>
      <c r="CO154" s="26">
        <v>23</v>
      </c>
      <c r="CP154" s="26">
        <v>5050000</v>
      </c>
      <c r="CQ154" s="26">
        <v>730000</v>
      </c>
      <c r="CR154" s="26">
        <v>500000</v>
      </c>
      <c r="CS154" s="26">
        <v>1200000</v>
      </c>
      <c r="CT154" s="26">
        <v>3500000</v>
      </c>
      <c r="CU154" s="26">
        <v>5930000</v>
      </c>
    </row>
    <row r="155" spans="1:99" x14ac:dyDescent="0.3">
      <c r="A155" s="26">
        <v>13</v>
      </c>
      <c r="B155" s="27" t="s">
        <v>51</v>
      </c>
      <c r="C155" s="27" t="s">
        <v>52</v>
      </c>
      <c r="D155" s="27" t="s">
        <v>26</v>
      </c>
      <c r="E155" s="27" t="s">
        <v>27</v>
      </c>
      <c r="H155" s="26">
        <v>5050000</v>
      </c>
      <c r="I155" s="26">
        <v>5050000</v>
      </c>
      <c r="J155" s="26">
        <v>5050000</v>
      </c>
      <c r="K155" s="26">
        <v>5050000</v>
      </c>
      <c r="L155" s="26">
        <v>5050000</v>
      </c>
      <c r="M155" s="26">
        <v>5050000</v>
      </c>
      <c r="N155" s="26">
        <v>5050000</v>
      </c>
      <c r="O155" s="26">
        <v>5050000</v>
      </c>
      <c r="P155" s="26">
        <v>5050000</v>
      </c>
      <c r="Q155" s="26">
        <v>5050000</v>
      </c>
      <c r="R155" s="26">
        <v>5050000</v>
      </c>
      <c r="S155" s="26">
        <v>5050000</v>
      </c>
      <c r="U155" s="26">
        <v>5050000</v>
      </c>
      <c r="V155" s="26">
        <v>5050000</v>
      </c>
      <c r="W155" s="26">
        <v>5050000</v>
      </c>
      <c r="X155" s="26">
        <v>5050000</v>
      </c>
      <c r="Y155" s="26">
        <v>5050000</v>
      </c>
      <c r="Z155" s="26">
        <v>5050000</v>
      </c>
      <c r="AA155" s="26">
        <v>5050000</v>
      </c>
      <c r="AB155" s="26">
        <v>5050000</v>
      </c>
      <c r="AC155" s="26">
        <v>5050000</v>
      </c>
      <c r="AD155" s="26">
        <v>5050000</v>
      </c>
      <c r="AE155" s="26">
        <v>5050000</v>
      </c>
      <c r="AF155" s="26">
        <v>730000</v>
      </c>
      <c r="AG155" s="26">
        <v>730000</v>
      </c>
      <c r="AH155" s="26">
        <v>730000</v>
      </c>
      <c r="AI155" s="26">
        <v>730000</v>
      </c>
      <c r="AJ155" s="26">
        <v>730000</v>
      </c>
      <c r="AK155" s="26">
        <v>730000</v>
      </c>
      <c r="AL155" s="26">
        <v>730000</v>
      </c>
      <c r="AM155" s="26">
        <v>730000</v>
      </c>
      <c r="AN155" s="26">
        <v>730000</v>
      </c>
      <c r="AO155" s="26">
        <v>730000</v>
      </c>
      <c r="AP155" s="26">
        <v>730000</v>
      </c>
      <c r="AQ155" s="26">
        <v>730000</v>
      </c>
      <c r="AR155" s="26">
        <v>500000</v>
      </c>
      <c r="AS155" s="26">
        <v>500000</v>
      </c>
      <c r="AT155" s="26">
        <v>500000</v>
      </c>
      <c r="AU155" s="26">
        <v>500000</v>
      </c>
      <c r="AV155" s="26">
        <v>500000</v>
      </c>
      <c r="AW155" s="26">
        <v>500000</v>
      </c>
      <c r="AX155" s="26">
        <v>500000</v>
      </c>
      <c r="AY155" s="26">
        <v>500000</v>
      </c>
      <c r="AZ155" s="26">
        <v>500000</v>
      </c>
      <c r="BA155" s="26">
        <v>500000</v>
      </c>
      <c r="BB155" s="26">
        <v>500000</v>
      </c>
      <c r="BC155" s="26">
        <v>500000</v>
      </c>
      <c r="BD155" s="26">
        <v>0</v>
      </c>
      <c r="BE155" s="26">
        <v>0</v>
      </c>
      <c r="BF155" s="26">
        <v>0</v>
      </c>
      <c r="BG155" s="26">
        <v>0</v>
      </c>
      <c r="BH155" s="26">
        <v>0</v>
      </c>
      <c r="BI155" s="26">
        <v>0</v>
      </c>
      <c r="BJ155" s="26">
        <v>0</v>
      </c>
      <c r="BK155" s="26">
        <v>0</v>
      </c>
      <c r="BL155" s="26">
        <v>0</v>
      </c>
      <c r="BM155" s="26">
        <v>0</v>
      </c>
      <c r="BN155" s="26">
        <v>0</v>
      </c>
      <c r="BO155" s="26">
        <v>0</v>
      </c>
      <c r="BP155" s="26">
        <v>1200000</v>
      </c>
      <c r="BQ155" s="26">
        <v>1200000</v>
      </c>
      <c r="BR155" s="26">
        <v>1200000</v>
      </c>
      <c r="BS155" s="26">
        <v>1200000</v>
      </c>
      <c r="BT155" s="26">
        <v>1200000</v>
      </c>
      <c r="BU155" s="26">
        <v>1200000</v>
      </c>
      <c r="BV155" s="26">
        <v>1200000</v>
      </c>
      <c r="BW155" s="26">
        <v>1200000</v>
      </c>
      <c r="BX155" s="26">
        <v>1200000</v>
      </c>
      <c r="BY155" s="26">
        <v>1200000</v>
      </c>
      <c r="BZ155" s="26">
        <v>1200000</v>
      </c>
      <c r="CA155" s="26">
        <v>1200000</v>
      </c>
      <c r="CB155" s="26">
        <v>3500000</v>
      </c>
      <c r="CC155" s="26">
        <v>3500000</v>
      </c>
      <c r="CD155" s="26">
        <v>3500000</v>
      </c>
      <c r="CE155" s="26">
        <v>3500000</v>
      </c>
      <c r="CF155" s="26">
        <v>3500000</v>
      </c>
      <c r="CG155" s="26">
        <v>3500000</v>
      </c>
      <c r="CH155" s="26">
        <v>3500000</v>
      </c>
      <c r="CI155" s="26">
        <v>3500000</v>
      </c>
      <c r="CJ155" s="26">
        <v>3500000</v>
      </c>
      <c r="CK155" s="26">
        <v>3500000</v>
      </c>
      <c r="CL155" s="26">
        <v>3500000</v>
      </c>
      <c r="CM155" s="26">
        <v>3500000</v>
      </c>
      <c r="CN155" s="26">
        <v>5050000</v>
      </c>
      <c r="CO155" s="26">
        <v>23</v>
      </c>
      <c r="CP155" s="26">
        <v>5050000</v>
      </c>
      <c r="CQ155" s="26">
        <v>730000</v>
      </c>
      <c r="CR155" s="26">
        <v>500000</v>
      </c>
      <c r="CS155" s="26">
        <v>1200000</v>
      </c>
      <c r="CT155" s="26">
        <v>3500000</v>
      </c>
      <c r="CU155" s="26">
        <v>5930000</v>
      </c>
    </row>
    <row r="156" spans="1:99" x14ac:dyDescent="0.3">
      <c r="A156" s="26">
        <v>13</v>
      </c>
      <c r="B156" s="27" t="s">
        <v>51</v>
      </c>
      <c r="C156" s="27" t="s">
        <v>52</v>
      </c>
      <c r="D156" s="27" t="s">
        <v>26</v>
      </c>
      <c r="E156" s="27" t="s">
        <v>27</v>
      </c>
      <c r="H156" s="26">
        <v>5050000</v>
      </c>
      <c r="I156" s="26">
        <v>5050000</v>
      </c>
      <c r="J156" s="26">
        <v>5050000</v>
      </c>
      <c r="K156" s="26">
        <v>5050000</v>
      </c>
      <c r="L156" s="26">
        <v>5050000</v>
      </c>
      <c r="M156" s="26">
        <v>5050000</v>
      </c>
      <c r="N156" s="26">
        <v>5050000</v>
      </c>
      <c r="O156" s="26">
        <v>5050000</v>
      </c>
      <c r="P156" s="26">
        <v>5050000</v>
      </c>
      <c r="Q156" s="26">
        <v>5050000</v>
      </c>
      <c r="R156" s="26">
        <v>5050000</v>
      </c>
      <c r="S156" s="26">
        <v>5050000</v>
      </c>
      <c r="U156" s="26">
        <v>5050000</v>
      </c>
      <c r="V156" s="26">
        <v>5050000</v>
      </c>
      <c r="W156" s="26">
        <v>5050000</v>
      </c>
      <c r="X156" s="26">
        <v>5050000</v>
      </c>
      <c r="Y156" s="26">
        <v>5050000</v>
      </c>
      <c r="Z156" s="26">
        <v>5050000</v>
      </c>
      <c r="AA156" s="26">
        <v>5050000</v>
      </c>
      <c r="AB156" s="26">
        <v>5050000</v>
      </c>
      <c r="AC156" s="26">
        <v>5050000</v>
      </c>
      <c r="AD156" s="26">
        <v>5050000</v>
      </c>
      <c r="AE156" s="26">
        <v>5050000</v>
      </c>
      <c r="AF156" s="26">
        <v>730000</v>
      </c>
      <c r="AG156" s="26">
        <v>730000</v>
      </c>
      <c r="AH156" s="26">
        <v>730000</v>
      </c>
      <c r="AI156" s="26">
        <v>730000</v>
      </c>
      <c r="AJ156" s="26">
        <v>730000</v>
      </c>
      <c r="AK156" s="26">
        <v>730000</v>
      </c>
      <c r="AL156" s="26">
        <v>730000</v>
      </c>
      <c r="AM156" s="26">
        <v>730000</v>
      </c>
      <c r="AN156" s="26">
        <v>730000</v>
      </c>
      <c r="AO156" s="26">
        <v>730000</v>
      </c>
      <c r="AP156" s="26">
        <v>730000</v>
      </c>
      <c r="AQ156" s="26">
        <v>730000</v>
      </c>
      <c r="AR156" s="26">
        <v>500000</v>
      </c>
      <c r="AS156" s="26">
        <v>500000</v>
      </c>
      <c r="AT156" s="26">
        <v>500000</v>
      </c>
      <c r="AU156" s="26">
        <v>500000</v>
      </c>
      <c r="AV156" s="26">
        <v>500000</v>
      </c>
      <c r="AW156" s="26">
        <v>500000</v>
      </c>
      <c r="AX156" s="26">
        <v>500000</v>
      </c>
      <c r="AY156" s="26">
        <v>500000</v>
      </c>
      <c r="AZ156" s="26">
        <v>500000</v>
      </c>
      <c r="BA156" s="26">
        <v>500000</v>
      </c>
      <c r="BB156" s="26">
        <v>500000</v>
      </c>
      <c r="BC156" s="26">
        <v>500000</v>
      </c>
      <c r="BD156" s="26">
        <v>0</v>
      </c>
      <c r="BE156" s="26">
        <v>0</v>
      </c>
      <c r="BF156" s="26">
        <v>0</v>
      </c>
      <c r="BG156" s="26">
        <v>0</v>
      </c>
      <c r="BH156" s="26">
        <v>0</v>
      </c>
      <c r="BI156" s="26">
        <v>0</v>
      </c>
      <c r="BJ156" s="26">
        <v>0</v>
      </c>
      <c r="BK156" s="26">
        <v>0</v>
      </c>
      <c r="BL156" s="26">
        <v>0</v>
      </c>
      <c r="BM156" s="26">
        <v>0</v>
      </c>
      <c r="BN156" s="26">
        <v>0</v>
      </c>
      <c r="BO156" s="26">
        <v>0</v>
      </c>
      <c r="BP156" s="26">
        <v>1200000</v>
      </c>
      <c r="BQ156" s="26">
        <v>1200000</v>
      </c>
      <c r="BR156" s="26">
        <v>1200000</v>
      </c>
      <c r="BS156" s="26">
        <v>1200000</v>
      </c>
      <c r="BT156" s="26">
        <v>1200000</v>
      </c>
      <c r="BU156" s="26">
        <v>1200000</v>
      </c>
      <c r="BV156" s="26">
        <v>1200000</v>
      </c>
      <c r="BW156" s="26">
        <v>1200000</v>
      </c>
      <c r="BX156" s="26">
        <v>1200000</v>
      </c>
      <c r="BY156" s="26">
        <v>1200000</v>
      </c>
      <c r="BZ156" s="26">
        <v>1200000</v>
      </c>
      <c r="CA156" s="26">
        <v>1200000</v>
      </c>
      <c r="CB156" s="26">
        <v>3500000</v>
      </c>
      <c r="CC156" s="26">
        <v>3500000</v>
      </c>
      <c r="CD156" s="26">
        <v>3500000</v>
      </c>
      <c r="CE156" s="26">
        <v>3500000</v>
      </c>
      <c r="CF156" s="26">
        <v>3500000</v>
      </c>
      <c r="CG156" s="26">
        <v>3500000</v>
      </c>
      <c r="CH156" s="26">
        <v>3500000</v>
      </c>
      <c r="CI156" s="26">
        <v>3500000</v>
      </c>
      <c r="CJ156" s="26">
        <v>3500000</v>
      </c>
      <c r="CK156" s="26">
        <v>3500000</v>
      </c>
      <c r="CL156" s="26">
        <v>3500000</v>
      </c>
      <c r="CM156" s="26">
        <v>3500000</v>
      </c>
      <c r="CN156" s="26">
        <v>5050000</v>
      </c>
      <c r="CO156" s="26">
        <v>22</v>
      </c>
      <c r="CP156" s="26">
        <v>5050000</v>
      </c>
      <c r="CQ156" s="26">
        <v>730000</v>
      </c>
      <c r="CR156" s="26">
        <v>500000</v>
      </c>
      <c r="CS156" s="26">
        <v>1200000</v>
      </c>
      <c r="CT156" s="26">
        <v>3500000</v>
      </c>
      <c r="CU156" s="26">
        <v>5930000</v>
      </c>
    </row>
    <row r="157" spans="1:99" x14ac:dyDescent="0.3">
      <c r="A157" s="26">
        <v>13</v>
      </c>
      <c r="B157" s="27" t="s">
        <v>51</v>
      </c>
      <c r="C157" s="27" t="s">
        <v>52</v>
      </c>
      <c r="D157" s="27" t="s">
        <v>26</v>
      </c>
      <c r="E157" s="27" t="s">
        <v>27</v>
      </c>
      <c r="H157" s="26">
        <v>5050000</v>
      </c>
      <c r="I157" s="26">
        <v>5050000</v>
      </c>
      <c r="J157" s="26">
        <v>5050000</v>
      </c>
      <c r="K157" s="26">
        <v>5050000</v>
      </c>
      <c r="L157" s="26">
        <v>5050000</v>
      </c>
      <c r="M157" s="26">
        <v>5050000</v>
      </c>
      <c r="N157" s="26">
        <v>5050000</v>
      </c>
      <c r="O157" s="26">
        <v>5050000</v>
      </c>
      <c r="P157" s="26">
        <v>5050000</v>
      </c>
      <c r="Q157" s="26">
        <v>5050000</v>
      </c>
      <c r="R157" s="26">
        <v>5050000</v>
      </c>
      <c r="S157" s="26">
        <v>5050000</v>
      </c>
      <c r="U157" s="26">
        <v>5050000</v>
      </c>
      <c r="V157" s="26">
        <v>5050000</v>
      </c>
      <c r="W157" s="26">
        <v>5050000</v>
      </c>
      <c r="X157" s="26">
        <v>5050000</v>
      </c>
      <c r="Y157" s="26">
        <v>5050000</v>
      </c>
      <c r="Z157" s="26">
        <v>5050000</v>
      </c>
      <c r="AA157" s="26">
        <v>5050000</v>
      </c>
      <c r="AB157" s="26">
        <v>5050000</v>
      </c>
      <c r="AC157" s="26">
        <v>5050000</v>
      </c>
      <c r="AD157" s="26">
        <v>5050000</v>
      </c>
      <c r="AE157" s="26">
        <v>5050000</v>
      </c>
      <c r="AF157" s="26">
        <v>730000</v>
      </c>
      <c r="AG157" s="26">
        <v>730000</v>
      </c>
      <c r="AH157" s="26">
        <v>730000</v>
      </c>
      <c r="AI157" s="26">
        <v>730000</v>
      </c>
      <c r="AJ157" s="26">
        <v>730000</v>
      </c>
      <c r="AK157" s="26">
        <v>730000</v>
      </c>
      <c r="AL157" s="26">
        <v>730000</v>
      </c>
      <c r="AM157" s="26">
        <v>730000</v>
      </c>
      <c r="AN157" s="26">
        <v>730000</v>
      </c>
      <c r="AO157" s="26">
        <v>730000</v>
      </c>
      <c r="AP157" s="26">
        <v>730000</v>
      </c>
      <c r="AQ157" s="26">
        <v>730000</v>
      </c>
      <c r="AR157" s="26">
        <v>500000</v>
      </c>
      <c r="AS157" s="26">
        <v>500000</v>
      </c>
      <c r="AT157" s="26">
        <v>500000</v>
      </c>
      <c r="AU157" s="26">
        <v>500000</v>
      </c>
      <c r="AV157" s="26">
        <v>500000</v>
      </c>
      <c r="AW157" s="26">
        <v>500000</v>
      </c>
      <c r="AX157" s="26">
        <v>500000</v>
      </c>
      <c r="AY157" s="26">
        <v>500000</v>
      </c>
      <c r="AZ157" s="26">
        <v>500000</v>
      </c>
      <c r="BA157" s="26">
        <v>500000</v>
      </c>
      <c r="BB157" s="26">
        <v>500000</v>
      </c>
      <c r="BC157" s="26">
        <v>500000</v>
      </c>
      <c r="BD157" s="26">
        <v>0</v>
      </c>
      <c r="BE157" s="26">
        <v>0</v>
      </c>
      <c r="BF157" s="26">
        <v>0</v>
      </c>
      <c r="BG157" s="26">
        <v>0</v>
      </c>
      <c r="BH157" s="26">
        <v>0</v>
      </c>
      <c r="BI157" s="26">
        <v>0</v>
      </c>
      <c r="BJ157" s="26">
        <v>0</v>
      </c>
      <c r="BK157" s="26">
        <v>0</v>
      </c>
      <c r="BL157" s="26">
        <v>0</v>
      </c>
      <c r="BM157" s="26">
        <v>0</v>
      </c>
      <c r="BN157" s="26">
        <v>0</v>
      </c>
      <c r="BO157" s="26">
        <v>0</v>
      </c>
      <c r="BP157" s="26">
        <v>1200000</v>
      </c>
      <c r="BQ157" s="26">
        <v>1200000</v>
      </c>
      <c r="BR157" s="26">
        <v>1200000</v>
      </c>
      <c r="BS157" s="26">
        <v>1200000</v>
      </c>
      <c r="BT157" s="26">
        <v>1200000</v>
      </c>
      <c r="BU157" s="26">
        <v>1200000</v>
      </c>
      <c r="BV157" s="26">
        <v>1200000</v>
      </c>
      <c r="BW157" s="26">
        <v>1200000</v>
      </c>
      <c r="BX157" s="26">
        <v>1200000</v>
      </c>
      <c r="BY157" s="26">
        <v>1200000</v>
      </c>
      <c r="BZ157" s="26">
        <v>1200000</v>
      </c>
      <c r="CA157" s="26">
        <v>1200000</v>
      </c>
      <c r="CB157" s="26">
        <v>3500000</v>
      </c>
      <c r="CC157" s="26">
        <v>3500000</v>
      </c>
      <c r="CD157" s="26">
        <v>3500000</v>
      </c>
      <c r="CE157" s="26">
        <v>3500000</v>
      </c>
      <c r="CF157" s="26">
        <v>3500000</v>
      </c>
      <c r="CG157" s="26">
        <v>3500000</v>
      </c>
      <c r="CH157" s="26">
        <v>3500000</v>
      </c>
      <c r="CI157" s="26">
        <v>3500000</v>
      </c>
      <c r="CJ157" s="26">
        <v>3500000</v>
      </c>
      <c r="CK157" s="26">
        <v>3500000</v>
      </c>
      <c r="CL157" s="26">
        <v>3500000</v>
      </c>
      <c r="CM157" s="26">
        <v>3500000</v>
      </c>
      <c r="CN157" s="26">
        <v>5050000</v>
      </c>
      <c r="CO157" s="26">
        <v>21</v>
      </c>
      <c r="CP157" s="26">
        <v>5050000</v>
      </c>
      <c r="CQ157" s="26">
        <v>730000</v>
      </c>
      <c r="CR157" s="26">
        <v>500000</v>
      </c>
      <c r="CS157" s="26">
        <v>1200000</v>
      </c>
      <c r="CT157" s="26">
        <v>3500000</v>
      </c>
      <c r="CU157" s="26">
        <v>5930000</v>
      </c>
    </row>
    <row r="158" spans="1:99" x14ac:dyDescent="0.3">
      <c r="A158" s="26">
        <v>14</v>
      </c>
      <c r="B158" s="27" t="s">
        <v>53</v>
      </c>
      <c r="C158" s="27" t="s">
        <v>54</v>
      </c>
      <c r="D158" s="27" t="s">
        <v>26</v>
      </c>
      <c r="E158" s="27" t="s">
        <v>27</v>
      </c>
      <c r="H158" s="26">
        <v>5050000</v>
      </c>
      <c r="I158" s="26">
        <v>5050000</v>
      </c>
      <c r="J158" s="26">
        <v>5050000</v>
      </c>
      <c r="K158" s="26">
        <v>5050000</v>
      </c>
      <c r="L158" s="26">
        <v>5050000</v>
      </c>
      <c r="M158" s="26">
        <v>5050000</v>
      </c>
      <c r="N158" s="26">
        <v>5050000</v>
      </c>
      <c r="O158" s="26">
        <v>5050000</v>
      </c>
      <c r="P158" s="26">
        <v>5050000</v>
      </c>
      <c r="Q158" s="26">
        <v>5050000</v>
      </c>
      <c r="U158" s="26">
        <v>5050000</v>
      </c>
      <c r="V158" s="26">
        <v>5050000</v>
      </c>
      <c r="W158" s="26">
        <v>5050000</v>
      </c>
      <c r="X158" s="26">
        <v>5050000</v>
      </c>
      <c r="Y158" s="26">
        <v>5050000</v>
      </c>
      <c r="Z158" s="26">
        <v>5050000</v>
      </c>
      <c r="AA158" s="26">
        <v>5050000</v>
      </c>
      <c r="AB158" s="26">
        <v>5050000</v>
      </c>
      <c r="AC158" s="26">
        <v>5050000</v>
      </c>
      <c r="AF158" s="26">
        <v>730000</v>
      </c>
      <c r="AG158" s="26">
        <v>730000</v>
      </c>
      <c r="AH158" s="26">
        <v>730000</v>
      </c>
      <c r="AI158" s="26">
        <v>730000</v>
      </c>
      <c r="AJ158" s="26">
        <v>730000</v>
      </c>
      <c r="AK158" s="26">
        <v>730000</v>
      </c>
      <c r="AL158" s="26">
        <v>730000</v>
      </c>
      <c r="AM158" s="26">
        <v>730000</v>
      </c>
      <c r="AN158" s="26">
        <v>730000</v>
      </c>
      <c r="AO158" s="26">
        <v>730000</v>
      </c>
      <c r="AR158" s="26">
        <v>500000</v>
      </c>
      <c r="AS158" s="26">
        <v>500000</v>
      </c>
      <c r="AT158" s="26">
        <v>500000</v>
      </c>
      <c r="AU158" s="26">
        <v>500000</v>
      </c>
      <c r="AV158" s="26">
        <v>500000</v>
      </c>
      <c r="AW158" s="26">
        <v>500000</v>
      </c>
      <c r="AX158" s="26">
        <v>500000</v>
      </c>
      <c r="AY158" s="26">
        <v>500000</v>
      </c>
      <c r="AZ158" s="26">
        <v>500000</v>
      </c>
      <c r="BA158" s="26">
        <v>500000</v>
      </c>
      <c r="BD158" s="26">
        <v>0</v>
      </c>
      <c r="BE158" s="26">
        <v>0</v>
      </c>
      <c r="BF158" s="26">
        <v>0</v>
      </c>
      <c r="BG158" s="26">
        <v>0</v>
      </c>
      <c r="BH158" s="26">
        <v>0</v>
      </c>
      <c r="BI158" s="26">
        <v>0</v>
      </c>
      <c r="BJ158" s="26">
        <v>0</v>
      </c>
      <c r="BK158" s="26">
        <v>0</v>
      </c>
      <c r="BL158" s="26">
        <v>0</v>
      </c>
      <c r="BM158" s="26">
        <v>0</v>
      </c>
      <c r="BP158" s="26">
        <v>1200000</v>
      </c>
      <c r="BQ158" s="26">
        <v>1200000</v>
      </c>
      <c r="BR158" s="26">
        <v>1200000</v>
      </c>
      <c r="BS158" s="26">
        <v>1200000</v>
      </c>
      <c r="BT158" s="26">
        <v>1200000</v>
      </c>
      <c r="BU158" s="26">
        <v>1200000</v>
      </c>
      <c r="BV158" s="26">
        <v>1200000</v>
      </c>
      <c r="BW158" s="26">
        <v>1200000</v>
      </c>
      <c r="BX158" s="26">
        <v>1200000</v>
      </c>
      <c r="BY158" s="26">
        <v>1200000</v>
      </c>
      <c r="CB158" s="26">
        <v>3500000</v>
      </c>
      <c r="CC158" s="26">
        <v>3500000</v>
      </c>
      <c r="CD158" s="26">
        <v>3500000</v>
      </c>
      <c r="CE158" s="26">
        <v>3500000</v>
      </c>
      <c r="CF158" s="26">
        <v>3500000</v>
      </c>
      <c r="CG158" s="26">
        <v>3500000</v>
      </c>
      <c r="CH158" s="26">
        <v>3500000</v>
      </c>
      <c r="CI158" s="26">
        <v>3500000</v>
      </c>
      <c r="CJ158" s="26">
        <v>3500000</v>
      </c>
      <c r="CK158" s="26">
        <v>3500000</v>
      </c>
      <c r="CN158" s="26">
        <v>5050000</v>
      </c>
      <c r="CO158" s="26">
        <v>22</v>
      </c>
      <c r="CP158" s="26">
        <v>5050000</v>
      </c>
      <c r="CQ158" s="26">
        <v>730000</v>
      </c>
      <c r="CR158" s="26">
        <v>500000</v>
      </c>
      <c r="CS158" s="26">
        <v>1200000</v>
      </c>
      <c r="CT158" s="26">
        <v>3500000</v>
      </c>
      <c r="CU158" s="26">
        <v>5930000</v>
      </c>
    </row>
    <row r="159" spans="1:99" x14ac:dyDescent="0.3">
      <c r="A159" s="26">
        <v>14</v>
      </c>
      <c r="B159" s="27" t="s">
        <v>53</v>
      </c>
      <c r="C159" s="27" t="s">
        <v>54</v>
      </c>
      <c r="D159" s="27" t="s">
        <v>26</v>
      </c>
      <c r="E159" s="27" t="s">
        <v>27</v>
      </c>
      <c r="H159" s="26">
        <v>5050000</v>
      </c>
      <c r="I159" s="26">
        <v>5050000</v>
      </c>
      <c r="J159" s="26">
        <v>5050000</v>
      </c>
      <c r="K159" s="26">
        <v>5050000</v>
      </c>
      <c r="L159" s="26">
        <v>5050000</v>
      </c>
      <c r="M159" s="26">
        <v>5050000</v>
      </c>
      <c r="N159" s="26">
        <v>5050000</v>
      </c>
      <c r="O159" s="26">
        <v>5050000</v>
      </c>
      <c r="P159" s="26">
        <v>5050000</v>
      </c>
      <c r="Q159" s="26">
        <v>5050000</v>
      </c>
      <c r="U159" s="26">
        <v>5050000</v>
      </c>
      <c r="V159" s="26">
        <v>5050000</v>
      </c>
      <c r="W159" s="26">
        <v>5050000</v>
      </c>
      <c r="X159" s="26">
        <v>5050000</v>
      </c>
      <c r="Y159" s="26">
        <v>5050000</v>
      </c>
      <c r="Z159" s="26">
        <v>5050000</v>
      </c>
      <c r="AA159" s="26">
        <v>5050000</v>
      </c>
      <c r="AB159" s="26">
        <v>5050000</v>
      </c>
      <c r="AC159" s="26">
        <v>5050000</v>
      </c>
      <c r="AF159" s="26">
        <v>730000</v>
      </c>
      <c r="AG159" s="26">
        <v>730000</v>
      </c>
      <c r="AH159" s="26">
        <v>730000</v>
      </c>
      <c r="AI159" s="26">
        <v>730000</v>
      </c>
      <c r="AJ159" s="26">
        <v>730000</v>
      </c>
      <c r="AK159" s="26">
        <v>730000</v>
      </c>
      <c r="AL159" s="26">
        <v>730000</v>
      </c>
      <c r="AM159" s="26">
        <v>730000</v>
      </c>
      <c r="AN159" s="26">
        <v>730000</v>
      </c>
      <c r="AO159" s="26">
        <v>730000</v>
      </c>
      <c r="AR159" s="26">
        <v>500000</v>
      </c>
      <c r="AS159" s="26">
        <v>500000</v>
      </c>
      <c r="AT159" s="26">
        <v>500000</v>
      </c>
      <c r="AU159" s="26">
        <v>500000</v>
      </c>
      <c r="AV159" s="26">
        <v>500000</v>
      </c>
      <c r="AW159" s="26">
        <v>500000</v>
      </c>
      <c r="AX159" s="26">
        <v>500000</v>
      </c>
      <c r="AY159" s="26">
        <v>500000</v>
      </c>
      <c r="AZ159" s="26">
        <v>500000</v>
      </c>
      <c r="BA159" s="26">
        <v>500000</v>
      </c>
      <c r="BD159" s="26">
        <v>0</v>
      </c>
      <c r="BE159" s="26">
        <v>0</v>
      </c>
      <c r="BF159" s="26">
        <v>0</v>
      </c>
      <c r="BG159" s="26">
        <v>0</v>
      </c>
      <c r="BH159" s="26">
        <v>0</v>
      </c>
      <c r="BI159" s="26">
        <v>0</v>
      </c>
      <c r="BJ159" s="26">
        <v>0</v>
      </c>
      <c r="BK159" s="26">
        <v>0</v>
      </c>
      <c r="BL159" s="26">
        <v>0</v>
      </c>
      <c r="BM159" s="26">
        <v>0</v>
      </c>
      <c r="BP159" s="26">
        <v>1200000</v>
      </c>
      <c r="BQ159" s="26">
        <v>1200000</v>
      </c>
      <c r="BR159" s="26">
        <v>1200000</v>
      </c>
      <c r="BS159" s="26">
        <v>1200000</v>
      </c>
      <c r="BT159" s="26">
        <v>1200000</v>
      </c>
      <c r="BU159" s="26">
        <v>1200000</v>
      </c>
      <c r="BV159" s="26">
        <v>1200000</v>
      </c>
      <c r="BW159" s="26">
        <v>1200000</v>
      </c>
      <c r="BX159" s="26">
        <v>1200000</v>
      </c>
      <c r="BY159" s="26">
        <v>1200000</v>
      </c>
      <c r="CB159" s="26">
        <v>3500000</v>
      </c>
      <c r="CC159" s="26">
        <v>3500000</v>
      </c>
      <c r="CD159" s="26">
        <v>3500000</v>
      </c>
      <c r="CE159" s="26">
        <v>3500000</v>
      </c>
      <c r="CF159" s="26">
        <v>3500000</v>
      </c>
      <c r="CG159" s="26">
        <v>3500000</v>
      </c>
      <c r="CH159" s="26">
        <v>3500000</v>
      </c>
      <c r="CI159" s="26">
        <v>3500000</v>
      </c>
      <c r="CJ159" s="26">
        <v>3500000</v>
      </c>
      <c r="CK159" s="26">
        <v>3500000</v>
      </c>
      <c r="CN159" s="26">
        <v>5050000</v>
      </c>
      <c r="CO159" s="26">
        <v>21</v>
      </c>
      <c r="CP159" s="26">
        <v>5050000</v>
      </c>
      <c r="CQ159" s="26">
        <v>730000</v>
      </c>
      <c r="CR159" s="26">
        <v>500000</v>
      </c>
      <c r="CS159" s="26">
        <v>1200000</v>
      </c>
      <c r="CT159" s="26">
        <v>3500000</v>
      </c>
      <c r="CU159" s="26">
        <v>5930000</v>
      </c>
    </row>
    <row r="160" spans="1:99" x14ac:dyDescent="0.3">
      <c r="A160" s="26">
        <v>14</v>
      </c>
      <c r="B160" s="27" t="s">
        <v>53</v>
      </c>
      <c r="C160" s="27" t="s">
        <v>54</v>
      </c>
      <c r="D160" s="27" t="s">
        <v>26</v>
      </c>
      <c r="E160" s="27" t="s">
        <v>27</v>
      </c>
      <c r="H160" s="26">
        <v>5050000</v>
      </c>
      <c r="I160" s="26">
        <v>5050000</v>
      </c>
      <c r="J160" s="26">
        <v>5050000</v>
      </c>
      <c r="K160" s="26">
        <v>5050000</v>
      </c>
      <c r="L160" s="26">
        <v>5050000</v>
      </c>
      <c r="M160" s="26">
        <v>5050000</v>
      </c>
      <c r="N160" s="26">
        <v>5050000</v>
      </c>
      <c r="O160" s="26">
        <v>5050000</v>
      </c>
      <c r="P160" s="26">
        <v>5050000</v>
      </c>
      <c r="Q160" s="26">
        <v>5050000</v>
      </c>
      <c r="U160" s="26">
        <v>5050000</v>
      </c>
      <c r="V160" s="26">
        <v>5050000</v>
      </c>
      <c r="W160" s="26">
        <v>5050000</v>
      </c>
      <c r="X160" s="26">
        <v>5050000</v>
      </c>
      <c r="Y160" s="26">
        <v>5050000</v>
      </c>
      <c r="Z160" s="26">
        <v>5050000</v>
      </c>
      <c r="AA160" s="26">
        <v>5050000</v>
      </c>
      <c r="AB160" s="26">
        <v>5050000</v>
      </c>
      <c r="AC160" s="26">
        <v>5050000</v>
      </c>
      <c r="AF160" s="26">
        <v>730000</v>
      </c>
      <c r="AG160" s="26">
        <v>730000</v>
      </c>
      <c r="AH160" s="26">
        <v>730000</v>
      </c>
      <c r="AI160" s="26">
        <v>730000</v>
      </c>
      <c r="AJ160" s="26">
        <v>730000</v>
      </c>
      <c r="AK160" s="26">
        <v>730000</v>
      </c>
      <c r="AL160" s="26">
        <v>730000</v>
      </c>
      <c r="AM160" s="26">
        <v>730000</v>
      </c>
      <c r="AN160" s="26">
        <v>730000</v>
      </c>
      <c r="AO160" s="26">
        <v>730000</v>
      </c>
      <c r="AR160" s="26">
        <v>500000</v>
      </c>
      <c r="AS160" s="26">
        <v>500000</v>
      </c>
      <c r="AT160" s="26">
        <v>500000</v>
      </c>
      <c r="AU160" s="26">
        <v>500000</v>
      </c>
      <c r="AV160" s="26">
        <v>500000</v>
      </c>
      <c r="AW160" s="26">
        <v>500000</v>
      </c>
      <c r="AX160" s="26">
        <v>500000</v>
      </c>
      <c r="AY160" s="26">
        <v>500000</v>
      </c>
      <c r="AZ160" s="26">
        <v>500000</v>
      </c>
      <c r="BA160" s="26">
        <v>500000</v>
      </c>
      <c r="BD160" s="26">
        <v>0</v>
      </c>
      <c r="BE160" s="26">
        <v>0</v>
      </c>
      <c r="BF160" s="26">
        <v>0</v>
      </c>
      <c r="BG160" s="26">
        <v>0</v>
      </c>
      <c r="BH160" s="26">
        <v>0</v>
      </c>
      <c r="BI160" s="26">
        <v>0</v>
      </c>
      <c r="BJ160" s="26">
        <v>0</v>
      </c>
      <c r="BK160" s="26">
        <v>0</v>
      </c>
      <c r="BL160" s="26">
        <v>0</v>
      </c>
      <c r="BM160" s="26">
        <v>0</v>
      </c>
      <c r="BP160" s="26">
        <v>1200000</v>
      </c>
      <c r="BQ160" s="26">
        <v>1200000</v>
      </c>
      <c r="BR160" s="26">
        <v>1200000</v>
      </c>
      <c r="BS160" s="26">
        <v>1200000</v>
      </c>
      <c r="BT160" s="26">
        <v>1200000</v>
      </c>
      <c r="BU160" s="26">
        <v>1200000</v>
      </c>
      <c r="BV160" s="26">
        <v>1200000</v>
      </c>
      <c r="BW160" s="26">
        <v>1200000</v>
      </c>
      <c r="BX160" s="26">
        <v>1200000</v>
      </c>
      <c r="BY160" s="26">
        <v>1200000</v>
      </c>
      <c r="CB160" s="26">
        <v>3500000</v>
      </c>
      <c r="CC160" s="26">
        <v>3500000</v>
      </c>
      <c r="CD160" s="26">
        <v>3500000</v>
      </c>
      <c r="CE160" s="26">
        <v>3500000</v>
      </c>
      <c r="CF160" s="26">
        <v>3500000</v>
      </c>
      <c r="CG160" s="26">
        <v>3500000</v>
      </c>
      <c r="CH160" s="26">
        <v>3500000</v>
      </c>
      <c r="CI160" s="26">
        <v>3500000</v>
      </c>
      <c r="CJ160" s="26">
        <v>3500000</v>
      </c>
      <c r="CK160" s="26">
        <v>3500000</v>
      </c>
      <c r="CN160" s="26">
        <v>5050000</v>
      </c>
      <c r="CO160" s="26">
        <v>23</v>
      </c>
      <c r="CP160" s="26">
        <v>5050000</v>
      </c>
      <c r="CQ160" s="26">
        <v>730000</v>
      </c>
      <c r="CR160" s="26">
        <v>500000</v>
      </c>
      <c r="CS160" s="26">
        <v>1200000</v>
      </c>
      <c r="CT160" s="26">
        <v>3500000</v>
      </c>
      <c r="CU160" s="26">
        <v>5930000</v>
      </c>
    </row>
    <row r="161" spans="1:99" x14ac:dyDescent="0.3">
      <c r="A161" s="26">
        <v>14</v>
      </c>
      <c r="B161" s="27" t="s">
        <v>53</v>
      </c>
      <c r="C161" s="27" t="s">
        <v>54</v>
      </c>
      <c r="D161" s="27" t="s">
        <v>26</v>
      </c>
      <c r="E161" s="27" t="s">
        <v>27</v>
      </c>
      <c r="H161" s="26">
        <v>5050000</v>
      </c>
      <c r="I161" s="26">
        <v>5050000</v>
      </c>
      <c r="J161" s="26">
        <v>5050000</v>
      </c>
      <c r="K161" s="26">
        <v>5050000</v>
      </c>
      <c r="L161" s="26">
        <v>5050000</v>
      </c>
      <c r="M161" s="26">
        <v>5050000</v>
      </c>
      <c r="N161" s="26">
        <v>5050000</v>
      </c>
      <c r="O161" s="26">
        <v>5050000</v>
      </c>
      <c r="P161" s="26">
        <v>5050000</v>
      </c>
      <c r="Q161" s="26">
        <v>5050000</v>
      </c>
      <c r="U161" s="26">
        <v>5050000</v>
      </c>
      <c r="V161" s="26">
        <v>5050000</v>
      </c>
      <c r="W161" s="26">
        <v>5050000</v>
      </c>
      <c r="X161" s="26">
        <v>5050000</v>
      </c>
      <c r="Y161" s="26">
        <v>5050000</v>
      </c>
      <c r="Z161" s="26">
        <v>5050000</v>
      </c>
      <c r="AA161" s="26">
        <v>5050000</v>
      </c>
      <c r="AB161" s="26">
        <v>5050000</v>
      </c>
      <c r="AC161" s="26">
        <v>5050000</v>
      </c>
      <c r="AF161" s="26">
        <v>730000</v>
      </c>
      <c r="AG161" s="26">
        <v>730000</v>
      </c>
      <c r="AH161" s="26">
        <v>730000</v>
      </c>
      <c r="AI161" s="26">
        <v>730000</v>
      </c>
      <c r="AJ161" s="26">
        <v>730000</v>
      </c>
      <c r="AK161" s="26">
        <v>730000</v>
      </c>
      <c r="AL161" s="26">
        <v>730000</v>
      </c>
      <c r="AM161" s="26">
        <v>730000</v>
      </c>
      <c r="AN161" s="26">
        <v>730000</v>
      </c>
      <c r="AO161" s="26">
        <v>730000</v>
      </c>
      <c r="AR161" s="26">
        <v>500000</v>
      </c>
      <c r="AS161" s="26">
        <v>500000</v>
      </c>
      <c r="AT161" s="26">
        <v>500000</v>
      </c>
      <c r="AU161" s="26">
        <v>500000</v>
      </c>
      <c r="AV161" s="26">
        <v>500000</v>
      </c>
      <c r="AW161" s="26">
        <v>500000</v>
      </c>
      <c r="AX161" s="26">
        <v>500000</v>
      </c>
      <c r="AY161" s="26">
        <v>500000</v>
      </c>
      <c r="AZ161" s="26">
        <v>500000</v>
      </c>
      <c r="BA161" s="26">
        <v>500000</v>
      </c>
      <c r="BD161" s="26">
        <v>0</v>
      </c>
      <c r="BE161" s="26">
        <v>0</v>
      </c>
      <c r="BF161" s="26">
        <v>0</v>
      </c>
      <c r="BG161" s="26">
        <v>0</v>
      </c>
      <c r="BH161" s="26">
        <v>0</v>
      </c>
      <c r="BI161" s="26">
        <v>0</v>
      </c>
      <c r="BJ161" s="26">
        <v>0</v>
      </c>
      <c r="BK161" s="26">
        <v>0</v>
      </c>
      <c r="BL161" s="26">
        <v>0</v>
      </c>
      <c r="BM161" s="26">
        <v>0</v>
      </c>
      <c r="BP161" s="26">
        <v>1200000</v>
      </c>
      <c r="BQ161" s="26">
        <v>1200000</v>
      </c>
      <c r="BR161" s="26">
        <v>1200000</v>
      </c>
      <c r="BS161" s="26">
        <v>1200000</v>
      </c>
      <c r="BT161" s="26">
        <v>1200000</v>
      </c>
      <c r="BU161" s="26">
        <v>1200000</v>
      </c>
      <c r="BV161" s="26">
        <v>1200000</v>
      </c>
      <c r="BW161" s="26">
        <v>1200000</v>
      </c>
      <c r="BX161" s="26">
        <v>1200000</v>
      </c>
      <c r="BY161" s="26">
        <v>1200000</v>
      </c>
      <c r="CB161" s="26">
        <v>3500000</v>
      </c>
      <c r="CC161" s="26">
        <v>3500000</v>
      </c>
      <c r="CD161" s="26">
        <v>3500000</v>
      </c>
      <c r="CE161" s="26">
        <v>3500000</v>
      </c>
      <c r="CF161" s="26">
        <v>3500000</v>
      </c>
      <c r="CG161" s="26">
        <v>3500000</v>
      </c>
      <c r="CH161" s="26">
        <v>3500000</v>
      </c>
      <c r="CI161" s="26">
        <v>3500000</v>
      </c>
      <c r="CJ161" s="26">
        <v>3500000</v>
      </c>
      <c r="CK161" s="26">
        <v>3500000</v>
      </c>
      <c r="CN161" s="26">
        <v>5050000</v>
      </c>
      <c r="CO161" s="26">
        <v>21</v>
      </c>
      <c r="CP161" s="26">
        <v>5050000</v>
      </c>
      <c r="CQ161" s="26">
        <v>730000</v>
      </c>
      <c r="CR161" s="26">
        <v>500000</v>
      </c>
      <c r="CS161" s="26">
        <v>1200000</v>
      </c>
      <c r="CT161" s="26">
        <v>3500000</v>
      </c>
      <c r="CU161" s="26">
        <v>5930000</v>
      </c>
    </row>
    <row r="162" spans="1:99" x14ac:dyDescent="0.3">
      <c r="A162" s="26">
        <v>14</v>
      </c>
      <c r="B162" s="27" t="s">
        <v>53</v>
      </c>
      <c r="C162" s="27" t="s">
        <v>54</v>
      </c>
      <c r="D162" s="27" t="s">
        <v>26</v>
      </c>
      <c r="E162" s="27" t="s">
        <v>27</v>
      </c>
      <c r="H162" s="26">
        <v>5050000</v>
      </c>
      <c r="I162" s="26">
        <v>5050000</v>
      </c>
      <c r="J162" s="26">
        <v>5050000</v>
      </c>
      <c r="K162" s="26">
        <v>5050000</v>
      </c>
      <c r="L162" s="26">
        <v>5050000</v>
      </c>
      <c r="M162" s="26">
        <v>5050000</v>
      </c>
      <c r="N162" s="26">
        <v>5050000</v>
      </c>
      <c r="O162" s="26">
        <v>5050000</v>
      </c>
      <c r="P162" s="26">
        <v>5050000</v>
      </c>
      <c r="Q162" s="26">
        <v>5050000</v>
      </c>
      <c r="U162" s="26">
        <v>5050000</v>
      </c>
      <c r="V162" s="26">
        <v>5050000</v>
      </c>
      <c r="W162" s="26">
        <v>5050000</v>
      </c>
      <c r="X162" s="26">
        <v>5050000</v>
      </c>
      <c r="Y162" s="26">
        <v>5050000</v>
      </c>
      <c r="Z162" s="26">
        <v>5050000</v>
      </c>
      <c r="AA162" s="26">
        <v>5050000</v>
      </c>
      <c r="AB162" s="26">
        <v>5050000</v>
      </c>
      <c r="AC162" s="26">
        <v>5050000</v>
      </c>
      <c r="AF162" s="26">
        <v>730000</v>
      </c>
      <c r="AG162" s="26">
        <v>730000</v>
      </c>
      <c r="AH162" s="26">
        <v>730000</v>
      </c>
      <c r="AI162" s="26">
        <v>730000</v>
      </c>
      <c r="AJ162" s="26">
        <v>730000</v>
      </c>
      <c r="AK162" s="26">
        <v>730000</v>
      </c>
      <c r="AL162" s="26">
        <v>730000</v>
      </c>
      <c r="AM162" s="26">
        <v>730000</v>
      </c>
      <c r="AN162" s="26">
        <v>730000</v>
      </c>
      <c r="AO162" s="26">
        <v>730000</v>
      </c>
      <c r="AR162" s="26">
        <v>500000</v>
      </c>
      <c r="AS162" s="26">
        <v>500000</v>
      </c>
      <c r="AT162" s="26">
        <v>500000</v>
      </c>
      <c r="AU162" s="26">
        <v>500000</v>
      </c>
      <c r="AV162" s="26">
        <v>500000</v>
      </c>
      <c r="AW162" s="26">
        <v>500000</v>
      </c>
      <c r="AX162" s="26">
        <v>500000</v>
      </c>
      <c r="AY162" s="26">
        <v>500000</v>
      </c>
      <c r="AZ162" s="26">
        <v>500000</v>
      </c>
      <c r="BA162" s="26">
        <v>500000</v>
      </c>
      <c r="BD162" s="26">
        <v>0</v>
      </c>
      <c r="BE162" s="26">
        <v>0</v>
      </c>
      <c r="BF162" s="26">
        <v>0</v>
      </c>
      <c r="BG162" s="26">
        <v>0</v>
      </c>
      <c r="BH162" s="26">
        <v>0</v>
      </c>
      <c r="BI162" s="26">
        <v>0</v>
      </c>
      <c r="BJ162" s="26">
        <v>0</v>
      </c>
      <c r="BK162" s="26">
        <v>0</v>
      </c>
      <c r="BL162" s="26">
        <v>0</v>
      </c>
      <c r="BM162" s="26">
        <v>0</v>
      </c>
      <c r="BP162" s="26">
        <v>1200000</v>
      </c>
      <c r="BQ162" s="26">
        <v>1200000</v>
      </c>
      <c r="BR162" s="26">
        <v>1200000</v>
      </c>
      <c r="BS162" s="26">
        <v>1200000</v>
      </c>
      <c r="BT162" s="26">
        <v>1200000</v>
      </c>
      <c r="BU162" s="26">
        <v>1200000</v>
      </c>
      <c r="BV162" s="26">
        <v>1200000</v>
      </c>
      <c r="BW162" s="26">
        <v>1200000</v>
      </c>
      <c r="BX162" s="26">
        <v>1200000</v>
      </c>
      <c r="BY162" s="26">
        <v>1200000</v>
      </c>
      <c r="CB162" s="26">
        <v>3500000</v>
      </c>
      <c r="CC162" s="26">
        <v>3500000</v>
      </c>
      <c r="CD162" s="26">
        <v>3500000</v>
      </c>
      <c r="CE162" s="26">
        <v>3500000</v>
      </c>
      <c r="CF162" s="26">
        <v>3500000</v>
      </c>
      <c r="CG162" s="26">
        <v>3500000</v>
      </c>
      <c r="CH162" s="26">
        <v>3500000</v>
      </c>
      <c r="CI162" s="26">
        <v>3500000</v>
      </c>
      <c r="CJ162" s="26">
        <v>3500000</v>
      </c>
      <c r="CK162" s="26">
        <v>3500000</v>
      </c>
      <c r="CN162" s="26">
        <v>5050000</v>
      </c>
      <c r="CO162" s="26">
        <v>22</v>
      </c>
      <c r="CP162" s="26">
        <v>5050000</v>
      </c>
      <c r="CQ162" s="26">
        <v>730000</v>
      </c>
      <c r="CR162" s="26">
        <v>500000</v>
      </c>
      <c r="CS162" s="26">
        <v>1200000</v>
      </c>
      <c r="CT162" s="26">
        <v>3500000</v>
      </c>
      <c r="CU162" s="26">
        <v>5930000</v>
      </c>
    </row>
    <row r="163" spans="1:99" x14ac:dyDescent="0.3">
      <c r="A163" s="26">
        <v>14</v>
      </c>
      <c r="B163" s="27" t="s">
        <v>53</v>
      </c>
      <c r="C163" s="27" t="s">
        <v>54</v>
      </c>
      <c r="D163" s="27" t="s">
        <v>26</v>
      </c>
      <c r="E163" s="27" t="s">
        <v>27</v>
      </c>
      <c r="H163" s="26">
        <v>5050000</v>
      </c>
      <c r="I163" s="26">
        <v>5050000</v>
      </c>
      <c r="J163" s="26">
        <v>5050000</v>
      </c>
      <c r="K163" s="26">
        <v>5050000</v>
      </c>
      <c r="L163" s="26">
        <v>5050000</v>
      </c>
      <c r="M163" s="26">
        <v>5050000</v>
      </c>
      <c r="N163" s="26">
        <v>5050000</v>
      </c>
      <c r="O163" s="26">
        <v>5050000</v>
      </c>
      <c r="P163" s="26">
        <v>5050000</v>
      </c>
      <c r="Q163" s="26">
        <v>5050000</v>
      </c>
      <c r="U163" s="26">
        <v>5050000</v>
      </c>
      <c r="V163" s="26">
        <v>5050000</v>
      </c>
      <c r="W163" s="26">
        <v>5050000</v>
      </c>
      <c r="X163" s="26">
        <v>5050000</v>
      </c>
      <c r="Y163" s="26">
        <v>5050000</v>
      </c>
      <c r="Z163" s="26">
        <v>5050000</v>
      </c>
      <c r="AA163" s="26">
        <v>5050000</v>
      </c>
      <c r="AB163" s="26">
        <v>5050000</v>
      </c>
      <c r="AC163" s="26">
        <v>5050000</v>
      </c>
      <c r="AF163" s="26">
        <v>730000</v>
      </c>
      <c r="AG163" s="26">
        <v>730000</v>
      </c>
      <c r="AH163" s="26">
        <v>730000</v>
      </c>
      <c r="AI163" s="26">
        <v>730000</v>
      </c>
      <c r="AJ163" s="26">
        <v>730000</v>
      </c>
      <c r="AK163" s="26">
        <v>730000</v>
      </c>
      <c r="AL163" s="26">
        <v>730000</v>
      </c>
      <c r="AM163" s="26">
        <v>730000</v>
      </c>
      <c r="AN163" s="26">
        <v>730000</v>
      </c>
      <c r="AO163" s="26">
        <v>730000</v>
      </c>
      <c r="AR163" s="26">
        <v>500000</v>
      </c>
      <c r="AS163" s="26">
        <v>500000</v>
      </c>
      <c r="AT163" s="26">
        <v>500000</v>
      </c>
      <c r="AU163" s="26">
        <v>500000</v>
      </c>
      <c r="AV163" s="26">
        <v>500000</v>
      </c>
      <c r="AW163" s="26">
        <v>500000</v>
      </c>
      <c r="AX163" s="26">
        <v>500000</v>
      </c>
      <c r="AY163" s="26">
        <v>500000</v>
      </c>
      <c r="AZ163" s="26">
        <v>500000</v>
      </c>
      <c r="BA163" s="26">
        <v>500000</v>
      </c>
      <c r="BD163" s="26">
        <v>0</v>
      </c>
      <c r="BE163" s="26">
        <v>0</v>
      </c>
      <c r="BF163" s="26">
        <v>0</v>
      </c>
      <c r="BG163" s="26">
        <v>0</v>
      </c>
      <c r="BH163" s="26">
        <v>0</v>
      </c>
      <c r="BI163" s="26">
        <v>0</v>
      </c>
      <c r="BJ163" s="26">
        <v>0</v>
      </c>
      <c r="BK163" s="26">
        <v>0</v>
      </c>
      <c r="BL163" s="26">
        <v>0</v>
      </c>
      <c r="BM163" s="26">
        <v>0</v>
      </c>
      <c r="BP163" s="26">
        <v>1200000</v>
      </c>
      <c r="BQ163" s="26">
        <v>1200000</v>
      </c>
      <c r="BR163" s="26">
        <v>1200000</v>
      </c>
      <c r="BS163" s="26">
        <v>1200000</v>
      </c>
      <c r="BT163" s="26">
        <v>1200000</v>
      </c>
      <c r="BU163" s="26">
        <v>1200000</v>
      </c>
      <c r="BV163" s="26">
        <v>1200000</v>
      </c>
      <c r="BW163" s="26">
        <v>1200000</v>
      </c>
      <c r="BX163" s="26">
        <v>1200000</v>
      </c>
      <c r="BY163" s="26">
        <v>1200000</v>
      </c>
      <c r="CB163" s="26">
        <v>3500000</v>
      </c>
      <c r="CC163" s="26">
        <v>3500000</v>
      </c>
      <c r="CD163" s="26">
        <v>3500000</v>
      </c>
      <c r="CE163" s="26">
        <v>3500000</v>
      </c>
      <c r="CF163" s="26">
        <v>3500000</v>
      </c>
      <c r="CG163" s="26">
        <v>3500000</v>
      </c>
      <c r="CH163" s="26">
        <v>3500000</v>
      </c>
      <c r="CI163" s="26">
        <v>3500000</v>
      </c>
      <c r="CJ163" s="26">
        <v>3500000</v>
      </c>
      <c r="CK163" s="26">
        <v>3500000</v>
      </c>
      <c r="CN163" s="26">
        <v>5050000</v>
      </c>
      <c r="CO163" s="26">
        <v>22</v>
      </c>
      <c r="CP163" s="26">
        <v>5050000</v>
      </c>
      <c r="CQ163" s="26">
        <v>730000</v>
      </c>
      <c r="CR163" s="26">
        <v>500000</v>
      </c>
      <c r="CS163" s="26">
        <v>1200000</v>
      </c>
      <c r="CT163" s="26">
        <v>3500000</v>
      </c>
      <c r="CU163" s="26">
        <v>5930000</v>
      </c>
    </row>
    <row r="164" spans="1:99" x14ac:dyDescent="0.3">
      <c r="A164" s="26">
        <v>14</v>
      </c>
      <c r="B164" s="27" t="s">
        <v>53</v>
      </c>
      <c r="C164" s="27" t="s">
        <v>54</v>
      </c>
      <c r="D164" s="27" t="s">
        <v>26</v>
      </c>
      <c r="E164" s="27" t="s">
        <v>27</v>
      </c>
      <c r="H164" s="26">
        <v>5050000</v>
      </c>
      <c r="I164" s="26">
        <v>5050000</v>
      </c>
      <c r="J164" s="26">
        <v>5050000</v>
      </c>
      <c r="K164" s="26">
        <v>5050000</v>
      </c>
      <c r="L164" s="26">
        <v>5050000</v>
      </c>
      <c r="M164" s="26">
        <v>5050000</v>
      </c>
      <c r="N164" s="26">
        <v>5050000</v>
      </c>
      <c r="O164" s="26">
        <v>5050000</v>
      </c>
      <c r="P164" s="26">
        <v>5050000</v>
      </c>
      <c r="Q164" s="26">
        <v>5050000</v>
      </c>
      <c r="U164" s="26">
        <v>5050000</v>
      </c>
      <c r="V164" s="26">
        <v>5050000</v>
      </c>
      <c r="W164" s="26">
        <v>5050000</v>
      </c>
      <c r="X164" s="26">
        <v>5050000</v>
      </c>
      <c r="Y164" s="26">
        <v>5050000</v>
      </c>
      <c r="Z164" s="26">
        <v>5050000</v>
      </c>
      <c r="AA164" s="26">
        <v>5050000</v>
      </c>
      <c r="AB164" s="26">
        <v>5050000</v>
      </c>
      <c r="AC164" s="26">
        <v>5050000</v>
      </c>
      <c r="AF164" s="26">
        <v>730000</v>
      </c>
      <c r="AG164" s="26">
        <v>730000</v>
      </c>
      <c r="AH164" s="26">
        <v>730000</v>
      </c>
      <c r="AI164" s="26">
        <v>730000</v>
      </c>
      <c r="AJ164" s="26">
        <v>730000</v>
      </c>
      <c r="AK164" s="26">
        <v>730000</v>
      </c>
      <c r="AL164" s="26">
        <v>730000</v>
      </c>
      <c r="AM164" s="26">
        <v>730000</v>
      </c>
      <c r="AN164" s="26">
        <v>730000</v>
      </c>
      <c r="AO164" s="26">
        <v>730000</v>
      </c>
      <c r="AR164" s="26">
        <v>500000</v>
      </c>
      <c r="AS164" s="26">
        <v>500000</v>
      </c>
      <c r="AT164" s="26">
        <v>500000</v>
      </c>
      <c r="AU164" s="26">
        <v>500000</v>
      </c>
      <c r="AV164" s="26">
        <v>500000</v>
      </c>
      <c r="AW164" s="26">
        <v>500000</v>
      </c>
      <c r="AX164" s="26">
        <v>500000</v>
      </c>
      <c r="AY164" s="26">
        <v>500000</v>
      </c>
      <c r="AZ164" s="26">
        <v>500000</v>
      </c>
      <c r="BA164" s="26">
        <v>500000</v>
      </c>
      <c r="BD164" s="26">
        <v>0</v>
      </c>
      <c r="BE164" s="26">
        <v>0</v>
      </c>
      <c r="BF164" s="26">
        <v>0</v>
      </c>
      <c r="BG164" s="26">
        <v>0</v>
      </c>
      <c r="BH164" s="26">
        <v>0</v>
      </c>
      <c r="BI164" s="26">
        <v>0</v>
      </c>
      <c r="BJ164" s="26">
        <v>0</v>
      </c>
      <c r="BK164" s="26">
        <v>0</v>
      </c>
      <c r="BL164" s="26">
        <v>0</v>
      </c>
      <c r="BM164" s="26">
        <v>0</v>
      </c>
      <c r="BP164" s="26">
        <v>1200000</v>
      </c>
      <c r="BQ164" s="26">
        <v>1200000</v>
      </c>
      <c r="BR164" s="26">
        <v>1200000</v>
      </c>
      <c r="BS164" s="26">
        <v>1200000</v>
      </c>
      <c r="BT164" s="26">
        <v>1200000</v>
      </c>
      <c r="BU164" s="26">
        <v>1200000</v>
      </c>
      <c r="BV164" s="26">
        <v>1200000</v>
      </c>
      <c r="BW164" s="26">
        <v>1200000</v>
      </c>
      <c r="BX164" s="26">
        <v>1200000</v>
      </c>
      <c r="BY164" s="26">
        <v>1200000</v>
      </c>
      <c r="CB164" s="26">
        <v>3500000</v>
      </c>
      <c r="CC164" s="26">
        <v>3500000</v>
      </c>
      <c r="CD164" s="26">
        <v>3500000</v>
      </c>
      <c r="CE164" s="26">
        <v>3500000</v>
      </c>
      <c r="CF164" s="26">
        <v>3500000</v>
      </c>
      <c r="CG164" s="26">
        <v>3500000</v>
      </c>
      <c r="CH164" s="26">
        <v>3500000</v>
      </c>
      <c r="CI164" s="26">
        <v>3500000</v>
      </c>
      <c r="CJ164" s="26">
        <v>3500000</v>
      </c>
      <c r="CK164" s="26">
        <v>3500000</v>
      </c>
      <c r="CN164" s="26">
        <v>5050000</v>
      </c>
      <c r="CO164" s="26">
        <v>23</v>
      </c>
      <c r="CP164" s="26">
        <v>5050000</v>
      </c>
      <c r="CQ164" s="26">
        <v>730000</v>
      </c>
      <c r="CR164" s="26">
        <v>500000</v>
      </c>
      <c r="CS164" s="26">
        <v>1200000</v>
      </c>
      <c r="CT164" s="26">
        <v>3500000</v>
      </c>
      <c r="CU164" s="26">
        <v>5930000</v>
      </c>
    </row>
    <row r="165" spans="1:99" x14ac:dyDescent="0.3">
      <c r="A165" s="26">
        <v>14</v>
      </c>
      <c r="B165" s="27" t="s">
        <v>53</v>
      </c>
      <c r="C165" s="27" t="s">
        <v>54</v>
      </c>
      <c r="D165" s="27" t="s">
        <v>26</v>
      </c>
      <c r="E165" s="27" t="s">
        <v>27</v>
      </c>
      <c r="H165" s="26">
        <v>5050000</v>
      </c>
      <c r="I165" s="26">
        <v>5050000</v>
      </c>
      <c r="J165" s="26">
        <v>5050000</v>
      </c>
      <c r="K165" s="26">
        <v>5050000</v>
      </c>
      <c r="L165" s="26">
        <v>5050000</v>
      </c>
      <c r="M165" s="26">
        <v>5050000</v>
      </c>
      <c r="N165" s="26">
        <v>5050000</v>
      </c>
      <c r="O165" s="26">
        <v>5050000</v>
      </c>
      <c r="P165" s="26">
        <v>5050000</v>
      </c>
      <c r="Q165" s="26">
        <v>5050000</v>
      </c>
      <c r="U165" s="26">
        <v>5050000</v>
      </c>
      <c r="V165" s="26">
        <v>5050000</v>
      </c>
      <c r="W165" s="26">
        <v>5050000</v>
      </c>
      <c r="X165" s="26">
        <v>5050000</v>
      </c>
      <c r="Y165" s="26">
        <v>5050000</v>
      </c>
      <c r="Z165" s="26">
        <v>5050000</v>
      </c>
      <c r="AA165" s="26">
        <v>5050000</v>
      </c>
      <c r="AB165" s="26">
        <v>5050000</v>
      </c>
      <c r="AC165" s="26">
        <v>5050000</v>
      </c>
      <c r="AF165" s="26">
        <v>730000</v>
      </c>
      <c r="AG165" s="26">
        <v>730000</v>
      </c>
      <c r="AH165" s="26">
        <v>730000</v>
      </c>
      <c r="AI165" s="26">
        <v>730000</v>
      </c>
      <c r="AJ165" s="26">
        <v>730000</v>
      </c>
      <c r="AK165" s="26">
        <v>730000</v>
      </c>
      <c r="AL165" s="26">
        <v>730000</v>
      </c>
      <c r="AM165" s="26">
        <v>730000</v>
      </c>
      <c r="AN165" s="26">
        <v>730000</v>
      </c>
      <c r="AO165" s="26">
        <v>730000</v>
      </c>
      <c r="AR165" s="26">
        <v>500000</v>
      </c>
      <c r="AS165" s="26">
        <v>500000</v>
      </c>
      <c r="AT165" s="26">
        <v>500000</v>
      </c>
      <c r="AU165" s="26">
        <v>500000</v>
      </c>
      <c r="AV165" s="26">
        <v>500000</v>
      </c>
      <c r="AW165" s="26">
        <v>500000</v>
      </c>
      <c r="AX165" s="26">
        <v>500000</v>
      </c>
      <c r="AY165" s="26">
        <v>500000</v>
      </c>
      <c r="AZ165" s="26">
        <v>500000</v>
      </c>
      <c r="BA165" s="26">
        <v>500000</v>
      </c>
      <c r="BD165" s="26">
        <v>0</v>
      </c>
      <c r="BE165" s="26">
        <v>0</v>
      </c>
      <c r="BF165" s="26">
        <v>0</v>
      </c>
      <c r="BG165" s="26">
        <v>0</v>
      </c>
      <c r="BH165" s="26">
        <v>0</v>
      </c>
      <c r="BI165" s="26">
        <v>0</v>
      </c>
      <c r="BJ165" s="26">
        <v>0</v>
      </c>
      <c r="BK165" s="26">
        <v>0</v>
      </c>
      <c r="BL165" s="26">
        <v>0</v>
      </c>
      <c r="BM165" s="26">
        <v>0</v>
      </c>
      <c r="BP165" s="26">
        <v>1200000</v>
      </c>
      <c r="BQ165" s="26">
        <v>1200000</v>
      </c>
      <c r="BR165" s="26">
        <v>1200000</v>
      </c>
      <c r="BS165" s="26">
        <v>1200000</v>
      </c>
      <c r="BT165" s="26">
        <v>1200000</v>
      </c>
      <c r="BU165" s="26">
        <v>1200000</v>
      </c>
      <c r="BV165" s="26">
        <v>1200000</v>
      </c>
      <c r="BW165" s="26">
        <v>1200000</v>
      </c>
      <c r="BX165" s="26">
        <v>1200000</v>
      </c>
      <c r="BY165" s="26">
        <v>1200000</v>
      </c>
      <c r="CB165" s="26">
        <v>3500000</v>
      </c>
      <c r="CC165" s="26">
        <v>3500000</v>
      </c>
      <c r="CD165" s="26">
        <v>3500000</v>
      </c>
      <c r="CE165" s="26">
        <v>3500000</v>
      </c>
      <c r="CF165" s="26">
        <v>3500000</v>
      </c>
      <c r="CG165" s="26">
        <v>3500000</v>
      </c>
      <c r="CH165" s="26">
        <v>3500000</v>
      </c>
      <c r="CI165" s="26">
        <v>3500000</v>
      </c>
      <c r="CJ165" s="26">
        <v>3500000</v>
      </c>
      <c r="CK165" s="26">
        <v>3500000</v>
      </c>
      <c r="CN165" s="26">
        <v>5050000</v>
      </c>
      <c r="CO165" s="26">
        <v>20</v>
      </c>
      <c r="CP165" s="26">
        <v>5050000</v>
      </c>
      <c r="CQ165" s="26">
        <v>730000</v>
      </c>
      <c r="CR165" s="26">
        <v>500000</v>
      </c>
      <c r="CS165" s="26">
        <v>1200000</v>
      </c>
      <c r="CT165" s="26">
        <v>3500000</v>
      </c>
      <c r="CU165" s="26">
        <v>5930000</v>
      </c>
    </row>
    <row r="166" spans="1:99" x14ac:dyDescent="0.3">
      <c r="A166" s="26">
        <v>14</v>
      </c>
      <c r="B166" s="27" t="s">
        <v>53</v>
      </c>
      <c r="C166" s="27" t="s">
        <v>54</v>
      </c>
      <c r="D166" s="27" t="s">
        <v>26</v>
      </c>
      <c r="E166" s="27" t="s">
        <v>27</v>
      </c>
      <c r="H166" s="26">
        <v>5050000</v>
      </c>
      <c r="I166" s="26">
        <v>5050000</v>
      </c>
      <c r="J166" s="26">
        <v>5050000</v>
      </c>
      <c r="K166" s="26">
        <v>5050000</v>
      </c>
      <c r="L166" s="26">
        <v>5050000</v>
      </c>
      <c r="M166" s="26">
        <v>5050000</v>
      </c>
      <c r="N166" s="26">
        <v>5050000</v>
      </c>
      <c r="O166" s="26">
        <v>5050000</v>
      </c>
      <c r="P166" s="26">
        <v>5050000</v>
      </c>
      <c r="Q166" s="26">
        <v>5050000</v>
      </c>
      <c r="U166" s="26">
        <v>5050000</v>
      </c>
      <c r="V166" s="26">
        <v>5050000</v>
      </c>
      <c r="W166" s="26">
        <v>5050000</v>
      </c>
      <c r="X166" s="26">
        <v>5050000</v>
      </c>
      <c r="Y166" s="26">
        <v>5050000</v>
      </c>
      <c r="Z166" s="26">
        <v>5050000</v>
      </c>
      <c r="AA166" s="26">
        <v>5050000</v>
      </c>
      <c r="AB166" s="26">
        <v>5050000</v>
      </c>
      <c r="AC166" s="26">
        <v>5050000</v>
      </c>
      <c r="AF166" s="26">
        <v>730000</v>
      </c>
      <c r="AG166" s="26">
        <v>730000</v>
      </c>
      <c r="AH166" s="26">
        <v>730000</v>
      </c>
      <c r="AI166" s="26">
        <v>730000</v>
      </c>
      <c r="AJ166" s="26">
        <v>730000</v>
      </c>
      <c r="AK166" s="26">
        <v>730000</v>
      </c>
      <c r="AL166" s="26">
        <v>730000</v>
      </c>
      <c r="AM166" s="26">
        <v>730000</v>
      </c>
      <c r="AN166" s="26">
        <v>730000</v>
      </c>
      <c r="AO166" s="26">
        <v>730000</v>
      </c>
      <c r="AR166" s="26">
        <v>500000</v>
      </c>
      <c r="AS166" s="26">
        <v>500000</v>
      </c>
      <c r="AT166" s="26">
        <v>500000</v>
      </c>
      <c r="AU166" s="26">
        <v>500000</v>
      </c>
      <c r="AV166" s="26">
        <v>500000</v>
      </c>
      <c r="AW166" s="26">
        <v>500000</v>
      </c>
      <c r="AX166" s="26">
        <v>500000</v>
      </c>
      <c r="AY166" s="26">
        <v>500000</v>
      </c>
      <c r="AZ166" s="26">
        <v>500000</v>
      </c>
      <c r="BA166" s="26">
        <v>500000</v>
      </c>
      <c r="BD166" s="26">
        <v>0</v>
      </c>
      <c r="BE166" s="26">
        <v>0</v>
      </c>
      <c r="BF166" s="26">
        <v>0</v>
      </c>
      <c r="BG166" s="26">
        <v>0</v>
      </c>
      <c r="BH166" s="26">
        <v>0</v>
      </c>
      <c r="BI166" s="26">
        <v>0</v>
      </c>
      <c r="BJ166" s="26">
        <v>0</v>
      </c>
      <c r="BK166" s="26">
        <v>0</v>
      </c>
      <c r="BL166" s="26">
        <v>0</v>
      </c>
      <c r="BM166" s="26">
        <v>0</v>
      </c>
      <c r="BP166" s="26">
        <v>1200000</v>
      </c>
      <c r="BQ166" s="26">
        <v>1200000</v>
      </c>
      <c r="BR166" s="26">
        <v>1200000</v>
      </c>
      <c r="BS166" s="26">
        <v>1200000</v>
      </c>
      <c r="BT166" s="26">
        <v>1200000</v>
      </c>
      <c r="BU166" s="26">
        <v>1200000</v>
      </c>
      <c r="BV166" s="26">
        <v>1200000</v>
      </c>
      <c r="BW166" s="26">
        <v>1200000</v>
      </c>
      <c r="BX166" s="26">
        <v>1200000</v>
      </c>
      <c r="BY166" s="26">
        <v>1200000</v>
      </c>
      <c r="CB166" s="26">
        <v>3500000</v>
      </c>
      <c r="CC166" s="26">
        <v>3500000</v>
      </c>
      <c r="CD166" s="26">
        <v>3500000</v>
      </c>
      <c r="CE166" s="26">
        <v>3500000</v>
      </c>
      <c r="CF166" s="26">
        <v>3500000</v>
      </c>
      <c r="CG166" s="26">
        <v>3500000</v>
      </c>
      <c r="CH166" s="26">
        <v>3500000</v>
      </c>
      <c r="CI166" s="26">
        <v>3500000</v>
      </c>
      <c r="CJ166" s="26">
        <v>3500000</v>
      </c>
      <c r="CK166" s="26">
        <v>3500000</v>
      </c>
      <c r="CN166" s="26">
        <v>5050000</v>
      </c>
      <c r="CO166" s="26">
        <v>23</v>
      </c>
      <c r="CP166" s="26">
        <v>5050000</v>
      </c>
      <c r="CQ166" s="26">
        <v>730000</v>
      </c>
      <c r="CR166" s="26">
        <v>500000</v>
      </c>
      <c r="CS166" s="26">
        <v>1200000</v>
      </c>
      <c r="CT166" s="26">
        <v>3500000</v>
      </c>
      <c r="CU166" s="26">
        <v>5930000</v>
      </c>
    </row>
    <row r="167" spans="1:99" x14ac:dyDescent="0.3">
      <c r="A167" s="26">
        <v>14</v>
      </c>
      <c r="B167" s="27" t="s">
        <v>53</v>
      </c>
      <c r="C167" s="27" t="s">
        <v>54</v>
      </c>
      <c r="D167" s="27" t="s">
        <v>26</v>
      </c>
      <c r="E167" s="27" t="s">
        <v>27</v>
      </c>
      <c r="H167" s="26">
        <v>5050000</v>
      </c>
      <c r="I167" s="26">
        <v>5050000</v>
      </c>
      <c r="J167" s="26">
        <v>5050000</v>
      </c>
      <c r="K167" s="26">
        <v>5050000</v>
      </c>
      <c r="L167" s="26">
        <v>5050000</v>
      </c>
      <c r="M167" s="26">
        <v>5050000</v>
      </c>
      <c r="N167" s="26">
        <v>5050000</v>
      </c>
      <c r="O167" s="26">
        <v>5050000</v>
      </c>
      <c r="P167" s="26">
        <v>5050000</v>
      </c>
      <c r="Q167" s="26">
        <v>5050000</v>
      </c>
      <c r="U167" s="26">
        <v>5050000</v>
      </c>
      <c r="V167" s="26">
        <v>5050000</v>
      </c>
      <c r="W167" s="26">
        <v>5050000</v>
      </c>
      <c r="X167" s="26">
        <v>5050000</v>
      </c>
      <c r="Y167" s="26">
        <v>5050000</v>
      </c>
      <c r="Z167" s="26">
        <v>5050000</v>
      </c>
      <c r="AA167" s="26">
        <v>5050000</v>
      </c>
      <c r="AB167" s="26">
        <v>5050000</v>
      </c>
      <c r="AC167" s="26">
        <v>5050000</v>
      </c>
      <c r="AF167" s="26">
        <v>730000</v>
      </c>
      <c r="AG167" s="26">
        <v>730000</v>
      </c>
      <c r="AH167" s="26">
        <v>730000</v>
      </c>
      <c r="AI167" s="26">
        <v>730000</v>
      </c>
      <c r="AJ167" s="26">
        <v>730000</v>
      </c>
      <c r="AK167" s="26">
        <v>730000</v>
      </c>
      <c r="AL167" s="26">
        <v>730000</v>
      </c>
      <c r="AM167" s="26">
        <v>730000</v>
      </c>
      <c r="AN167" s="26">
        <v>730000</v>
      </c>
      <c r="AO167" s="26">
        <v>730000</v>
      </c>
      <c r="AR167" s="26">
        <v>500000</v>
      </c>
      <c r="AS167" s="26">
        <v>500000</v>
      </c>
      <c r="AT167" s="26">
        <v>500000</v>
      </c>
      <c r="AU167" s="26">
        <v>500000</v>
      </c>
      <c r="AV167" s="26">
        <v>500000</v>
      </c>
      <c r="AW167" s="26">
        <v>500000</v>
      </c>
      <c r="AX167" s="26">
        <v>500000</v>
      </c>
      <c r="AY167" s="26">
        <v>500000</v>
      </c>
      <c r="AZ167" s="26">
        <v>500000</v>
      </c>
      <c r="BA167" s="26">
        <v>500000</v>
      </c>
      <c r="BD167" s="26">
        <v>0</v>
      </c>
      <c r="BE167" s="26">
        <v>0</v>
      </c>
      <c r="BF167" s="26">
        <v>0</v>
      </c>
      <c r="BG167" s="26">
        <v>0</v>
      </c>
      <c r="BH167" s="26">
        <v>0</v>
      </c>
      <c r="BI167" s="26">
        <v>0</v>
      </c>
      <c r="BJ167" s="26">
        <v>0</v>
      </c>
      <c r="BK167" s="26">
        <v>0</v>
      </c>
      <c r="BL167" s="26">
        <v>0</v>
      </c>
      <c r="BM167" s="26">
        <v>0</v>
      </c>
      <c r="BP167" s="26">
        <v>1200000</v>
      </c>
      <c r="BQ167" s="26">
        <v>1200000</v>
      </c>
      <c r="BR167" s="26">
        <v>1200000</v>
      </c>
      <c r="BS167" s="26">
        <v>1200000</v>
      </c>
      <c r="BT167" s="26">
        <v>1200000</v>
      </c>
      <c r="BU167" s="26">
        <v>1200000</v>
      </c>
      <c r="BV167" s="26">
        <v>1200000</v>
      </c>
      <c r="BW167" s="26">
        <v>1200000</v>
      </c>
      <c r="BX167" s="26">
        <v>1200000</v>
      </c>
      <c r="BY167" s="26">
        <v>1200000</v>
      </c>
      <c r="CB167" s="26">
        <v>3500000</v>
      </c>
      <c r="CC167" s="26">
        <v>3500000</v>
      </c>
      <c r="CD167" s="26">
        <v>3500000</v>
      </c>
      <c r="CE167" s="26">
        <v>3500000</v>
      </c>
      <c r="CF167" s="26">
        <v>3500000</v>
      </c>
      <c r="CG167" s="26">
        <v>3500000</v>
      </c>
      <c r="CH167" s="26">
        <v>3500000</v>
      </c>
      <c r="CI167" s="26">
        <v>3500000</v>
      </c>
      <c r="CJ167" s="26">
        <v>3500000</v>
      </c>
      <c r="CK167" s="26">
        <v>3500000</v>
      </c>
      <c r="CN167" s="26">
        <v>5050000</v>
      </c>
      <c r="CO167" s="26">
        <v>20</v>
      </c>
      <c r="CP167" s="26">
        <v>5050000</v>
      </c>
      <c r="CQ167" s="26">
        <v>730000</v>
      </c>
      <c r="CR167" s="26">
        <v>500000</v>
      </c>
      <c r="CS167" s="26">
        <v>1200000</v>
      </c>
      <c r="CT167" s="26">
        <v>3500000</v>
      </c>
      <c r="CU167" s="26">
        <v>5930000</v>
      </c>
    </row>
    <row r="168" spans="1:99" x14ac:dyDescent="0.3">
      <c r="A168" s="26">
        <v>15</v>
      </c>
      <c r="B168" s="27" t="s">
        <v>55</v>
      </c>
      <c r="C168" s="27" t="s">
        <v>56</v>
      </c>
      <c r="D168" s="27" t="s">
        <v>26</v>
      </c>
      <c r="E168" s="27" t="s">
        <v>27</v>
      </c>
      <c r="H168" s="26">
        <v>5050000</v>
      </c>
      <c r="I168" s="26">
        <v>5050000</v>
      </c>
      <c r="J168" s="26">
        <v>5050000</v>
      </c>
      <c r="K168" s="26">
        <v>5050000</v>
      </c>
      <c r="L168" s="26">
        <v>5050000</v>
      </c>
      <c r="M168" s="26">
        <v>5050000</v>
      </c>
      <c r="N168" s="26">
        <v>5050000</v>
      </c>
      <c r="O168" s="26">
        <v>5050000</v>
      </c>
      <c r="P168" s="26">
        <v>5050000</v>
      </c>
      <c r="Q168" s="26">
        <v>5050000</v>
      </c>
      <c r="U168" s="26">
        <v>5050000</v>
      </c>
      <c r="V168" s="26">
        <v>5050000</v>
      </c>
      <c r="W168" s="26">
        <v>5050000</v>
      </c>
      <c r="X168" s="26">
        <v>5050000</v>
      </c>
      <c r="Y168" s="26">
        <v>5050000</v>
      </c>
      <c r="Z168" s="26">
        <v>5050000</v>
      </c>
      <c r="AA168" s="26">
        <v>5050000</v>
      </c>
      <c r="AB168" s="26">
        <v>5050000</v>
      </c>
      <c r="AC168" s="26">
        <v>5050000</v>
      </c>
      <c r="AF168" s="26">
        <v>730000</v>
      </c>
      <c r="AG168" s="26">
        <v>730000</v>
      </c>
      <c r="AH168" s="26">
        <v>730000</v>
      </c>
      <c r="AI168" s="26">
        <v>730000</v>
      </c>
      <c r="AJ168" s="26">
        <v>730000</v>
      </c>
      <c r="AK168" s="26">
        <v>730000</v>
      </c>
      <c r="AL168" s="26">
        <v>730000</v>
      </c>
      <c r="AM168" s="26">
        <v>730000</v>
      </c>
      <c r="AN168" s="26">
        <v>730000</v>
      </c>
      <c r="AO168" s="26">
        <v>730000</v>
      </c>
      <c r="AR168" s="26">
        <v>500000</v>
      </c>
      <c r="AS168" s="26">
        <v>500000</v>
      </c>
      <c r="AT168" s="26">
        <v>500000</v>
      </c>
      <c r="AU168" s="26">
        <v>500000</v>
      </c>
      <c r="AV168" s="26">
        <v>500000</v>
      </c>
      <c r="AW168" s="26">
        <v>500000</v>
      </c>
      <c r="AX168" s="26">
        <v>500000</v>
      </c>
      <c r="AY168" s="26">
        <v>500000</v>
      </c>
      <c r="AZ168" s="26">
        <v>500000</v>
      </c>
      <c r="BA168" s="26">
        <v>500000</v>
      </c>
      <c r="BD168" s="26">
        <v>0</v>
      </c>
      <c r="BE168" s="26">
        <v>0</v>
      </c>
      <c r="BF168" s="26">
        <v>0</v>
      </c>
      <c r="BG168" s="26">
        <v>0</v>
      </c>
      <c r="BH168" s="26">
        <v>0</v>
      </c>
      <c r="BI168" s="26">
        <v>0</v>
      </c>
      <c r="BJ168" s="26">
        <v>0</v>
      </c>
      <c r="BK168" s="26">
        <v>0</v>
      </c>
      <c r="BL168" s="26">
        <v>0</v>
      </c>
      <c r="BM168" s="26">
        <v>0</v>
      </c>
      <c r="BP168" s="26">
        <v>1200000</v>
      </c>
      <c r="BQ168" s="26">
        <v>1200000</v>
      </c>
      <c r="BR168" s="26">
        <v>1200000</v>
      </c>
      <c r="BS168" s="26">
        <v>1200000</v>
      </c>
      <c r="BT168" s="26">
        <v>1200000</v>
      </c>
      <c r="BU168" s="26">
        <v>1200000</v>
      </c>
      <c r="BV168" s="26">
        <v>1200000</v>
      </c>
      <c r="BW168" s="26">
        <v>1200000</v>
      </c>
      <c r="BX168" s="26">
        <v>1200000</v>
      </c>
      <c r="BY168" s="26">
        <v>1200000</v>
      </c>
      <c r="CB168" s="26">
        <v>3500000</v>
      </c>
      <c r="CC168" s="26">
        <v>3500000</v>
      </c>
      <c r="CD168" s="26">
        <v>3500000</v>
      </c>
      <c r="CE168" s="26">
        <v>3500000</v>
      </c>
      <c r="CF168" s="26">
        <v>3500000</v>
      </c>
      <c r="CG168" s="26">
        <v>3500000</v>
      </c>
      <c r="CH168" s="26">
        <v>3500000</v>
      </c>
      <c r="CI168" s="26">
        <v>3500000</v>
      </c>
      <c r="CJ168" s="26">
        <v>3500000</v>
      </c>
      <c r="CK168" s="26">
        <v>3500000</v>
      </c>
      <c r="CN168" s="26">
        <v>5050000</v>
      </c>
      <c r="CO168" s="26">
        <v>20</v>
      </c>
      <c r="CP168" s="26">
        <v>5050000</v>
      </c>
      <c r="CQ168" s="26">
        <v>730000</v>
      </c>
      <c r="CR168" s="26">
        <v>500000</v>
      </c>
      <c r="CS168" s="26">
        <v>1200000</v>
      </c>
      <c r="CT168" s="26">
        <v>3500000</v>
      </c>
      <c r="CU168" s="26">
        <v>5930000</v>
      </c>
    </row>
    <row r="169" spans="1:99" x14ac:dyDescent="0.3">
      <c r="A169" s="26">
        <v>15</v>
      </c>
      <c r="B169" s="27" t="s">
        <v>55</v>
      </c>
      <c r="C169" s="27" t="s">
        <v>56</v>
      </c>
      <c r="D169" s="27" t="s">
        <v>26</v>
      </c>
      <c r="E169" s="27" t="s">
        <v>27</v>
      </c>
      <c r="H169" s="26">
        <v>5050000</v>
      </c>
      <c r="I169" s="26">
        <v>5050000</v>
      </c>
      <c r="J169" s="26">
        <v>5050000</v>
      </c>
      <c r="K169" s="26">
        <v>5050000</v>
      </c>
      <c r="L169" s="26">
        <v>5050000</v>
      </c>
      <c r="M169" s="26">
        <v>5050000</v>
      </c>
      <c r="N169" s="26">
        <v>5050000</v>
      </c>
      <c r="O169" s="26">
        <v>5050000</v>
      </c>
      <c r="P169" s="26">
        <v>5050000</v>
      </c>
      <c r="Q169" s="26">
        <v>5050000</v>
      </c>
      <c r="U169" s="26">
        <v>5050000</v>
      </c>
      <c r="V169" s="26">
        <v>5050000</v>
      </c>
      <c r="W169" s="26">
        <v>5050000</v>
      </c>
      <c r="X169" s="26">
        <v>5050000</v>
      </c>
      <c r="Y169" s="26">
        <v>5050000</v>
      </c>
      <c r="Z169" s="26">
        <v>5050000</v>
      </c>
      <c r="AA169" s="26">
        <v>5050000</v>
      </c>
      <c r="AB169" s="26">
        <v>5050000</v>
      </c>
      <c r="AC169" s="26">
        <v>5050000</v>
      </c>
      <c r="AF169" s="26">
        <v>730000</v>
      </c>
      <c r="AG169" s="26">
        <v>730000</v>
      </c>
      <c r="AH169" s="26">
        <v>730000</v>
      </c>
      <c r="AI169" s="26">
        <v>730000</v>
      </c>
      <c r="AJ169" s="26">
        <v>730000</v>
      </c>
      <c r="AK169" s="26">
        <v>730000</v>
      </c>
      <c r="AL169" s="26">
        <v>730000</v>
      </c>
      <c r="AM169" s="26">
        <v>730000</v>
      </c>
      <c r="AN169" s="26">
        <v>730000</v>
      </c>
      <c r="AO169" s="26">
        <v>730000</v>
      </c>
      <c r="AR169" s="26">
        <v>500000</v>
      </c>
      <c r="AS169" s="26">
        <v>500000</v>
      </c>
      <c r="AT169" s="26">
        <v>500000</v>
      </c>
      <c r="AU169" s="26">
        <v>500000</v>
      </c>
      <c r="AV169" s="26">
        <v>500000</v>
      </c>
      <c r="AW169" s="26">
        <v>500000</v>
      </c>
      <c r="AX169" s="26">
        <v>500000</v>
      </c>
      <c r="AY169" s="26">
        <v>500000</v>
      </c>
      <c r="AZ169" s="26">
        <v>500000</v>
      </c>
      <c r="BA169" s="26">
        <v>500000</v>
      </c>
      <c r="BD169" s="26">
        <v>0</v>
      </c>
      <c r="BE169" s="26">
        <v>0</v>
      </c>
      <c r="BF169" s="26">
        <v>0</v>
      </c>
      <c r="BG169" s="26">
        <v>0</v>
      </c>
      <c r="BH169" s="26">
        <v>0</v>
      </c>
      <c r="BI169" s="26">
        <v>0</v>
      </c>
      <c r="BJ169" s="26">
        <v>0</v>
      </c>
      <c r="BK169" s="26">
        <v>0</v>
      </c>
      <c r="BL169" s="26">
        <v>0</v>
      </c>
      <c r="BM169" s="26">
        <v>0</v>
      </c>
      <c r="BP169" s="26">
        <v>1200000</v>
      </c>
      <c r="BQ169" s="26">
        <v>1200000</v>
      </c>
      <c r="BR169" s="26">
        <v>1200000</v>
      </c>
      <c r="BS169" s="26">
        <v>1200000</v>
      </c>
      <c r="BT169" s="26">
        <v>1200000</v>
      </c>
      <c r="BU169" s="26">
        <v>1200000</v>
      </c>
      <c r="BV169" s="26">
        <v>1200000</v>
      </c>
      <c r="BW169" s="26">
        <v>1200000</v>
      </c>
      <c r="BX169" s="26">
        <v>1200000</v>
      </c>
      <c r="BY169" s="26">
        <v>1200000</v>
      </c>
      <c r="CB169" s="26">
        <v>3500000</v>
      </c>
      <c r="CC169" s="26">
        <v>3500000</v>
      </c>
      <c r="CD169" s="26">
        <v>3500000</v>
      </c>
      <c r="CE169" s="26">
        <v>3500000</v>
      </c>
      <c r="CF169" s="26">
        <v>3500000</v>
      </c>
      <c r="CG169" s="26">
        <v>3500000</v>
      </c>
      <c r="CH169" s="26">
        <v>3500000</v>
      </c>
      <c r="CI169" s="26">
        <v>3500000</v>
      </c>
      <c r="CJ169" s="26">
        <v>3500000</v>
      </c>
      <c r="CK169" s="26">
        <v>3500000</v>
      </c>
      <c r="CN169" s="26">
        <v>5050000</v>
      </c>
      <c r="CO169" s="26">
        <v>22</v>
      </c>
      <c r="CP169" s="26">
        <v>5050000</v>
      </c>
      <c r="CQ169" s="26">
        <v>730000</v>
      </c>
      <c r="CR169" s="26">
        <v>500000</v>
      </c>
      <c r="CS169" s="26">
        <v>1200000</v>
      </c>
      <c r="CT169" s="26">
        <v>3500000</v>
      </c>
      <c r="CU169" s="26">
        <v>5930000</v>
      </c>
    </row>
    <row r="170" spans="1:99" x14ac:dyDescent="0.3">
      <c r="A170" s="26">
        <v>15</v>
      </c>
      <c r="B170" s="27" t="s">
        <v>55</v>
      </c>
      <c r="C170" s="27" t="s">
        <v>56</v>
      </c>
      <c r="D170" s="27" t="s">
        <v>26</v>
      </c>
      <c r="E170" s="27" t="s">
        <v>27</v>
      </c>
      <c r="H170" s="26">
        <v>5050000</v>
      </c>
      <c r="I170" s="26">
        <v>5050000</v>
      </c>
      <c r="J170" s="26">
        <v>5050000</v>
      </c>
      <c r="K170" s="26">
        <v>5050000</v>
      </c>
      <c r="L170" s="26">
        <v>5050000</v>
      </c>
      <c r="M170" s="26">
        <v>5050000</v>
      </c>
      <c r="N170" s="26">
        <v>5050000</v>
      </c>
      <c r="O170" s="26">
        <v>5050000</v>
      </c>
      <c r="P170" s="26">
        <v>5050000</v>
      </c>
      <c r="Q170" s="26">
        <v>5050000</v>
      </c>
      <c r="U170" s="26">
        <v>5050000</v>
      </c>
      <c r="V170" s="26">
        <v>5050000</v>
      </c>
      <c r="W170" s="26">
        <v>5050000</v>
      </c>
      <c r="X170" s="26">
        <v>5050000</v>
      </c>
      <c r="Y170" s="26">
        <v>5050000</v>
      </c>
      <c r="Z170" s="26">
        <v>5050000</v>
      </c>
      <c r="AA170" s="26">
        <v>5050000</v>
      </c>
      <c r="AB170" s="26">
        <v>5050000</v>
      </c>
      <c r="AC170" s="26">
        <v>5050000</v>
      </c>
      <c r="AF170" s="26">
        <v>730000</v>
      </c>
      <c r="AG170" s="26">
        <v>730000</v>
      </c>
      <c r="AH170" s="26">
        <v>730000</v>
      </c>
      <c r="AI170" s="26">
        <v>730000</v>
      </c>
      <c r="AJ170" s="26">
        <v>730000</v>
      </c>
      <c r="AK170" s="26">
        <v>730000</v>
      </c>
      <c r="AL170" s="26">
        <v>730000</v>
      </c>
      <c r="AM170" s="26">
        <v>730000</v>
      </c>
      <c r="AN170" s="26">
        <v>730000</v>
      </c>
      <c r="AO170" s="26">
        <v>730000</v>
      </c>
      <c r="AR170" s="26">
        <v>500000</v>
      </c>
      <c r="AS170" s="26">
        <v>500000</v>
      </c>
      <c r="AT170" s="26">
        <v>500000</v>
      </c>
      <c r="AU170" s="26">
        <v>500000</v>
      </c>
      <c r="AV170" s="26">
        <v>500000</v>
      </c>
      <c r="AW170" s="26">
        <v>500000</v>
      </c>
      <c r="AX170" s="26">
        <v>500000</v>
      </c>
      <c r="AY170" s="26">
        <v>500000</v>
      </c>
      <c r="AZ170" s="26">
        <v>500000</v>
      </c>
      <c r="BA170" s="26">
        <v>500000</v>
      </c>
      <c r="BD170" s="26">
        <v>0</v>
      </c>
      <c r="BE170" s="26">
        <v>0</v>
      </c>
      <c r="BF170" s="26">
        <v>0</v>
      </c>
      <c r="BG170" s="26">
        <v>0</v>
      </c>
      <c r="BH170" s="26">
        <v>0</v>
      </c>
      <c r="BI170" s="26">
        <v>0</v>
      </c>
      <c r="BJ170" s="26">
        <v>0</v>
      </c>
      <c r="BK170" s="26">
        <v>0</v>
      </c>
      <c r="BL170" s="26">
        <v>0</v>
      </c>
      <c r="BM170" s="26">
        <v>0</v>
      </c>
      <c r="BP170" s="26">
        <v>1200000</v>
      </c>
      <c r="BQ170" s="26">
        <v>1200000</v>
      </c>
      <c r="BR170" s="26">
        <v>1200000</v>
      </c>
      <c r="BS170" s="26">
        <v>1200000</v>
      </c>
      <c r="BT170" s="26">
        <v>1200000</v>
      </c>
      <c r="BU170" s="26">
        <v>1200000</v>
      </c>
      <c r="BV170" s="26">
        <v>1200000</v>
      </c>
      <c r="BW170" s="26">
        <v>1200000</v>
      </c>
      <c r="BX170" s="26">
        <v>1200000</v>
      </c>
      <c r="BY170" s="26">
        <v>1200000</v>
      </c>
      <c r="CB170" s="26">
        <v>3500000</v>
      </c>
      <c r="CC170" s="26">
        <v>3500000</v>
      </c>
      <c r="CD170" s="26">
        <v>3500000</v>
      </c>
      <c r="CE170" s="26">
        <v>3500000</v>
      </c>
      <c r="CF170" s="26">
        <v>3500000</v>
      </c>
      <c r="CG170" s="26">
        <v>3500000</v>
      </c>
      <c r="CH170" s="26">
        <v>3500000</v>
      </c>
      <c r="CI170" s="26">
        <v>3500000</v>
      </c>
      <c r="CJ170" s="26">
        <v>3500000</v>
      </c>
      <c r="CK170" s="26">
        <v>3500000</v>
      </c>
      <c r="CN170" s="26">
        <v>5050000</v>
      </c>
      <c r="CO170" s="26">
        <v>21</v>
      </c>
      <c r="CP170" s="26">
        <v>5050000</v>
      </c>
      <c r="CQ170" s="26">
        <v>730000</v>
      </c>
      <c r="CR170" s="26">
        <v>500000</v>
      </c>
      <c r="CS170" s="26">
        <v>1200000</v>
      </c>
      <c r="CT170" s="26">
        <v>3500000</v>
      </c>
      <c r="CU170" s="26">
        <v>5930000</v>
      </c>
    </row>
    <row r="171" spans="1:99" x14ac:dyDescent="0.3">
      <c r="A171" s="26">
        <v>15</v>
      </c>
      <c r="B171" s="27" t="s">
        <v>55</v>
      </c>
      <c r="C171" s="27" t="s">
        <v>56</v>
      </c>
      <c r="D171" s="27" t="s">
        <v>26</v>
      </c>
      <c r="E171" s="27" t="s">
        <v>27</v>
      </c>
      <c r="H171" s="26">
        <v>5050000</v>
      </c>
      <c r="I171" s="26">
        <v>5050000</v>
      </c>
      <c r="J171" s="26">
        <v>5050000</v>
      </c>
      <c r="K171" s="26">
        <v>5050000</v>
      </c>
      <c r="L171" s="26">
        <v>5050000</v>
      </c>
      <c r="M171" s="26">
        <v>5050000</v>
      </c>
      <c r="N171" s="26">
        <v>5050000</v>
      </c>
      <c r="O171" s="26">
        <v>5050000</v>
      </c>
      <c r="P171" s="26">
        <v>5050000</v>
      </c>
      <c r="Q171" s="26">
        <v>5050000</v>
      </c>
      <c r="U171" s="26">
        <v>5050000</v>
      </c>
      <c r="V171" s="26">
        <v>5050000</v>
      </c>
      <c r="W171" s="26">
        <v>5050000</v>
      </c>
      <c r="X171" s="26">
        <v>5050000</v>
      </c>
      <c r="Y171" s="26">
        <v>5050000</v>
      </c>
      <c r="Z171" s="26">
        <v>5050000</v>
      </c>
      <c r="AA171" s="26">
        <v>5050000</v>
      </c>
      <c r="AB171" s="26">
        <v>5050000</v>
      </c>
      <c r="AC171" s="26">
        <v>5050000</v>
      </c>
      <c r="AF171" s="26">
        <v>730000</v>
      </c>
      <c r="AG171" s="26">
        <v>730000</v>
      </c>
      <c r="AH171" s="26">
        <v>730000</v>
      </c>
      <c r="AI171" s="26">
        <v>730000</v>
      </c>
      <c r="AJ171" s="26">
        <v>730000</v>
      </c>
      <c r="AK171" s="26">
        <v>730000</v>
      </c>
      <c r="AL171" s="26">
        <v>730000</v>
      </c>
      <c r="AM171" s="26">
        <v>730000</v>
      </c>
      <c r="AN171" s="26">
        <v>730000</v>
      </c>
      <c r="AO171" s="26">
        <v>730000</v>
      </c>
      <c r="AR171" s="26">
        <v>500000</v>
      </c>
      <c r="AS171" s="26">
        <v>500000</v>
      </c>
      <c r="AT171" s="26">
        <v>500000</v>
      </c>
      <c r="AU171" s="26">
        <v>500000</v>
      </c>
      <c r="AV171" s="26">
        <v>500000</v>
      </c>
      <c r="AW171" s="26">
        <v>500000</v>
      </c>
      <c r="AX171" s="26">
        <v>500000</v>
      </c>
      <c r="AY171" s="26">
        <v>500000</v>
      </c>
      <c r="AZ171" s="26">
        <v>500000</v>
      </c>
      <c r="BA171" s="26">
        <v>500000</v>
      </c>
      <c r="BD171" s="26">
        <v>0</v>
      </c>
      <c r="BE171" s="26">
        <v>0</v>
      </c>
      <c r="BF171" s="26">
        <v>0</v>
      </c>
      <c r="BG171" s="26">
        <v>0</v>
      </c>
      <c r="BH171" s="26">
        <v>0</v>
      </c>
      <c r="BI171" s="26">
        <v>0</v>
      </c>
      <c r="BJ171" s="26">
        <v>0</v>
      </c>
      <c r="BK171" s="26">
        <v>0</v>
      </c>
      <c r="BL171" s="26">
        <v>0</v>
      </c>
      <c r="BM171" s="26">
        <v>0</v>
      </c>
      <c r="BP171" s="26">
        <v>1200000</v>
      </c>
      <c r="BQ171" s="26">
        <v>1200000</v>
      </c>
      <c r="BR171" s="26">
        <v>1200000</v>
      </c>
      <c r="BS171" s="26">
        <v>1200000</v>
      </c>
      <c r="BT171" s="26">
        <v>1200000</v>
      </c>
      <c r="BU171" s="26">
        <v>1200000</v>
      </c>
      <c r="BV171" s="26">
        <v>1200000</v>
      </c>
      <c r="BW171" s="26">
        <v>1200000</v>
      </c>
      <c r="BX171" s="26">
        <v>1200000</v>
      </c>
      <c r="BY171" s="26">
        <v>1200000</v>
      </c>
      <c r="CB171" s="26">
        <v>3500000</v>
      </c>
      <c r="CC171" s="26">
        <v>3500000</v>
      </c>
      <c r="CD171" s="26">
        <v>3500000</v>
      </c>
      <c r="CE171" s="26">
        <v>3500000</v>
      </c>
      <c r="CF171" s="26">
        <v>3500000</v>
      </c>
      <c r="CG171" s="26">
        <v>3500000</v>
      </c>
      <c r="CH171" s="26">
        <v>3500000</v>
      </c>
      <c r="CI171" s="26">
        <v>3500000</v>
      </c>
      <c r="CJ171" s="26">
        <v>3500000</v>
      </c>
      <c r="CK171" s="26">
        <v>3500000</v>
      </c>
      <c r="CN171" s="26">
        <v>5050000</v>
      </c>
      <c r="CO171" s="26">
        <v>23</v>
      </c>
      <c r="CP171" s="26">
        <v>5050000</v>
      </c>
      <c r="CQ171" s="26">
        <v>730000</v>
      </c>
      <c r="CR171" s="26">
        <v>500000</v>
      </c>
      <c r="CS171" s="26">
        <v>1200000</v>
      </c>
      <c r="CT171" s="26">
        <v>3500000</v>
      </c>
      <c r="CU171" s="26">
        <v>5930000</v>
      </c>
    </row>
    <row r="172" spans="1:99" x14ac:dyDescent="0.3">
      <c r="A172" s="26">
        <v>15</v>
      </c>
      <c r="B172" s="27" t="s">
        <v>55</v>
      </c>
      <c r="C172" s="27" t="s">
        <v>56</v>
      </c>
      <c r="D172" s="27" t="s">
        <v>26</v>
      </c>
      <c r="E172" s="27" t="s">
        <v>27</v>
      </c>
      <c r="H172" s="26">
        <v>5050000</v>
      </c>
      <c r="I172" s="26">
        <v>5050000</v>
      </c>
      <c r="J172" s="26">
        <v>5050000</v>
      </c>
      <c r="K172" s="26">
        <v>5050000</v>
      </c>
      <c r="L172" s="26">
        <v>5050000</v>
      </c>
      <c r="M172" s="26">
        <v>5050000</v>
      </c>
      <c r="N172" s="26">
        <v>5050000</v>
      </c>
      <c r="O172" s="26">
        <v>5050000</v>
      </c>
      <c r="P172" s="26">
        <v>5050000</v>
      </c>
      <c r="Q172" s="26">
        <v>5050000</v>
      </c>
      <c r="U172" s="26">
        <v>5050000</v>
      </c>
      <c r="V172" s="26">
        <v>5050000</v>
      </c>
      <c r="W172" s="26">
        <v>5050000</v>
      </c>
      <c r="X172" s="26">
        <v>5050000</v>
      </c>
      <c r="Y172" s="26">
        <v>5050000</v>
      </c>
      <c r="Z172" s="26">
        <v>5050000</v>
      </c>
      <c r="AA172" s="26">
        <v>5050000</v>
      </c>
      <c r="AB172" s="26">
        <v>5050000</v>
      </c>
      <c r="AC172" s="26">
        <v>5050000</v>
      </c>
      <c r="AF172" s="26">
        <v>730000</v>
      </c>
      <c r="AG172" s="26">
        <v>730000</v>
      </c>
      <c r="AH172" s="26">
        <v>730000</v>
      </c>
      <c r="AI172" s="26">
        <v>730000</v>
      </c>
      <c r="AJ172" s="26">
        <v>730000</v>
      </c>
      <c r="AK172" s="26">
        <v>730000</v>
      </c>
      <c r="AL172" s="26">
        <v>730000</v>
      </c>
      <c r="AM172" s="26">
        <v>730000</v>
      </c>
      <c r="AN172" s="26">
        <v>730000</v>
      </c>
      <c r="AO172" s="26">
        <v>730000</v>
      </c>
      <c r="AR172" s="26">
        <v>500000</v>
      </c>
      <c r="AS172" s="26">
        <v>500000</v>
      </c>
      <c r="AT172" s="26">
        <v>500000</v>
      </c>
      <c r="AU172" s="26">
        <v>500000</v>
      </c>
      <c r="AV172" s="26">
        <v>500000</v>
      </c>
      <c r="AW172" s="26">
        <v>500000</v>
      </c>
      <c r="AX172" s="26">
        <v>500000</v>
      </c>
      <c r="AY172" s="26">
        <v>500000</v>
      </c>
      <c r="AZ172" s="26">
        <v>500000</v>
      </c>
      <c r="BA172" s="26">
        <v>500000</v>
      </c>
      <c r="BD172" s="26">
        <v>0</v>
      </c>
      <c r="BE172" s="26">
        <v>0</v>
      </c>
      <c r="BF172" s="26">
        <v>0</v>
      </c>
      <c r="BG172" s="26">
        <v>0</v>
      </c>
      <c r="BH172" s="26">
        <v>0</v>
      </c>
      <c r="BI172" s="26">
        <v>0</v>
      </c>
      <c r="BJ172" s="26">
        <v>0</v>
      </c>
      <c r="BK172" s="26">
        <v>0</v>
      </c>
      <c r="BL172" s="26">
        <v>0</v>
      </c>
      <c r="BM172" s="26">
        <v>0</v>
      </c>
      <c r="BP172" s="26">
        <v>1200000</v>
      </c>
      <c r="BQ172" s="26">
        <v>1200000</v>
      </c>
      <c r="BR172" s="26">
        <v>1200000</v>
      </c>
      <c r="BS172" s="26">
        <v>1200000</v>
      </c>
      <c r="BT172" s="26">
        <v>1200000</v>
      </c>
      <c r="BU172" s="26">
        <v>1200000</v>
      </c>
      <c r="BV172" s="26">
        <v>1200000</v>
      </c>
      <c r="BW172" s="26">
        <v>1200000</v>
      </c>
      <c r="BX172" s="26">
        <v>1200000</v>
      </c>
      <c r="BY172" s="26">
        <v>1200000</v>
      </c>
      <c r="CB172" s="26">
        <v>3500000</v>
      </c>
      <c r="CC172" s="26">
        <v>3500000</v>
      </c>
      <c r="CD172" s="26">
        <v>3500000</v>
      </c>
      <c r="CE172" s="26">
        <v>3500000</v>
      </c>
      <c r="CF172" s="26">
        <v>3500000</v>
      </c>
      <c r="CG172" s="26">
        <v>3500000</v>
      </c>
      <c r="CH172" s="26">
        <v>3500000</v>
      </c>
      <c r="CI172" s="26">
        <v>3500000</v>
      </c>
      <c r="CJ172" s="26">
        <v>3500000</v>
      </c>
      <c r="CK172" s="26">
        <v>3500000</v>
      </c>
      <c r="CN172" s="26">
        <v>5050000</v>
      </c>
      <c r="CO172" s="26">
        <v>23</v>
      </c>
      <c r="CP172" s="26">
        <v>5050000</v>
      </c>
      <c r="CQ172" s="26">
        <v>730000</v>
      </c>
      <c r="CR172" s="26">
        <v>500000</v>
      </c>
      <c r="CS172" s="26">
        <v>1200000</v>
      </c>
      <c r="CT172" s="26">
        <v>3500000</v>
      </c>
      <c r="CU172" s="26">
        <v>5930000</v>
      </c>
    </row>
    <row r="173" spans="1:99" x14ac:dyDescent="0.3">
      <c r="A173" s="26">
        <v>15</v>
      </c>
      <c r="B173" s="27" t="s">
        <v>55</v>
      </c>
      <c r="C173" s="27" t="s">
        <v>56</v>
      </c>
      <c r="D173" s="27" t="s">
        <v>26</v>
      </c>
      <c r="E173" s="27" t="s">
        <v>27</v>
      </c>
      <c r="H173" s="26">
        <v>5050000</v>
      </c>
      <c r="I173" s="26">
        <v>5050000</v>
      </c>
      <c r="J173" s="26">
        <v>5050000</v>
      </c>
      <c r="K173" s="26">
        <v>5050000</v>
      </c>
      <c r="L173" s="26">
        <v>5050000</v>
      </c>
      <c r="M173" s="26">
        <v>5050000</v>
      </c>
      <c r="N173" s="26">
        <v>5050000</v>
      </c>
      <c r="O173" s="26">
        <v>5050000</v>
      </c>
      <c r="P173" s="26">
        <v>5050000</v>
      </c>
      <c r="Q173" s="26">
        <v>5050000</v>
      </c>
      <c r="U173" s="26">
        <v>5050000</v>
      </c>
      <c r="V173" s="26">
        <v>5050000</v>
      </c>
      <c r="W173" s="26">
        <v>5050000</v>
      </c>
      <c r="X173" s="26">
        <v>5050000</v>
      </c>
      <c r="Y173" s="26">
        <v>5050000</v>
      </c>
      <c r="Z173" s="26">
        <v>5050000</v>
      </c>
      <c r="AA173" s="26">
        <v>5050000</v>
      </c>
      <c r="AB173" s="26">
        <v>5050000</v>
      </c>
      <c r="AC173" s="26">
        <v>5050000</v>
      </c>
      <c r="AF173" s="26">
        <v>730000</v>
      </c>
      <c r="AG173" s="26">
        <v>730000</v>
      </c>
      <c r="AH173" s="26">
        <v>730000</v>
      </c>
      <c r="AI173" s="26">
        <v>730000</v>
      </c>
      <c r="AJ173" s="26">
        <v>730000</v>
      </c>
      <c r="AK173" s="26">
        <v>730000</v>
      </c>
      <c r="AL173" s="26">
        <v>730000</v>
      </c>
      <c r="AM173" s="26">
        <v>730000</v>
      </c>
      <c r="AN173" s="26">
        <v>730000</v>
      </c>
      <c r="AO173" s="26">
        <v>730000</v>
      </c>
      <c r="AR173" s="26">
        <v>500000</v>
      </c>
      <c r="AS173" s="26">
        <v>500000</v>
      </c>
      <c r="AT173" s="26">
        <v>500000</v>
      </c>
      <c r="AU173" s="26">
        <v>500000</v>
      </c>
      <c r="AV173" s="26">
        <v>500000</v>
      </c>
      <c r="AW173" s="26">
        <v>500000</v>
      </c>
      <c r="AX173" s="26">
        <v>500000</v>
      </c>
      <c r="AY173" s="26">
        <v>500000</v>
      </c>
      <c r="AZ173" s="26">
        <v>500000</v>
      </c>
      <c r="BA173" s="26">
        <v>500000</v>
      </c>
      <c r="BD173" s="26">
        <v>0</v>
      </c>
      <c r="BE173" s="26">
        <v>0</v>
      </c>
      <c r="BF173" s="26">
        <v>0</v>
      </c>
      <c r="BG173" s="26">
        <v>0</v>
      </c>
      <c r="BH173" s="26">
        <v>0</v>
      </c>
      <c r="BI173" s="26">
        <v>0</v>
      </c>
      <c r="BJ173" s="26">
        <v>0</v>
      </c>
      <c r="BK173" s="26">
        <v>0</v>
      </c>
      <c r="BL173" s="26">
        <v>0</v>
      </c>
      <c r="BM173" s="26">
        <v>0</v>
      </c>
      <c r="BP173" s="26">
        <v>1200000</v>
      </c>
      <c r="BQ173" s="26">
        <v>1200000</v>
      </c>
      <c r="BR173" s="26">
        <v>1200000</v>
      </c>
      <c r="BS173" s="26">
        <v>1200000</v>
      </c>
      <c r="BT173" s="26">
        <v>1200000</v>
      </c>
      <c r="BU173" s="26">
        <v>1200000</v>
      </c>
      <c r="BV173" s="26">
        <v>1200000</v>
      </c>
      <c r="BW173" s="26">
        <v>1200000</v>
      </c>
      <c r="BX173" s="26">
        <v>1200000</v>
      </c>
      <c r="BY173" s="26">
        <v>1200000</v>
      </c>
      <c r="CB173" s="26">
        <v>3500000</v>
      </c>
      <c r="CC173" s="26">
        <v>3500000</v>
      </c>
      <c r="CD173" s="26">
        <v>3500000</v>
      </c>
      <c r="CE173" s="26">
        <v>3500000</v>
      </c>
      <c r="CF173" s="26">
        <v>3500000</v>
      </c>
      <c r="CG173" s="26">
        <v>3500000</v>
      </c>
      <c r="CH173" s="26">
        <v>3500000</v>
      </c>
      <c r="CI173" s="26">
        <v>3500000</v>
      </c>
      <c r="CJ173" s="26">
        <v>3500000</v>
      </c>
      <c r="CK173" s="26">
        <v>3500000</v>
      </c>
      <c r="CN173" s="26">
        <v>5050000</v>
      </c>
      <c r="CO173" s="26">
        <v>20</v>
      </c>
      <c r="CP173" s="26">
        <v>5050000</v>
      </c>
      <c r="CQ173" s="26">
        <v>730000</v>
      </c>
      <c r="CR173" s="26">
        <v>500000</v>
      </c>
      <c r="CS173" s="26">
        <v>1200000</v>
      </c>
      <c r="CT173" s="26">
        <v>3500000</v>
      </c>
      <c r="CU173" s="26">
        <v>5930000</v>
      </c>
    </row>
    <row r="174" spans="1:99" x14ac:dyDescent="0.3">
      <c r="A174" s="26">
        <v>15</v>
      </c>
      <c r="B174" s="27" t="s">
        <v>55</v>
      </c>
      <c r="C174" s="27" t="s">
        <v>56</v>
      </c>
      <c r="D174" s="27" t="s">
        <v>26</v>
      </c>
      <c r="E174" s="27" t="s">
        <v>27</v>
      </c>
      <c r="H174" s="26">
        <v>5050000</v>
      </c>
      <c r="I174" s="26">
        <v>5050000</v>
      </c>
      <c r="J174" s="26">
        <v>5050000</v>
      </c>
      <c r="K174" s="26">
        <v>5050000</v>
      </c>
      <c r="L174" s="26">
        <v>5050000</v>
      </c>
      <c r="M174" s="26">
        <v>5050000</v>
      </c>
      <c r="N174" s="26">
        <v>5050000</v>
      </c>
      <c r="O174" s="26">
        <v>5050000</v>
      </c>
      <c r="P174" s="26">
        <v>5050000</v>
      </c>
      <c r="Q174" s="26">
        <v>5050000</v>
      </c>
      <c r="U174" s="26">
        <v>5050000</v>
      </c>
      <c r="V174" s="26">
        <v>5050000</v>
      </c>
      <c r="W174" s="26">
        <v>5050000</v>
      </c>
      <c r="X174" s="26">
        <v>5050000</v>
      </c>
      <c r="Y174" s="26">
        <v>5050000</v>
      </c>
      <c r="Z174" s="26">
        <v>5050000</v>
      </c>
      <c r="AA174" s="26">
        <v>5050000</v>
      </c>
      <c r="AB174" s="26">
        <v>5050000</v>
      </c>
      <c r="AC174" s="26">
        <v>5050000</v>
      </c>
      <c r="AF174" s="26">
        <v>730000</v>
      </c>
      <c r="AG174" s="26">
        <v>730000</v>
      </c>
      <c r="AH174" s="26">
        <v>730000</v>
      </c>
      <c r="AI174" s="26">
        <v>730000</v>
      </c>
      <c r="AJ174" s="26">
        <v>730000</v>
      </c>
      <c r="AK174" s="26">
        <v>730000</v>
      </c>
      <c r="AL174" s="26">
        <v>730000</v>
      </c>
      <c r="AM174" s="26">
        <v>730000</v>
      </c>
      <c r="AN174" s="26">
        <v>730000</v>
      </c>
      <c r="AO174" s="26">
        <v>730000</v>
      </c>
      <c r="AR174" s="26">
        <v>500000</v>
      </c>
      <c r="AS174" s="26">
        <v>500000</v>
      </c>
      <c r="AT174" s="26">
        <v>500000</v>
      </c>
      <c r="AU174" s="26">
        <v>500000</v>
      </c>
      <c r="AV174" s="26">
        <v>500000</v>
      </c>
      <c r="AW174" s="26">
        <v>500000</v>
      </c>
      <c r="AX174" s="26">
        <v>500000</v>
      </c>
      <c r="AY174" s="26">
        <v>500000</v>
      </c>
      <c r="AZ174" s="26">
        <v>500000</v>
      </c>
      <c r="BA174" s="26">
        <v>500000</v>
      </c>
      <c r="BD174" s="26">
        <v>0</v>
      </c>
      <c r="BE174" s="26">
        <v>0</v>
      </c>
      <c r="BF174" s="26">
        <v>0</v>
      </c>
      <c r="BG174" s="26">
        <v>0</v>
      </c>
      <c r="BH174" s="26">
        <v>0</v>
      </c>
      <c r="BI174" s="26">
        <v>0</v>
      </c>
      <c r="BJ174" s="26">
        <v>0</v>
      </c>
      <c r="BK174" s="26">
        <v>0</v>
      </c>
      <c r="BL174" s="26">
        <v>0</v>
      </c>
      <c r="BM174" s="26">
        <v>0</v>
      </c>
      <c r="BP174" s="26">
        <v>1200000</v>
      </c>
      <c r="BQ174" s="26">
        <v>1200000</v>
      </c>
      <c r="BR174" s="26">
        <v>1200000</v>
      </c>
      <c r="BS174" s="26">
        <v>1200000</v>
      </c>
      <c r="BT174" s="26">
        <v>1200000</v>
      </c>
      <c r="BU174" s="26">
        <v>1200000</v>
      </c>
      <c r="BV174" s="26">
        <v>1200000</v>
      </c>
      <c r="BW174" s="26">
        <v>1200000</v>
      </c>
      <c r="BX174" s="26">
        <v>1200000</v>
      </c>
      <c r="BY174" s="26">
        <v>1200000</v>
      </c>
      <c r="CB174" s="26">
        <v>3500000</v>
      </c>
      <c r="CC174" s="26">
        <v>3500000</v>
      </c>
      <c r="CD174" s="26">
        <v>3500000</v>
      </c>
      <c r="CE174" s="26">
        <v>3500000</v>
      </c>
      <c r="CF174" s="26">
        <v>3500000</v>
      </c>
      <c r="CG174" s="26">
        <v>3500000</v>
      </c>
      <c r="CH174" s="26">
        <v>3500000</v>
      </c>
      <c r="CI174" s="26">
        <v>3500000</v>
      </c>
      <c r="CJ174" s="26">
        <v>3500000</v>
      </c>
      <c r="CK174" s="26">
        <v>3500000</v>
      </c>
      <c r="CN174" s="26">
        <v>5050000</v>
      </c>
      <c r="CO174" s="26">
        <v>21</v>
      </c>
      <c r="CP174" s="26">
        <v>5050000</v>
      </c>
      <c r="CQ174" s="26">
        <v>730000</v>
      </c>
      <c r="CR174" s="26">
        <v>500000</v>
      </c>
      <c r="CS174" s="26">
        <v>1200000</v>
      </c>
      <c r="CT174" s="26">
        <v>3500000</v>
      </c>
      <c r="CU174" s="26">
        <v>5930000</v>
      </c>
    </row>
    <row r="175" spans="1:99" x14ac:dyDescent="0.3">
      <c r="A175" s="26">
        <v>15</v>
      </c>
      <c r="B175" s="27" t="s">
        <v>55</v>
      </c>
      <c r="C175" s="27" t="s">
        <v>56</v>
      </c>
      <c r="D175" s="27" t="s">
        <v>26</v>
      </c>
      <c r="E175" s="27" t="s">
        <v>27</v>
      </c>
      <c r="H175" s="26">
        <v>5050000</v>
      </c>
      <c r="I175" s="26">
        <v>5050000</v>
      </c>
      <c r="J175" s="26">
        <v>5050000</v>
      </c>
      <c r="K175" s="26">
        <v>5050000</v>
      </c>
      <c r="L175" s="26">
        <v>5050000</v>
      </c>
      <c r="M175" s="26">
        <v>5050000</v>
      </c>
      <c r="N175" s="26">
        <v>5050000</v>
      </c>
      <c r="O175" s="26">
        <v>5050000</v>
      </c>
      <c r="P175" s="26">
        <v>5050000</v>
      </c>
      <c r="Q175" s="26">
        <v>5050000</v>
      </c>
      <c r="U175" s="26">
        <v>5050000</v>
      </c>
      <c r="V175" s="26">
        <v>5050000</v>
      </c>
      <c r="W175" s="26">
        <v>5050000</v>
      </c>
      <c r="X175" s="26">
        <v>5050000</v>
      </c>
      <c r="Y175" s="26">
        <v>5050000</v>
      </c>
      <c r="Z175" s="26">
        <v>5050000</v>
      </c>
      <c r="AA175" s="26">
        <v>5050000</v>
      </c>
      <c r="AB175" s="26">
        <v>5050000</v>
      </c>
      <c r="AC175" s="26">
        <v>5050000</v>
      </c>
      <c r="AF175" s="26">
        <v>730000</v>
      </c>
      <c r="AG175" s="26">
        <v>730000</v>
      </c>
      <c r="AH175" s="26">
        <v>730000</v>
      </c>
      <c r="AI175" s="26">
        <v>730000</v>
      </c>
      <c r="AJ175" s="26">
        <v>730000</v>
      </c>
      <c r="AK175" s="26">
        <v>730000</v>
      </c>
      <c r="AL175" s="26">
        <v>730000</v>
      </c>
      <c r="AM175" s="26">
        <v>730000</v>
      </c>
      <c r="AN175" s="26">
        <v>730000</v>
      </c>
      <c r="AO175" s="26">
        <v>730000</v>
      </c>
      <c r="AR175" s="26">
        <v>500000</v>
      </c>
      <c r="AS175" s="26">
        <v>500000</v>
      </c>
      <c r="AT175" s="26">
        <v>500000</v>
      </c>
      <c r="AU175" s="26">
        <v>500000</v>
      </c>
      <c r="AV175" s="26">
        <v>500000</v>
      </c>
      <c r="AW175" s="26">
        <v>500000</v>
      </c>
      <c r="AX175" s="26">
        <v>500000</v>
      </c>
      <c r="AY175" s="26">
        <v>500000</v>
      </c>
      <c r="AZ175" s="26">
        <v>500000</v>
      </c>
      <c r="BA175" s="26">
        <v>500000</v>
      </c>
      <c r="BD175" s="26">
        <v>0</v>
      </c>
      <c r="BE175" s="26">
        <v>0</v>
      </c>
      <c r="BF175" s="26">
        <v>0</v>
      </c>
      <c r="BG175" s="26">
        <v>0</v>
      </c>
      <c r="BH175" s="26">
        <v>0</v>
      </c>
      <c r="BI175" s="26">
        <v>0</v>
      </c>
      <c r="BJ175" s="26">
        <v>0</v>
      </c>
      <c r="BK175" s="26">
        <v>0</v>
      </c>
      <c r="BL175" s="26">
        <v>0</v>
      </c>
      <c r="BM175" s="26">
        <v>0</v>
      </c>
      <c r="BP175" s="26">
        <v>1200000</v>
      </c>
      <c r="BQ175" s="26">
        <v>1200000</v>
      </c>
      <c r="BR175" s="26">
        <v>1200000</v>
      </c>
      <c r="BS175" s="26">
        <v>1200000</v>
      </c>
      <c r="BT175" s="26">
        <v>1200000</v>
      </c>
      <c r="BU175" s="26">
        <v>1200000</v>
      </c>
      <c r="BV175" s="26">
        <v>1200000</v>
      </c>
      <c r="BW175" s="26">
        <v>1200000</v>
      </c>
      <c r="BX175" s="26">
        <v>1200000</v>
      </c>
      <c r="BY175" s="26">
        <v>1200000</v>
      </c>
      <c r="CB175" s="26">
        <v>3500000</v>
      </c>
      <c r="CC175" s="26">
        <v>3500000</v>
      </c>
      <c r="CD175" s="26">
        <v>3500000</v>
      </c>
      <c r="CE175" s="26">
        <v>3500000</v>
      </c>
      <c r="CF175" s="26">
        <v>3500000</v>
      </c>
      <c r="CG175" s="26">
        <v>3500000</v>
      </c>
      <c r="CH175" s="26">
        <v>3500000</v>
      </c>
      <c r="CI175" s="26">
        <v>3500000</v>
      </c>
      <c r="CJ175" s="26">
        <v>3500000</v>
      </c>
      <c r="CK175" s="26">
        <v>3500000</v>
      </c>
      <c r="CN175" s="26">
        <v>5050000</v>
      </c>
      <c r="CO175" s="26">
        <v>23</v>
      </c>
      <c r="CP175" s="26">
        <v>5050000</v>
      </c>
      <c r="CQ175" s="26">
        <v>730000</v>
      </c>
      <c r="CR175" s="26">
        <v>500000</v>
      </c>
      <c r="CS175" s="26">
        <v>1200000</v>
      </c>
      <c r="CT175" s="26">
        <v>3500000</v>
      </c>
      <c r="CU175" s="26">
        <v>5930000</v>
      </c>
    </row>
    <row r="176" spans="1:99" x14ac:dyDescent="0.3">
      <c r="A176" s="26">
        <v>15</v>
      </c>
      <c r="B176" s="27" t="s">
        <v>55</v>
      </c>
      <c r="C176" s="27" t="s">
        <v>56</v>
      </c>
      <c r="D176" s="27" t="s">
        <v>26</v>
      </c>
      <c r="E176" s="27" t="s">
        <v>27</v>
      </c>
      <c r="H176" s="26">
        <v>5050000</v>
      </c>
      <c r="I176" s="26">
        <v>5050000</v>
      </c>
      <c r="J176" s="26">
        <v>5050000</v>
      </c>
      <c r="K176" s="26">
        <v>5050000</v>
      </c>
      <c r="L176" s="26">
        <v>5050000</v>
      </c>
      <c r="M176" s="26">
        <v>5050000</v>
      </c>
      <c r="N176" s="26">
        <v>5050000</v>
      </c>
      <c r="O176" s="26">
        <v>5050000</v>
      </c>
      <c r="P176" s="26">
        <v>5050000</v>
      </c>
      <c r="Q176" s="26">
        <v>5050000</v>
      </c>
      <c r="U176" s="26">
        <v>5050000</v>
      </c>
      <c r="V176" s="26">
        <v>5050000</v>
      </c>
      <c r="W176" s="26">
        <v>5050000</v>
      </c>
      <c r="X176" s="26">
        <v>5050000</v>
      </c>
      <c r="Y176" s="26">
        <v>5050000</v>
      </c>
      <c r="Z176" s="26">
        <v>5050000</v>
      </c>
      <c r="AA176" s="26">
        <v>5050000</v>
      </c>
      <c r="AB176" s="26">
        <v>5050000</v>
      </c>
      <c r="AC176" s="26">
        <v>5050000</v>
      </c>
      <c r="AF176" s="26">
        <v>730000</v>
      </c>
      <c r="AG176" s="26">
        <v>730000</v>
      </c>
      <c r="AH176" s="26">
        <v>730000</v>
      </c>
      <c r="AI176" s="26">
        <v>730000</v>
      </c>
      <c r="AJ176" s="26">
        <v>730000</v>
      </c>
      <c r="AK176" s="26">
        <v>730000</v>
      </c>
      <c r="AL176" s="26">
        <v>730000</v>
      </c>
      <c r="AM176" s="26">
        <v>730000</v>
      </c>
      <c r="AN176" s="26">
        <v>730000</v>
      </c>
      <c r="AO176" s="26">
        <v>730000</v>
      </c>
      <c r="AR176" s="26">
        <v>500000</v>
      </c>
      <c r="AS176" s="26">
        <v>500000</v>
      </c>
      <c r="AT176" s="26">
        <v>500000</v>
      </c>
      <c r="AU176" s="26">
        <v>500000</v>
      </c>
      <c r="AV176" s="26">
        <v>500000</v>
      </c>
      <c r="AW176" s="26">
        <v>500000</v>
      </c>
      <c r="AX176" s="26">
        <v>500000</v>
      </c>
      <c r="AY176" s="26">
        <v>500000</v>
      </c>
      <c r="AZ176" s="26">
        <v>500000</v>
      </c>
      <c r="BA176" s="26">
        <v>500000</v>
      </c>
      <c r="BD176" s="26">
        <v>0</v>
      </c>
      <c r="BE176" s="26">
        <v>0</v>
      </c>
      <c r="BF176" s="26">
        <v>0</v>
      </c>
      <c r="BG176" s="26">
        <v>0</v>
      </c>
      <c r="BH176" s="26">
        <v>0</v>
      </c>
      <c r="BI176" s="26">
        <v>0</v>
      </c>
      <c r="BJ176" s="26">
        <v>0</v>
      </c>
      <c r="BK176" s="26">
        <v>0</v>
      </c>
      <c r="BL176" s="26">
        <v>0</v>
      </c>
      <c r="BM176" s="26">
        <v>0</v>
      </c>
      <c r="BP176" s="26">
        <v>1200000</v>
      </c>
      <c r="BQ176" s="26">
        <v>1200000</v>
      </c>
      <c r="BR176" s="26">
        <v>1200000</v>
      </c>
      <c r="BS176" s="26">
        <v>1200000</v>
      </c>
      <c r="BT176" s="26">
        <v>1200000</v>
      </c>
      <c r="BU176" s="26">
        <v>1200000</v>
      </c>
      <c r="BV176" s="26">
        <v>1200000</v>
      </c>
      <c r="BW176" s="26">
        <v>1200000</v>
      </c>
      <c r="BX176" s="26">
        <v>1200000</v>
      </c>
      <c r="BY176" s="26">
        <v>1200000</v>
      </c>
      <c r="CB176" s="26">
        <v>3500000</v>
      </c>
      <c r="CC176" s="26">
        <v>3500000</v>
      </c>
      <c r="CD176" s="26">
        <v>3500000</v>
      </c>
      <c r="CE176" s="26">
        <v>3500000</v>
      </c>
      <c r="CF176" s="26">
        <v>3500000</v>
      </c>
      <c r="CG176" s="26">
        <v>3500000</v>
      </c>
      <c r="CH176" s="26">
        <v>3500000</v>
      </c>
      <c r="CI176" s="26">
        <v>3500000</v>
      </c>
      <c r="CJ176" s="26">
        <v>3500000</v>
      </c>
      <c r="CK176" s="26">
        <v>3500000</v>
      </c>
      <c r="CN176" s="26">
        <v>5050000</v>
      </c>
      <c r="CO176" s="26">
        <v>22</v>
      </c>
      <c r="CP176" s="26">
        <v>5050000</v>
      </c>
      <c r="CQ176" s="26">
        <v>730000</v>
      </c>
      <c r="CR176" s="26">
        <v>500000</v>
      </c>
      <c r="CS176" s="26">
        <v>1200000</v>
      </c>
      <c r="CT176" s="26">
        <v>3500000</v>
      </c>
      <c r="CU176" s="26">
        <v>5930000</v>
      </c>
    </row>
    <row r="177" spans="1:99" x14ac:dyDescent="0.3">
      <c r="A177" s="26">
        <v>15</v>
      </c>
      <c r="B177" s="27" t="s">
        <v>55</v>
      </c>
      <c r="C177" s="27" t="s">
        <v>56</v>
      </c>
      <c r="D177" s="27" t="s">
        <v>26</v>
      </c>
      <c r="E177" s="27" t="s">
        <v>27</v>
      </c>
      <c r="H177" s="26">
        <v>5050000</v>
      </c>
      <c r="I177" s="26">
        <v>5050000</v>
      </c>
      <c r="J177" s="26">
        <v>5050000</v>
      </c>
      <c r="K177" s="26">
        <v>5050000</v>
      </c>
      <c r="L177" s="26">
        <v>5050000</v>
      </c>
      <c r="M177" s="26">
        <v>5050000</v>
      </c>
      <c r="N177" s="26">
        <v>5050000</v>
      </c>
      <c r="O177" s="26">
        <v>5050000</v>
      </c>
      <c r="P177" s="26">
        <v>5050000</v>
      </c>
      <c r="Q177" s="26">
        <v>5050000</v>
      </c>
      <c r="U177" s="26">
        <v>5050000</v>
      </c>
      <c r="V177" s="26">
        <v>5050000</v>
      </c>
      <c r="W177" s="26">
        <v>5050000</v>
      </c>
      <c r="X177" s="26">
        <v>5050000</v>
      </c>
      <c r="Y177" s="26">
        <v>5050000</v>
      </c>
      <c r="Z177" s="26">
        <v>5050000</v>
      </c>
      <c r="AA177" s="26">
        <v>5050000</v>
      </c>
      <c r="AB177" s="26">
        <v>5050000</v>
      </c>
      <c r="AC177" s="26">
        <v>5050000</v>
      </c>
      <c r="AF177" s="26">
        <v>730000</v>
      </c>
      <c r="AG177" s="26">
        <v>730000</v>
      </c>
      <c r="AH177" s="26">
        <v>730000</v>
      </c>
      <c r="AI177" s="26">
        <v>730000</v>
      </c>
      <c r="AJ177" s="26">
        <v>730000</v>
      </c>
      <c r="AK177" s="26">
        <v>730000</v>
      </c>
      <c r="AL177" s="26">
        <v>730000</v>
      </c>
      <c r="AM177" s="26">
        <v>730000</v>
      </c>
      <c r="AN177" s="26">
        <v>730000</v>
      </c>
      <c r="AO177" s="26">
        <v>730000</v>
      </c>
      <c r="AR177" s="26">
        <v>500000</v>
      </c>
      <c r="AS177" s="26">
        <v>500000</v>
      </c>
      <c r="AT177" s="26">
        <v>500000</v>
      </c>
      <c r="AU177" s="26">
        <v>500000</v>
      </c>
      <c r="AV177" s="26">
        <v>500000</v>
      </c>
      <c r="AW177" s="26">
        <v>500000</v>
      </c>
      <c r="AX177" s="26">
        <v>500000</v>
      </c>
      <c r="AY177" s="26">
        <v>500000</v>
      </c>
      <c r="AZ177" s="26">
        <v>500000</v>
      </c>
      <c r="BA177" s="26">
        <v>500000</v>
      </c>
      <c r="BD177" s="26">
        <v>0</v>
      </c>
      <c r="BE177" s="26">
        <v>0</v>
      </c>
      <c r="BF177" s="26">
        <v>0</v>
      </c>
      <c r="BG177" s="26">
        <v>0</v>
      </c>
      <c r="BH177" s="26">
        <v>0</v>
      </c>
      <c r="BI177" s="26">
        <v>0</v>
      </c>
      <c r="BJ177" s="26">
        <v>0</v>
      </c>
      <c r="BK177" s="26">
        <v>0</v>
      </c>
      <c r="BL177" s="26">
        <v>0</v>
      </c>
      <c r="BM177" s="26">
        <v>0</v>
      </c>
      <c r="BP177" s="26">
        <v>1200000</v>
      </c>
      <c r="BQ177" s="26">
        <v>1200000</v>
      </c>
      <c r="BR177" s="26">
        <v>1200000</v>
      </c>
      <c r="BS177" s="26">
        <v>1200000</v>
      </c>
      <c r="BT177" s="26">
        <v>1200000</v>
      </c>
      <c r="BU177" s="26">
        <v>1200000</v>
      </c>
      <c r="BV177" s="26">
        <v>1200000</v>
      </c>
      <c r="BW177" s="26">
        <v>1200000</v>
      </c>
      <c r="BX177" s="26">
        <v>1200000</v>
      </c>
      <c r="BY177" s="26">
        <v>1200000</v>
      </c>
      <c r="CB177" s="26">
        <v>3500000</v>
      </c>
      <c r="CC177" s="26">
        <v>3500000</v>
      </c>
      <c r="CD177" s="26">
        <v>3500000</v>
      </c>
      <c r="CE177" s="26">
        <v>3500000</v>
      </c>
      <c r="CF177" s="26">
        <v>3500000</v>
      </c>
      <c r="CG177" s="26">
        <v>3500000</v>
      </c>
      <c r="CH177" s="26">
        <v>3500000</v>
      </c>
      <c r="CI177" s="26">
        <v>3500000</v>
      </c>
      <c r="CJ177" s="26">
        <v>3500000</v>
      </c>
      <c r="CK177" s="26">
        <v>3500000</v>
      </c>
      <c r="CN177" s="26">
        <v>5050000</v>
      </c>
      <c r="CO177" s="26">
        <v>22</v>
      </c>
      <c r="CP177" s="26">
        <v>5050000</v>
      </c>
      <c r="CQ177" s="26">
        <v>730000</v>
      </c>
      <c r="CR177" s="26">
        <v>500000</v>
      </c>
      <c r="CS177" s="26">
        <v>1200000</v>
      </c>
      <c r="CT177" s="26">
        <v>3500000</v>
      </c>
      <c r="CU177" s="26">
        <v>5930000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365AC-2AED-4485-BCA6-BAC7B62B02C1}">
  <sheetPr codeName="Sheet160">
    <pageSetUpPr fitToPage="1"/>
  </sheetPr>
  <dimension ref="A1:A4"/>
  <sheetViews>
    <sheetView workbookViewId="0"/>
  </sheetViews>
  <sheetFormatPr defaultRowHeight="14.4" x14ac:dyDescent="0.3"/>
  <cols>
    <col min="1" max="1" width="10.33203125" style="14" bestFit="1" customWidth="1"/>
  </cols>
  <sheetData>
    <row r="1" spans="1:1" x14ac:dyDescent="0.3">
      <c r="A1" t="s">
        <v>108</v>
      </c>
    </row>
    <row r="2" spans="1:1" x14ac:dyDescent="0.3">
      <c r="A2" s="14">
        <v>45047</v>
      </c>
    </row>
    <row r="3" spans="1:1" x14ac:dyDescent="0.3">
      <c r="A3" s="14">
        <v>45048</v>
      </c>
    </row>
    <row r="4" spans="1:1" x14ac:dyDescent="0.3">
      <c r="A4" s="14">
        <v>45049</v>
      </c>
    </row>
  </sheetData>
  <pageMargins left="0.7" right="0.7" top="0.75" bottom="0.75" header="0.3" footer="0.3"/>
  <pageSetup paperSize="9" fitToHeight="0" orientation="landscape" cellComments="atEnd"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A6A7D-0E92-4805-8C14-8CCA86E98D63}">
  <sheetPr codeName="Sheet4">
    <pageSetUpPr fitToPage="1"/>
  </sheetPr>
  <dimension ref="B1:AL284"/>
  <sheetViews>
    <sheetView topLeftCell="A237" workbookViewId="0">
      <selection activeCell="W275" sqref="W275:AJ275"/>
    </sheetView>
  </sheetViews>
  <sheetFormatPr defaultRowHeight="14.4" x14ac:dyDescent="0.3"/>
  <cols>
    <col min="1" max="1" width="2.6640625" style="3" customWidth="1"/>
    <col min="2" max="3" width="8.88671875" style="3"/>
    <col min="4" max="4" width="22.109375" style="3" customWidth="1"/>
    <col min="5" max="6" width="13.44140625" style="3" customWidth="1"/>
    <col min="7" max="37" width="3.33203125" style="5" customWidth="1"/>
    <col min="38" max="16384" width="8.88671875" style="3"/>
  </cols>
  <sheetData>
    <row r="1" spans="2:38" ht="17.399999999999999" customHeight="1" x14ac:dyDescent="0.3">
      <c r="B1" s="17" t="str">
        <f>Company_Name</f>
        <v>CÔNG TY TNHH CƠ KHÍ SỬA CHỮA HOÀNG KIÊN</v>
      </c>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J5" s="251" t="s">
        <v>92</v>
      </c>
      <c r="K5" s="251"/>
      <c r="L5" s="252">
        <v>1</v>
      </c>
      <c r="M5" s="252"/>
      <c r="N5" s="251" t="s">
        <v>93</v>
      </c>
      <c r="O5" s="251"/>
      <c r="P5" s="250">
        <f>Nam_Bang_Luong</f>
        <v>2023</v>
      </c>
      <c r="Q5" s="250"/>
    </row>
    <row r="6" spans="2:38" x14ac:dyDescent="0.3">
      <c r="B6" s="220" t="s">
        <v>5</v>
      </c>
      <c r="C6" s="220" t="s">
        <v>91</v>
      </c>
      <c r="D6" s="220" t="s">
        <v>6</v>
      </c>
      <c r="E6" s="220" t="s">
        <v>8</v>
      </c>
      <c r="F6" s="220" t="s">
        <v>7</v>
      </c>
      <c r="G6" s="20">
        <f>DATE(P5,L5,1)</f>
        <v>44927</v>
      </c>
      <c r="H6" s="20">
        <f>G6+1</f>
        <v>44928</v>
      </c>
      <c r="I6" s="20">
        <f t="shared" ref="I6:AK6" si="0">H6+1</f>
        <v>44929</v>
      </c>
      <c r="J6" s="20">
        <f t="shared" si="0"/>
        <v>44930</v>
      </c>
      <c r="K6" s="20">
        <f t="shared" si="0"/>
        <v>44931</v>
      </c>
      <c r="L6" s="20">
        <f t="shared" si="0"/>
        <v>44932</v>
      </c>
      <c r="M6" s="20">
        <f t="shared" si="0"/>
        <v>44933</v>
      </c>
      <c r="N6" s="20">
        <f t="shared" si="0"/>
        <v>44934</v>
      </c>
      <c r="O6" s="20">
        <f t="shared" si="0"/>
        <v>44935</v>
      </c>
      <c r="P6" s="20">
        <f t="shared" si="0"/>
        <v>44936</v>
      </c>
      <c r="Q6" s="20">
        <f t="shared" si="0"/>
        <v>44937</v>
      </c>
      <c r="R6" s="20">
        <f t="shared" si="0"/>
        <v>44938</v>
      </c>
      <c r="S6" s="20">
        <f t="shared" si="0"/>
        <v>44939</v>
      </c>
      <c r="T6" s="20">
        <f t="shared" si="0"/>
        <v>44940</v>
      </c>
      <c r="U6" s="20">
        <f t="shared" si="0"/>
        <v>44941</v>
      </c>
      <c r="V6" s="20">
        <f t="shared" si="0"/>
        <v>44942</v>
      </c>
      <c r="W6" s="20">
        <f t="shared" si="0"/>
        <v>44943</v>
      </c>
      <c r="X6" s="20">
        <f t="shared" si="0"/>
        <v>44944</v>
      </c>
      <c r="Y6" s="20">
        <f t="shared" si="0"/>
        <v>44945</v>
      </c>
      <c r="Z6" s="20">
        <f t="shared" si="0"/>
        <v>44946</v>
      </c>
      <c r="AA6" s="20">
        <f t="shared" si="0"/>
        <v>44947</v>
      </c>
      <c r="AB6" s="20">
        <f t="shared" si="0"/>
        <v>44948</v>
      </c>
      <c r="AC6" s="20">
        <f t="shared" si="0"/>
        <v>44949</v>
      </c>
      <c r="AD6" s="20">
        <f t="shared" si="0"/>
        <v>44950</v>
      </c>
      <c r="AE6" s="20">
        <f t="shared" si="0"/>
        <v>44951</v>
      </c>
      <c r="AF6" s="20">
        <f t="shared" si="0"/>
        <v>44952</v>
      </c>
      <c r="AG6" s="20">
        <f t="shared" si="0"/>
        <v>44953</v>
      </c>
      <c r="AH6" s="20">
        <f t="shared" si="0"/>
        <v>44954</v>
      </c>
      <c r="AI6" s="20">
        <f t="shared" si="0"/>
        <v>44955</v>
      </c>
      <c r="AJ6" s="20">
        <f t="shared" si="0"/>
        <v>44956</v>
      </c>
      <c r="AK6" s="20">
        <f t="shared" si="0"/>
        <v>44957</v>
      </c>
      <c r="AL6" s="217" t="s">
        <v>107</v>
      </c>
    </row>
    <row r="7" spans="2:38" ht="46.2" x14ac:dyDescent="0.3">
      <c r="B7" s="220"/>
      <c r="C7" s="220"/>
      <c r="D7" s="220"/>
      <c r="E7" s="220"/>
      <c r="F7" s="220"/>
      <c r="G7" s="21" t="str">
        <f>TEXT(G6,"[$-042A]dddd")</f>
        <v>Chủ Nhật</v>
      </c>
      <c r="H7" s="21" t="str">
        <f t="shared" ref="H7:AK7" si="1">TEXT(H6,"[$-042A]dddd")</f>
        <v>Thứ Hai</v>
      </c>
      <c r="I7" s="21" t="str">
        <f t="shared" si="1"/>
        <v>Thứ Ba</v>
      </c>
      <c r="J7" s="21" t="str">
        <f t="shared" si="1"/>
        <v>Thứ Tư</v>
      </c>
      <c r="K7" s="21" t="str">
        <f t="shared" si="1"/>
        <v>Thứ Năm</v>
      </c>
      <c r="L7" s="21" t="str">
        <f t="shared" si="1"/>
        <v>Thứ Sáu</v>
      </c>
      <c r="M7" s="21" t="str">
        <f t="shared" si="1"/>
        <v>Thứ Bảy</v>
      </c>
      <c r="N7" s="21" t="str">
        <f t="shared" si="1"/>
        <v>Chủ Nhật</v>
      </c>
      <c r="O7" s="21" t="str">
        <f t="shared" si="1"/>
        <v>Thứ Hai</v>
      </c>
      <c r="P7" s="21" t="str">
        <f t="shared" si="1"/>
        <v>Thứ Ba</v>
      </c>
      <c r="Q7" s="21" t="str">
        <f t="shared" si="1"/>
        <v>Thứ Tư</v>
      </c>
      <c r="R7" s="21" t="str">
        <f t="shared" si="1"/>
        <v>Thứ Năm</v>
      </c>
      <c r="S7" s="21" t="str">
        <f t="shared" si="1"/>
        <v>Thứ Sáu</v>
      </c>
      <c r="T7" s="21" t="str">
        <f t="shared" si="1"/>
        <v>Thứ Bảy</v>
      </c>
      <c r="U7" s="21" t="str">
        <f t="shared" si="1"/>
        <v>Chủ Nhật</v>
      </c>
      <c r="V7" s="21" t="str">
        <f t="shared" si="1"/>
        <v>Thứ Hai</v>
      </c>
      <c r="W7" s="21" t="str">
        <f t="shared" si="1"/>
        <v>Thứ Ba</v>
      </c>
      <c r="X7" s="21" t="str">
        <f t="shared" si="1"/>
        <v>Thứ Tư</v>
      </c>
      <c r="Y7" s="21" t="str">
        <f t="shared" si="1"/>
        <v>Thứ Năm</v>
      </c>
      <c r="Z7" s="21" t="str">
        <f t="shared" si="1"/>
        <v>Thứ Sáu</v>
      </c>
      <c r="AA7" s="21" t="str">
        <f t="shared" si="1"/>
        <v>Thứ Bảy</v>
      </c>
      <c r="AB7" s="21" t="str">
        <f t="shared" si="1"/>
        <v>Chủ Nhật</v>
      </c>
      <c r="AC7" s="21" t="str">
        <f t="shared" si="1"/>
        <v>Thứ Hai</v>
      </c>
      <c r="AD7" s="21" t="str">
        <f t="shared" si="1"/>
        <v>Thứ Ba</v>
      </c>
      <c r="AE7" s="21" t="str">
        <f t="shared" si="1"/>
        <v>Thứ Tư</v>
      </c>
      <c r="AF7" s="21" t="str">
        <f t="shared" si="1"/>
        <v>Thứ Năm</v>
      </c>
      <c r="AG7" s="21" t="str">
        <f t="shared" si="1"/>
        <v>Thứ Sáu</v>
      </c>
      <c r="AH7" s="21" t="str">
        <f t="shared" si="1"/>
        <v>Thứ Bảy</v>
      </c>
      <c r="AI7" s="21" t="str">
        <f t="shared" si="1"/>
        <v>Chủ Nhật</v>
      </c>
      <c r="AJ7" s="21" t="str">
        <f t="shared" si="1"/>
        <v>Thứ Hai</v>
      </c>
      <c r="AK7" s="21" t="str">
        <f t="shared" si="1"/>
        <v>Thứ Ba</v>
      </c>
      <c r="AL7" s="217"/>
    </row>
    <row r="8" spans="2:38" x14ac:dyDescent="0.3">
      <c r="B8" s="23"/>
      <c r="C8" s="22"/>
      <c r="D8" s="22"/>
      <c r="E8" s="22"/>
      <c r="F8" s="22"/>
      <c r="G8" s="23"/>
      <c r="H8" s="23"/>
      <c r="I8" s="23"/>
      <c r="J8" s="23"/>
      <c r="K8" s="23"/>
      <c r="L8" s="24"/>
      <c r="M8" s="24"/>
      <c r="N8" s="24"/>
      <c r="O8" s="24"/>
      <c r="P8" s="24"/>
      <c r="Q8" s="24"/>
      <c r="R8" s="24"/>
      <c r="S8" s="24"/>
      <c r="T8" s="23"/>
      <c r="U8" s="23"/>
      <c r="V8" s="23"/>
      <c r="W8" s="23"/>
      <c r="X8" s="23"/>
      <c r="Y8" s="23"/>
      <c r="Z8" s="23"/>
      <c r="AA8" s="23"/>
      <c r="AB8" s="23"/>
      <c r="AC8" s="23"/>
      <c r="AD8" s="23"/>
      <c r="AE8" s="23"/>
      <c r="AF8" s="23"/>
      <c r="AG8" s="23"/>
      <c r="AH8" s="23"/>
      <c r="AI8" s="23"/>
      <c r="AJ8" s="23"/>
      <c r="AK8" s="23"/>
      <c r="AL8" s="22"/>
    </row>
    <row r="9" spans="2:38" x14ac:dyDescent="0.3">
      <c r="B9" s="23"/>
      <c r="C9" s="22"/>
      <c r="D9" s="22"/>
      <c r="E9" s="22"/>
      <c r="F9" s="22"/>
      <c r="G9" s="23"/>
      <c r="H9" s="23"/>
      <c r="I9" s="23"/>
      <c r="J9" s="23"/>
      <c r="K9" s="23"/>
      <c r="L9" s="24"/>
      <c r="M9" s="24"/>
      <c r="N9" s="24"/>
      <c r="O9" s="24"/>
      <c r="P9" s="24"/>
      <c r="Q9" s="24"/>
      <c r="R9" s="24"/>
      <c r="S9" s="24"/>
      <c r="T9" s="23"/>
      <c r="U9" s="23"/>
      <c r="V9" s="23"/>
      <c r="W9" s="23"/>
      <c r="X9" s="23"/>
      <c r="Y9" s="23"/>
      <c r="Z9" s="23"/>
      <c r="AA9" s="23"/>
      <c r="AB9" s="23"/>
      <c r="AC9" s="23"/>
      <c r="AD9" s="23"/>
      <c r="AE9" s="23"/>
      <c r="AF9" s="23"/>
      <c r="AG9" s="23"/>
      <c r="AH9" s="23"/>
      <c r="AI9" s="23"/>
      <c r="AJ9" s="23"/>
      <c r="AK9" s="23"/>
      <c r="AL9" s="22"/>
    </row>
    <row r="10" spans="2:38" x14ac:dyDescent="0.3">
      <c r="B10" s="23"/>
      <c r="C10" s="22"/>
      <c r="D10" s="22"/>
      <c r="E10" s="22"/>
      <c r="F10" s="22"/>
      <c r="G10" s="23"/>
      <c r="H10" s="23"/>
      <c r="I10" s="23"/>
      <c r="J10" s="23"/>
      <c r="K10" s="23"/>
      <c r="L10" s="24"/>
      <c r="M10" s="24"/>
      <c r="N10" s="24"/>
      <c r="O10" s="24"/>
      <c r="P10" s="24"/>
      <c r="Q10" s="24"/>
      <c r="R10" s="24"/>
      <c r="S10" s="24"/>
      <c r="T10" s="23"/>
      <c r="U10" s="23"/>
      <c r="V10" s="23"/>
      <c r="W10" s="23"/>
      <c r="X10" s="23"/>
      <c r="Y10" s="23"/>
      <c r="Z10" s="23"/>
      <c r="AA10" s="23"/>
      <c r="AB10" s="23"/>
      <c r="AC10" s="23"/>
      <c r="AD10" s="23"/>
      <c r="AE10" s="23"/>
      <c r="AF10" s="23"/>
      <c r="AG10" s="23"/>
      <c r="AH10" s="23"/>
      <c r="AI10" s="23"/>
      <c r="AJ10" s="23"/>
      <c r="AK10" s="23"/>
      <c r="AL10" s="22"/>
    </row>
    <row r="11" spans="2:38" x14ac:dyDescent="0.3">
      <c r="B11" s="23"/>
      <c r="C11" s="22"/>
      <c r="D11" s="22"/>
      <c r="E11" s="22"/>
      <c r="F11" s="22"/>
      <c r="G11" s="23"/>
      <c r="H11" s="23"/>
      <c r="I11" s="23"/>
      <c r="J11" s="23"/>
      <c r="K11" s="23"/>
      <c r="L11" s="24"/>
      <c r="M11" s="24"/>
      <c r="N11" s="24"/>
      <c r="O11" s="24"/>
      <c r="P11" s="24"/>
      <c r="Q11" s="24"/>
      <c r="R11" s="24"/>
      <c r="S11" s="24"/>
      <c r="T11" s="23"/>
      <c r="U11" s="23"/>
      <c r="V11" s="23"/>
      <c r="W11" s="23"/>
      <c r="X11" s="23"/>
      <c r="Y11" s="23"/>
      <c r="Z11" s="23"/>
      <c r="AA11" s="23"/>
      <c r="AB11" s="23"/>
      <c r="AC11" s="23"/>
      <c r="AD11" s="23"/>
      <c r="AE11" s="23"/>
      <c r="AF11" s="23"/>
      <c r="AG11" s="23"/>
      <c r="AH11" s="23"/>
      <c r="AI11" s="23"/>
      <c r="AJ11" s="23"/>
      <c r="AK11" s="23"/>
      <c r="AL11" s="22"/>
    </row>
    <row r="12" spans="2:38" x14ac:dyDescent="0.3">
      <c r="B12" s="23"/>
      <c r="C12" s="22"/>
      <c r="D12" s="22"/>
      <c r="E12" s="22"/>
      <c r="F12" s="22"/>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2"/>
    </row>
    <row r="13" spans="2:38" x14ac:dyDescent="0.3">
      <c r="B13" s="23"/>
      <c r="C13" s="22"/>
      <c r="D13" s="22"/>
      <c r="E13" s="22"/>
      <c r="F13" s="22"/>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2"/>
    </row>
    <row r="14" spans="2:38" x14ac:dyDescent="0.3">
      <c r="B14" s="23"/>
      <c r="C14" s="22"/>
      <c r="D14" s="22"/>
      <c r="E14" s="22"/>
      <c r="F14" s="22"/>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2"/>
    </row>
    <row r="15" spans="2:38" x14ac:dyDescent="0.3">
      <c r="B15" s="23"/>
      <c r="C15" s="22"/>
      <c r="D15" s="22"/>
      <c r="E15" s="22"/>
      <c r="F15" s="22"/>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2"/>
    </row>
    <row r="16" spans="2:38" x14ac:dyDescent="0.3">
      <c r="B16" s="23"/>
      <c r="C16" s="22"/>
      <c r="D16" s="22"/>
      <c r="E16" s="22"/>
      <c r="F16" s="22"/>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2"/>
    </row>
    <row r="17" spans="2:38" x14ac:dyDescent="0.3">
      <c r="B17" s="23"/>
      <c r="C17" s="22"/>
      <c r="D17" s="22"/>
      <c r="E17" s="22"/>
      <c r="F17" s="22"/>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2"/>
    </row>
    <row r="18" spans="2:38" x14ac:dyDescent="0.3">
      <c r="B18" s="23"/>
      <c r="C18" s="22"/>
      <c r="D18" s="22"/>
      <c r="E18" s="22"/>
      <c r="F18" s="22"/>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2"/>
    </row>
    <row r="19" spans="2:38" x14ac:dyDescent="0.3">
      <c r="B19" s="23"/>
      <c r="C19" s="22"/>
      <c r="D19" s="22"/>
      <c r="E19" s="22"/>
      <c r="F19" s="22"/>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2"/>
    </row>
    <row r="20" spans="2:38" x14ac:dyDescent="0.3">
      <c r="B20" s="23"/>
      <c r="C20" s="22"/>
      <c r="D20" s="22"/>
      <c r="E20" s="22"/>
      <c r="F20" s="22"/>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2"/>
    </row>
    <row r="21" spans="2:38" x14ac:dyDescent="0.3">
      <c r="B21" s="23"/>
      <c r="C21" s="22"/>
      <c r="D21" s="22"/>
      <c r="E21" s="22"/>
      <c r="F21" s="22"/>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2"/>
    </row>
    <row r="22" spans="2:38" x14ac:dyDescent="0.3">
      <c r="B22" s="23"/>
      <c r="C22" s="22"/>
      <c r="D22" s="22"/>
      <c r="E22" s="22"/>
      <c r="F22" s="22"/>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2"/>
    </row>
    <row r="23" spans="2:38" x14ac:dyDescent="0.3">
      <c r="B23" s="23"/>
      <c r="C23" s="22"/>
      <c r="D23" s="22"/>
      <c r="E23" s="22"/>
      <c r="F23" s="22"/>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2"/>
    </row>
    <row r="24" spans="2:38" x14ac:dyDescent="0.3">
      <c r="B24" s="23"/>
      <c r="C24" s="22"/>
      <c r="D24" s="22"/>
      <c r="E24" s="22"/>
      <c r="F24" s="22"/>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2"/>
    </row>
    <row r="25" spans="2:38" x14ac:dyDescent="0.3">
      <c r="B25" s="23"/>
      <c r="C25" s="22"/>
      <c r="D25" s="22"/>
      <c r="E25" s="22"/>
      <c r="F25" s="22"/>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2"/>
    </row>
    <row r="26" spans="2:38" x14ac:dyDescent="0.3">
      <c r="B26" s="23"/>
      <c r="C26" s="22"/>
      <c r="D26" s="22"/>
      <c r="E26" s="22"/>
      <c r="F26" s="22"/>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2"/>
    </row>
    <row r="27" spans="2:38" x14ac:dyDescent="0.3">
      <c r="B27" s="23"/>
      <c r="C27" s="22"/>
      <c r="D27" s="22"/>
      <c r="E27" s="22"/>
      <c r="F27" s="22"/>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2"/>
    </row>
    <row r="28" spans="2:38" x14ac:dyDescent="0.3">
      <c r="B28" s="23"/>
      <c r="C28" s="22"/>
      <c r="D28" s="22"/>
      <c r="E28" s="22"/>
      <c r="F28" s="22"/>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2"/>
    </row>
    <row r="29" spans="2:38" x14ac:dyDescent="0.3">
      <c r="B29" s="23"/>
      <c r="C29" s="22"/>
      <c r="D29" s="22"/>
      <c r="E29" s="22"/>
      <c r="F29" s="22"/>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2"/>
    </row>
    <row r="30" spans="2:38" x14ac:dyDescent="0.3">
      <c r="B30" s="23"/>
      <c r="C30" s="22"/>
      <c r="D30" s="22"/>
      <c r="E30" s="22"/>
      <c r="F30" s="22"/>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2"/>
    </row>
    <row r="31" spans="2:38" x14ac:dyDescent="0.3">
      <c r="B31" s="23"/>
      <c r="C31" s="22"/>
      <c r="D31" s="22"/>
      <c r="E31" s="22"/>
      <c r="F31" s="22"/>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2"/>
    </row>
    <row r="32" spans="2:38" x14ac:dyDescent="0.3">
      <c r="B32" s="23"/>
      <c r="C32" s="22"/>
      <c r="D32" s="22"/>
      <c r="E32" s="22"/>
      <c r="F32" s="22"/>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2"/>
    </row>
    <row r="33" spans="2:38" x14ac:dyDescent="0.3">
      <c r="B33" s="23"/>
      <c r="C33" s="22"/>
      <c r="D33" s="22"/>
      <c r="E33" s="22"/>
      <c r="F33" s="22"/>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2"/>
    </row>
    <row r="34" spans="2:38" x14ac:dyDescent="0.3">
      <c r="B34" s="23"/>
      <c r="C34" s="22"/>
      <c r="D34" s="22"/>
      <c r="E34" s="22"/>
      <c r="F34" s="22"/>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2"/>
    </row>
    <row r="35" spans="2:38" x14ac:dyDescent="0.3">
      <c r="B35" s="23"/>
      <c r="C35" s="22"/>
      <c r="D35" s="22"/>
      <c r="E35" s="22"/>
      <c r="F35" s="22"/>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2"/>
    </row>
    <row r="36" spans="2:38" x14ac:dyDescent="0.3">
      <c r="B36" s="23"/>
      <c r="C36" s="22"/>
      <c r="D36" s="22"/>
      <c r="E36" s="22"/>
      <c r="F36" s="22"/>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2"/>
    </row>
    <row r="37" spans="2:38" x14ac:dyDescent="0.3">
      <c r="B37" s="23"/>
      <c r="C37" s="22"/>
      <c r="D37" s="22"/>
      <c r="E37" s="22"/>
      <c r="F37" s="22"/>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2"/>
    </row>
    <row r="38" spans="2:38" x14ac:dyDescent="0.3">
      <c r="B38" s="23"/>
      <c r="C38" s="22"/>
      <c r="D38" s="22"/>
      <c r="E38" s="22"/>
      <c r="F38" s="22"/>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2"/>
    </row>
    <row r="39" spans="2:38" x14ac:dyDescent="0.3">
      <c r="B39" s="23"/>
      <c r="C39" s="22"/>
      <c r="D39" s="22"/>
      <c r="E39" s="22"/>
      <c r="F39" s="22"/>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2"/>
    </row>
    <row r="40" spans="2:38" x14ac:dyDescent="0.3">
      <c r="B40" s="23"/>
      <c r="C40" s="22"/>
      <c r="D40" s="22"/>
      <c r="E40" s="22"/>
      <c r="F40" s="22"/>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2"/>
    </row>
    <row r="41" spans="2:38" x14ac:dyDescent="0.3">
      <c r="B41" s="23"/>
      <c r="C41" s="22"/>
      <c r="D41" s="22"/>
      <c r="E41" s="22"/>
      <c r="F41" s="22"/>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2"/>
    </row>
    <row r="42" spans="2:38" x14ac:dyDescent="0.3">
      <c r="B42" s="23"/>
      <c r="C42" s="22"/>
      <c r="D42" s="22"/>
      <c r="E42" s="22"/>
      <c r="F42" s="22"/>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2"/>
    </row>
    <row r="43" spans="2:38" x14ac:dyDescent="0.3">
      <c r="B43" s="23"/>
      <c r="C43" s="22"/>
      <c r="D43" s="22"/>
      <c r="E43" s="22"/>
      <c r="F43" s="22"/>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2"/>
    </row>
    <row r="44" spans="2:38" x14ac:dyDescent="0.3">
      <c r="B44" s="23"/>
      <c r="C44" s="22"/>
      <c r="D44" s="22"/>
      <c r="E44" s="22"/>
      <c r="F44" s="22"/>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2"/>
    </row>
    <row r="45" spans="2:38" x14ac:dyDescent="0.3">
      <c r="B45" s="23"/>
      <c r="C45" s="22"/>
      <c r="D45" s="22"/>
      <c r="E45" s="22"/>
      <c r="F45" s="22"/>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2"/>
    </row>
    <row r="46" spans="2:38" x14ac:dyDescent="0.3">
      <c r="B46" s="23"/>
      <c r="C46" s="22"/>
      <c r="D46" s="22"/>
      <c r="E46" s="22"/>
      <c r="F46" s="22"/>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2"/>
    </row>
    <row r="47" spans="2:38" x14ac:dyDescent="0.3">
      <c r="B47" s="23"/>
      <c r="C47" s="22"/>
      <c r="D47" s="22"/>
      <c r="E47" s="22"/>
      <c r="F47" s="22"/>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2"/>
    </row>
    <row r="48" spans="2:38" x14ac:dyDescent="0.3">
      <c r="B48" s="23"/>
      <c r="C48" s="22"/>
      <c r="D48" s="22"/>
      <c r="E48" s="22"/>
      <c r="F48" s="22"/>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2"/>
    </row>
    <row r="49" spans="2:38" x14ac:dyDescent="0.3">
      <c r="B49" s="23"/>
      <c r="C49" s="22"/>
      <c r="D49" s="22"/>
      <c r="E49" s="22"/>
      <c r="F49" s="22"/>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2"/>
    </row>
    <row r="50" spans="2:38" x14ac:dyDescent="0.3">
      <c r="B50" s="23"/>
      <c r="C50" s="22"/>
      <c r="D50" s="22"/>
      <c r="E50" s="22"/>
      <c r="F50" s="22"/>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2"/>
    </row>
    <row r="51" spans="2:38" x14ac:dyDescent="0.3">
      <c r="B51" s="23"/>
      <c r="C51" s="22"/>
      <c r="D51" s="22"/>
      <c r="E51" s="22"/>
      <c r="F51" s="22"/>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2"/>
    </row>
    <row r="52" spans="2:38" x14ac:dyDescent="0.3">
      <c r="B52" s="23"/>
      <c r="C52" s="22"/>
      <c r="D52" s="22"/>
      <c r="E52" s="22"/>
      <c r="F52" s="22"/>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2"/>
    </row>
    <row r="53" spans="2:38" x14ac:dyDescent="0.3">
      <c r="B53" s="23"/>
      <c r="C53" s="22"/>
      <c r="D53" s="22"/>
      <c r="E53" s="22"/>
      <c r="F53" s="22"/>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2"/>
    </row>
    <row r="54" spans="2:38" x14ac:dyDescent="0.3">
      <c r="B54" s="23"/>
      <c r="C54" s="22"/>
      <c r="D54" s="22"/>
      <c r="E54" s="22"/>
      <c r="F54" s="22"/>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2"/>
    </row>
    <row r="55" spans="2:38" x14ac:dyDescent="0.3">
      <c r="B55" s="23"/>
      <c r="C55" s="22"/>
      <c r="D55" s="22"/>
      <c r="E55" s="22"/>
      <c r="F55" s="22"/>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2"/>
    </row>
    <row r="56" spans="2:38" x14ac:dyDescent="0.3">
      <c r="B56" s="23"/>
      <c r="C56" s="22"/>
      <c r="D56" s="22"/>
      <c r="E56" s="22"/>
      <c r="F56" s="22"/>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2"/>
    </row>
    <row r="57" spans="2:38" x14ac:dyDescent="0.3">
      <c r="B57" s="23"/>
      <c r="C57" s="22"/>
      <c r="D57" s="22"/>
      <c r="E57" s="22"/>
      <c r="F57" s="22"/>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2"/>
    </row>
    <row r="58" spans="2:38" x14ac:dyDescent="0.3">
      <c r="B58" s="23"/>
      <c r="C58" s="22"/>
      <c r="D58" s="22"/>
      <c r="E58" s="22"/>
      <c r="F58" s="22"/>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2"/>
    </row>
    <row r="59" spans="2:38" x14ac:dyDescent="0.3">
      <c r="B59" s="23"/>
      <c r="C59" s="22"/>
      <c r="D59" s="22"/>
      <c r="E59" s="22"/>
      <c r="F59" s="22"/>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2"/>
    </row>
    <row r="60" spans="2:38" x14ac:dyDescent="0.3">
      <c r="B60" s="23"/>
      <c r="C60" s="22"/>
      <c r="D60" s="22"/>
      <c r="E60" s="22"/>
      <c r="F60" s="22"/>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2"/>
    </row>
    <row r="61" spans="2:38" x14ac:dyDescent="0.3">
      <c r="B61" s="23"/>
      <c r="C61" s="22"/>
      <c r="D61" s="22"/>
      <c r="E61" s="22"/>
      <c r="F61" s="22"/>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2"/>
    </row>
    <row r="62" spans="2:38" x14ac:dyDescent="0.3">
      <c r="B62" s="23"/>
      <c r="C62" s="22"/>
      <c r="D62" s="22"/>
      <c r="E62" s="22"/>
      <c r="F62" s="22"/>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2"/>
    </row>
    <row r="63" spans="2:38" x14ac:dyDescent="0.3">
      <c r="B63" s="23"/>
      <c r="C63" s="22"/>
      <c r="D63" s="22"/>
      <c r="E63" s="22"/>
      <c r="F63" s="22"/>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2"/>
    </row>
    <row r="64" spans="2:38" x14ac:dyDescent="0.3">
      <c r="B64" s="23"/>
      <c r="C64" s="22"/>
      <c r="D64" s="22"/>
      <c r="E64" s="22"/>
      <c r="F64" s="22"/>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2"/>
    </row>
    <row r="65" spans="2:38" x14ac:dyDescent="0.3">
      <c r="B65" s="23"/>
      <c r="C65" s="22"/>
      <c r="D65" s="22"/>
      <c r="E65" s="22"/>
      <c r="F65" s="22"/>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2"/>
    </row>
    <row r="66" spans="2:38" x14ac:dyDescent="0.3">
      <c r="B66" s="23"/>
      <c r="C66" s="22"/>
      <c r="D66" s="22"/>
      <c r="E66" s="22"/>
      <c r="F66" s="22"/>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2"/>
    </row>
    <row r="67" spans="2:38" x14ac:dyDescent="0.3">
      <c r="B67" s="23"/>
      <c r="C67" s="22"/>
      <c r="D67" s="22"/>
      <c r="E67" s="22"/>
      <c r="F67" s="22"/>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2"/>
    </row>
    <row r="68" spans="2:38" x14ac:dyDescent="0.3">
      <c r="B68" s="23"/>
      <c r="C68" s="22"/>
      <c r="D68" s="22"/>
      <c r="E68" s="22"/>
      <c r="F68" s="22"/>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2"/>
    </row>
    <row r="69" spans="2:38" x14ac:dyDescent="0.3">
      <c r="B69" s="23"/>
      <c r="C69" s="22"/>
      <c r="D69" s="22"/>
      <c r="E69" s="22"/>
      <c r="F69" s="22"/>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2"/>
    </row>
    <row r="70" spans="2:38" x14ac:dyDescent="0.3">
      <c r="B70" s="23"/>
      <c r="C70" s="22"/>
      <c r="D70" s="22"/>
      <c r="E70" s="22"/>
      <c r="F70" s="22"/>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2"/>
    </row>
    <row r="71" spans="2:38" x14ac:dyDescent="0.3">
      <c r="B71" s="23"/>
      <c r="C71" s="22"/>
      <c r="D71" s="22"/>
      <c r="E71" s="22"/>
      <c r="F71" s="22"/>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2"/>
    </row>
    <row r="72" spans="2:38" x14ac:dyDescent="0.3">
      <c r="B72" s="23"/>
      <c r="C72" s="22"/>
      <c r="D72" s="22"/>
      <c r="E72" s="22"/>
      <c r="F72" s="22"/>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2"/>
    </row>
    <row r="73" spans="2:38" x14ac:dyDescent="0.3">
      <c r="B73" s="23"/>
      <c r="C73" s="22"/>
      <c r="D73" s="22"/>
      <c r="E73" s="22"/>
      <c r="F73" s="22"/>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2"/>
    </row>
    <row r="74" spans="2:38" x14ac:dyDescent="0.3">
      <c r="B74" s="23"/>
      <c r="C74" s="22"/>
      <c r="D74" s="22"/>
      <c r="E74" s="22"/>
      <c r="F74" s="22"/>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2"/>
    </row>
    <row r="75" spans="2:38" x14ac:dyDescent="0.3">
      <c r="B75" s="23"/>
      <c r="C75" s="22"/>
      <c r="D75" s="22"/>
      <c r="E75" s="22"/>
      <c r="F75" s="22"/>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2"/>
    </row>
    <row r="76" spans="2:38" x14ac:dyDescent="0.3">
      <c r="B76" s="23"/>
      <c r="C76" s="22"/>
      <c r="D76" s="22"/>
      <c r="E76" s="22"/>
      <c r="F76" s="22"/>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2"/>
    </row>
    <row r="77" spans="2:38" x14ac:dyDescent="0.3">
      <c r="B77" s="23"/>
      <c r="C77" s="22"/>
      <c r="D77" s="22"/>
      <c r="E77" s="22"/>
      <c r="F77" s="22"/>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2"/>
    </row>
    <row r="78" spans="2:38" x14ac:dyDescent="0.3">
      <c r="B78" s="23"/>
      <c r="C78" s="22"/>
      <c r="D78" s="22"/>
      <c r="E78" s="22"/>
      <c r="F78" s="22"/>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2"/>
    </row>
    <row r="79" spans="2:38" x14ac:dyDescent="0.3">
      <c r="B79" s="23"/>
      <c r="C79" s="22"/>
      <c r="D79" s="22"/>
      <c r="E79" s="22"/>
      <c r="F79" s="22"/>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2"/>
    </row>
    <row r="80" spans="2:38" x14ac:dyDescent="0.3">
      <c r="B80" s="23"/>
      <c r="C80" s="22"/>
      <c r="D80" s="22"/>
      <c r="E80" s="22"/>
      <c r="F80" s="22"/>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2"/>
    </row>
    <row r="81" spans="2:38" x14ac:dyDescent="0.3">
      <c r="B81" s="23"/>
      <c r="C81" s="22"/>
      <c r="D81" s="22"/>
      <c r="E81" s="22"/>
      <c r="F81" s="22"/>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2"/>
    </row>
    <row r="82" spans="2:38" x14ac:dyDescent="0.3">
      <c r="B82" s="23"/>
      <c r="C82" s="22"/>
      <c r="D82" s="22"/>
      <c r="E82" s="22"/>
      <c r="F82" s="22"/>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2"/>
    </row>
    <row r="83" spans="2:38" x14ac:dyDescent="0.3">
      <c r="B83" s="23"/>
      <c r="C83" s="22"/>
      <c r="D83" s="22"/>
      <c r="E83" s="22"/>
      <c r="F83" s="22"/>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2"/>
    </row>
    <row r="84" spans="2:38" x14ac:dyDescent="0.3">
      <c r="B84" s="23"/>
      <c r="C84" s="22"/>
      <c r="D84" s="22"/>
      <c r="E84" s="22"/>
      <c r="F84" s="22"/>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2"/>
    </row>
    <row r="85" spans="2:38" x14ac:dyDescent="0.3">
      <c r="B85" s="23"/>
      <c r="C85" s="22"/>
      <c r="D85" s="22"/>
      <c r="E85" s="22"/>
      <c r="F85" s="22"/>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2"/>
    </row>
    <row r="86" spans="2:38" x14ac:dyDescent="0.3">
      <c r="B86" s="23"/>
      <c r="C86" s="22"/>
      <c r="D86" s="22"/>
      <c r="E86" s="22"/>
      <c r="F86" s="22"/>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2"/>
    </row>
    <row r="87" spans="2:38" x14ac:dyDescent="0.3">
      <c r="B87" s="23"/>
      <c r="C87" s="22"/>
      <c r="D87" s="22"/>
      <c r="E87" s="22"/>
      <c r="F87" s="22"/>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2"/>
    </row>
    <row r="88" spans="2:38" x14ac:dyDescent="0.3">
      <c r="B88" s="23"/>
      <c r="C88" s="22"/>
      <c r="D88" s="22"/>
      <c r="E88" s="22"/>
      <c r="F88" s="22"/>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2"/>
    </row>
    <row r="89" spans="2:38" x14ac:dyDescent="0.3">
      <c r="B89" s="23"/>
      <c r="C89" s="22"/>
      <c r="D89" s="22"/>
      <c r="E89" s="22"/>
      <c r="F89" s="22"/>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2"/>
    </row>
    <row r="90" spans="2:38" x14ac:dyDescent="0.3">
      <c r="B90" s="23"/>
      <c r="C90" s="22"/>
      <c r="D90" s="22"/>
      <c r="E90" s="22"/>
      <c r="F90" s="22"/>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2"/>
    </row>
    <row r="91" spans="2:38" x14ac:dyDescent="0.3">
      <c r="B91" s="23"/>
      <c r="C91" s="22"/>
      <c r="D91" s="22"/>
      <c r="E91" s="22"/>
      <c r="F91" s="22"/>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2"/>
    </row>
    <row r="92" spans="2:38" x14ac:dyDescent="0.3">
      <c r="B92" s="23"/>
      <c r="C92" s="22"/>
      <c r="D92" s="22"/>
      <c r="E92" s="22"/>
      <c r="F92" s="22"/>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2"/>
    </row>
    <row r="93" spans="2:38" x14ac:dyDescent="0.3">
      <c r="B93" s="23"/>
      <c r="C93" s="22"/>
      <c r="D93" s="22"/>
      <c r="E93" s="22"/>
      <c r="F93" s="22"/>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2"/>
    </row>
    <row r="94" spans="2:38" x14ac:dyDescent="0.3">
      <c r="B94" s="23"/>
      <c r="C94" s="22"/>
      <c r="D94" s="22"/>
      <c r="E94" s="22"/>
      <c r="F94" s="22"/>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2"/>
    </row>
    <row r="95" spans="2:38" x14ac:dyDescent="0.3">
      <c r="B95" s="23"/>
      <c r="C95" s="22"/>
      <c r="D95" s="22"/>
      <c r="E95" s="22"/>
      <c r="F95" s="22"/>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2"/>
    </row>
    <row r="96" spans="2:38" x14ac:dyDescent="0.3">
      <c r="B96" s="23"/>
      <c r="C96" s="22"/>
      <c r="D96" s="22"/>
      <c r="E96" s="22"/>
      <c r="F96" s="22"/>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2"/>
    </row>
    <row r="97" spans="2:38" x14ac:dyDescent="0.3">
      <c r="B97" s="23"/>
      <c r="C97" s="22"/>
      <c r="D97" s="22"/>
      <c r="E97" s="22"/>
      <c r="F97" s="22"/>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2"/>
    </row>
    <row r="98" spans="2:38" x14ac:dyDescent="0.3">
      <c r="B98" s="23"/>
      <c r="C98" s="22"/>
      <c r="D98" s="22"/>
      <c r="E98" s="22"/>
      <c r="F98" s="22"/>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2"/>
    </row>
    <row r="99" spans="2:38" x14ac:dyDescent="0.3">
      <c r="B99" s="23"/>
      <c r="C99" s="22"/>
      <c r="D99" s="22"/>
      <c r="E99" s="22"/>
      <c r="F99" s="22"/>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2"/>
    </row>
    <row r="100" spans="2:38" x14ac:dyDescent="0.3">
      <c r="B100" s="23"/>
      <c r="C100" s="22"/>
      <c r="D100" s="22"/>
      <c r="E100" s="22"/>
      <c r="F100" s="22"/>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2"/>
    </row>
    <row r="101" spans="2:38" x14ac:dyDescent="0.3">
      <c r="B101" s="23"/>
      <c r="C101" s="22"/>
      <c r="D101" s="22"/>
      <c r="E101" s="22"/>
      <c r="F101" s="22"/>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2"/>
    </row>
    <row r="102" spans="2:38" x14ac:dyDescent="0.3">
      <c r="B102" s="23"/>
      <c r="C102" s="22"/>
      <c r="D102" s="22"/>
      <c r="E102" s="22"/>
      <c r="F102" s="22"/>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2"/>
    </row>
    <row r="103" spans="2:38" x14ac:dyDescent="0.3">
      <c r="B103" s="23"/>
      <c r="C103" s="22"/>
      <c r="D103" s="22"/>
      <c r="E103" s="22"/>
      <c r="F103" s="22"/>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2"/>
    </row>
    <row r="104" spans="2:38" x14ac:dyDescent="0.3">
      <c r="B104" s="23"/>
      <c r="C104" s="22"/>
      <c r="D104" s="22"/>
      <c r="E104" s="22"/>
      <c r="F104" s="22"/>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2"/>
    </row>
    <row r="105" spans="2:38" x14ac:dyDescent="0.3">
      <c r="B105" s="23"/>
      <c r="C105" s="22"/>
      <c r="D105" s="22"/>
      <c r="E105" s="22"/>
      <c r="F105" s="22"/>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2"/>
    </row>
    <row r="106" spans="2:38" x14ac:dyDescent="0.3">
      <c r="B106" s="23"/>
      <c r="C106" s="22"/>
      <c r="D106" s="22"/>
      <c r="E106" s="22"/>
      <c r="F106" s="22"/>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2"/>
    </row>
    <row r="107" spans="2:38" x14ac:dyDescent="0.3">
      <c r="B107" s="23"/>
      <c r="C107" s="22"/>
      <c r="D107" s="22"/>
      <c r="E107" s="22"/>
      <c r="F107" s="22"/>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2"/>
    </row>
    <row r="108" spans="2:38" x14ac:dyDescent="0.3">
      <c r="B108" s="23"/>
      <c r="C108" s="22"/>
      <c r="D108" s="22"/>
      <c r="E108" s="22"/>
      <c r="F108" s="22"/>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2"/>
    </row>
    <row r="109" spans="2:38" x14ac:dyDescent="0.3">
      <c r="B109" s="23"/>
      <c r="C109" s="22"/>
      <c r="D109" s="22"/>
      <c r="E109" s="22"/>
      <c r="F109" s="22"/>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2"/>
    </row>
    <row r="110" spans="2:38" x14ac:dyDescent="0.3">
      <c r="B110" s="23"/>
      <c r="C110" s="22"/>
      <c r="D110" s="22"/>
      <c r="E110" s="22"/>
      <c r="F110" s="22"/>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2"/>
    </row>
    <row r="111" spans="2:38" x14ac:dyDescent="0.3">
      <c r="B111" s="23"/>
      <c r="C111" s="22"/>
      <c r="D111" s="22"/>
      <c r="E111" s="22"/>
      <c r="F111" s="22"/>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2"/>
    </row>
    <row r="112" spans="2:38" x14ac:dyDescent="0.3">
      <c r="B112" s="23"/>
      <c r="C112" s="22"/>
      <c r="D112" s="22"/>
      <c r="E112" s="22"/>
      <c r="F112" s="22"/>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2"/>
    </row>
    <row r="113" spans="2:38" x14ac:dyDescent="0.3">
      <c r="B113" s="23"/>
      <c r="C113" s="22"/>
      <c r="D113" s="22"/>
      <c r="E113" s="22"/>
      <c r="F113" s="22"/>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2"/>
    </row>
    <row r="114" spans="2:38" x14ac:dyDescent="0.3">
      <c r="B114" s="23"/>
      <c r="C114" s="22"/>
      <c r="D114" s="22"/>
      <c r="E114" s="22"/>
      <c r="F114" s="22"/>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2"/>
    </row>
    <row r="115" spans="2:38" x14ac:dyDescent="0.3">
      <c r="B115" s="23"/>
      <c r="C115" s="22"/>
      <c r="D115" s="22"/>
      <c r="E115" s="22"/>
      <c r="F115" s="22"/>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2"/>
    </row>
    <row r="116" spans="2:38" x14ac:dyDescent="0.3">
      <c r="B116" s="23"/>
      <c r="C116" s="22"/>
      <c r="D116" s="22"/>
      <c r="E116" s="22"/>
      <c r="F116" s="22"/>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2"/>
    </row>
    <row r="117" spans="2:38" x14ac:dyDescent="0.3">
      <c r="B117" s="23"/>
      <c r="C117" s="22"/>
      <c r="D117" s="22"/>
      <c r="E117" s="22"/>
      <c r="F117" s="22"/>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2"/>
    </row>
    <row r="118" spans="2:38" x14ac:dyDescent="0.3">
      <c r="B118" s="23"/>
      <c r="C118" s="22"/>
      <c r="D118" s="22"/>
      <c r="E118" s="22"/>
      <c r="F118" s="22"/>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2"/>
    </row>
    <row r="119" spans="2:38" x14ac:dyDescent="0.3">
      <c r="B119" s="23"/>
      <c r="C119" s="22"/>
      <c r="D119" s="22"/>
      <c r="E119" s="22"/>
      <c r="F119" s="22"/>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2"/>
    </row>
    <row r="120" spans="2:38" x14ac:dyDescent="0.3">
      <c r="B120" s="23"/>
      <c r="C120" s="22"/>
      <c r="D120" s="22"/>
      <c r="E120" s="22"/>
      <c r="F120" s="22"/>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2"/>
    </row>
    <row r="121" spans="2:38" x14ac:dyDescent="0.3">
      <c r="B121" s="23"/>
      <c r="C121" s="22"/>
      <c r="D121" s="22"/>
      <c r="E121" s="22"/>
      <c r="F121" s="22"/>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2"/>
    </row>
    <row r="122" spans="2:38" x14ac:dyDescent="0.3">
      <c r="B122" s="23"/>
      <c r="C122" s="22"/>
      <c r="D122" s="22"/>
      <c r="E122" s="22"/>
      <c r="F122" s="22"/>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2"/>
    </row>
    <row r="123" spans="2:38" x14ac:dyDescent="0.3">
      <c r="B123" s="23"/>
      <c r="C123" s="22"/>
      <c r="D123" s="22"/>
      <c r="E123" s="22"/>
      <c r="F123" s="22"/>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2"/>
    </row>
    <row r="124" spans="2:38" x14ac:dyDescent="0.3">
      <c r="B124" s="23"/>
      <c r="C124" s="22"/>
      <c r="D124" s="22"/>
      <c r="E124" s="22"/>
      <c r="F124" s="22"/>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2"/>
    </row>
    <row r="125" spans="2:38" x14ac:dyDescent="0.3">
      <c r="B125" s="23"/>
      <c r="C125" s="22"/>
      <c r="D125" s="22"/>
      <c r="E125" s="22"/>
      <c r="F125" s="22"/>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2"/>
    </row>
    <row r="126" spans="2:38" x14ac:dyDescent="0.3">
      <c r="B126" s="23"/>
      <c r="C126" s="22"/>
      <c r="D126" s="22"/>
      <c r="E126" s="22"/>
      <c r="F126" s="22"/>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2"/>
    </row>
    <row r="127" spans="2:38" x14ac:dyDescent="0.3">
      <c r="B127" s="23"/>
      <c r="C127" s="22"/>
      <c r="D127" s="22"/>
      <c r="E127" s="22"/>
      <c r="F127" s="22"/>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2"/>
    </row>
    <row r="128" spans="2:38" x14ac:dyDescent="0.3">
      <c r="B128" s="23"/>
      <c r="C128" s="22"/>
      <c r="D128" s="22"/>
      <c r="E128" s="22"/>
      <c r="F128" s="22"/>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2"/>
    </row>
    <row r="129" spans="2:38" x14ac:dyDescent="0.3">
      <c r="B129" s="23"/>
      <c r="C129" s="22"/>
      <c r="D129" s="22"/>
      <c r="E129" s="22"/>
      <c r="F129" s="22"/>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2"/>
    </row>
    <row r="130" spans="2:38" x14ac:dyDescent="0.3">
      <c r="B130" s="23"/>
      <c r="C130" s="22"/>
      <c r="D130" s="22"/>
      <c r="E130" s="22"/>
      <c r="F130" s="22"/>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2"/>
    </row>
    <row r="131" spans="2:38" x14ac:dyDescent="0.3">
      <c r="B131" s="23"/>
      <c r="C131" s="22"/>
      <c r="D131" s="22"/>
      <c r="E131" s="22"/>
      <c r="F131" s="22"/>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2"/>
    </row>
    <row r="132" spans="2:38" x14ac:dyDescent="0.3">
      <c r="B132" s="23"/>
      <c r="C132" s="22"/>
      <c r="D132" s="22"/>
      <c r="E132" s="22"/>
      <c r="F132" s="22"/>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2"/>
    </row>
    <row r="133" spans="2:38" x14ac:dyDescent="0.3">
      <c r="B133" s="23"/>
      <c r="C133" s="22"/>
      <c r="D133" s="22"/>
      <c r="E133" s="22"/>
      <c r="F133" s="22"/>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2"/>
    </row>
    <row r="134" spans="2:38" x14ac:dyDescent="0.3">
      <c r="B134" s="23"/>
      <c r="C134" s="22"/>
      <c r="D134" s="22"/>
      <c r="E134" s="22"/>
      <c r="F134" s="22"/>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2"/>
    </row>
    <row r="135" spans="2:38" x14ac:dyDescent="0.3">
      <c r="B135" s="23"/>
      <c r="C135" s="22"/>
      <c r="D135" s="22"/>
      <c r="E135" s="22"/>
      <c r="F135" s="22"/>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2"/>
    </row>
    <row r="136" spans="2:38" x14ac:dyDescent="0.3">
      <c r="B136" s="23"/>
      <c r="C136" s="22"/>
      <c r="D136" s="22"/>
      <c r="E136" s="22"/>
      <c r="F136" s="22"/>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2"/>
    </row>
    <row r="137" spans="2:38" x14ac:dyDescent="0.3">
      <c r="B137" s="23"/>
      <c r="C137" s="22"/>
      <c r="D137" s="22"/>
      <c r="E137" s="22"/>
      <c r="F137" s="22"/>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2"/>
    </row>
    <row r="138" spans="2:38" x14ac:dyDescent="0.3">
      <c r="B138" s="23"/>
      <c r="C138" s="22"/>
      <c r="D138" s="22"/>
      <c r="E138" s="22"/>
      <c r="F138" s="22"/>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2"/>
    </row>
    <row r="139" spans="2:38" x14ac:dyDescent="0.3">
      <c r="B139" s="23"/>
      <c r="C139" s="22"/>
      <c r="D139" s="22"/>
      <c r="E139" s="22"/>
      <c r="F139" s="22"/>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2"/>
    </row>
    <row r="140" spans="2:38" x14ac:dyDescent="0.3">
      <c r="B140" s="23"/>
      <c r="C140" s="22"/>
      <c r="D140" s="22"/>
      <c r="E140" s="22"/>
      <c r="F140" s="22"/>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2"/>
    </row>
    <row r="141" spans="2:38" x14ac:dyDescent="0.3">
      <c r="B141" s="23"/>
      <c r="C141" s="22"/>
      <c r="D141" s="22"/>
      <c r="E141" s="22"/>
      <c r="F141" s="22"/>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2"/>
    </row>
    <row r="142" spans="2:38" x14ac:dyDescent="0.3">
      <c r="B142" s="23"/>
      <c r="C142" s="22"/>
      <c r="D142" s="22"/>
      <c r="E142" s="22"/>
      <c r="F142" s="22"/>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2"/>
    </row>
    <row r="143" spans="2:38" x14ac:dyDescent="0.3">
      <c r="B143" s="23"/>
      <c r="C143" s="22"/>
      <c r="D143" s="22"/>
      <c r="E143" s="22"/>
      <c r="F143" s="22"/>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2"/>
    </row>
    <row r="144" spans="2:38" x14ac:dyDescent="0.3">
      <c r="B144" s="23"/>
      <c r="C144" s="22"/>
      <c r="D144" s="22"/>
      <c r="E144" s="22"/>
      <c r="F144" s="22"/>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2"/>
    </row>
    <row r="145" spans="2:38" x14ac:dyDescent="0.3">
      <c r="B145" s="23"/>
      <c r="C145" s="22"/>
      <c r="D145" s="22"/>
      <c r="E145" s="22"/>
      <c r="F145" s="22"/>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2"/>
    </row>
    <row r="146" spans="2:38" x14ac:dyDescent="0.3">
      <c r="B146" s="23"/>
      <c r="C146" s="22"/>
      <c r="D146" s="22"/>
      <c r="E146" s="22"/>
      <c r="F146" s="22"/>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2"/>
    </row>
    <row r="147" spans="2:38" x14ac:dyDescent="0.3">
      <c r="B147" s="23"/>
      <c r="C147" s="22"/>
      <c r="D147" s="22"/>
      <c r="E147" s="22"/>
      <c r="F147" s="22"/>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2"/>
    </row>
    <row r="148" spans="2:38" x14ac:dyDescent="0.3">
      <c r="B148" s="23"/>
      <c r="C148" s="22"/>
      <c r="D148" s="22"/>
      <c r="E148" s="22"/>
      <c r="F148" s="22"/>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2"/>
    </row>
    <row r="149" spans="2:38" x14ac:dyDescent="0.3">
      <c r="B149" s="23"/>
      <c r="C149" s="22"/>
      <c r="D149" s="22"/>
      <c r="E149" s="22"/>
      <c r="F149" s="22"/>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2"/>
    </row>
    <row r="150" spans="2:38" x14ac:dyDescent="0.3">
      <c r="B150" s="23"/>
      <c r="C150" s="22"/>
      <c r="D150" s="22"/>
      <c r="E150" s="22"/>
      <c r="F150" s="22"/>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2"/>
    </row>
    <row r="151" spans="2:38" x14ac:dyDescent="0.3">
      <c r="B151" s="23"/>
      <c r="C151" s="22"/>
      <c r="D151" s="22"/>
      <c r="E151" s="22"/>
      <c r="F151" s="22"/>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2"/>
    </row>
    <row r="152" spans="2:38" x14ac:dyDescent="0.3">
      <c r="B152" s="23"/>
      <c r="C152" s="22"/>
      <c r="D152" s="22"/>
      <c r="E152" s="22"/>
      <c r="F152" s="22"/>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2"/>
    </row>
    <row r="153" spans="2:38" x14ac:dyDescent="0.3">
      <c r="B153" s="23"/>
      <c r="C153" s="22"/>
      <c r="D153" s="22"/>
      <c r="E153" s="22"/>
      <c r="F153" s="22"/>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2"/>
    </row>
    <row r="154" spans="2:38" x14ac:dyDescent="0.3">
      <c r="B154" s="23"/>
      <c r="C154" s="22"/>
      <c r="D154" s="22"/>
      <c r="E154" s="22"/>
      <c r="F154" s="22"/>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2"/>
    </row>
    <row r="155" spans="2:38" x14ac:dyDescent="0.3">
      <c r="B155" s="23"/>
      <c r="C155" s="22"/>
      <c r="D155" s="22"/>
      <c r="E155" s="22"/>
      <c r="F155" s="22"/>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2"/>
    </row>
    <row r="156" spans="2:38" x14ac:dyDescent="0.3">
      <c r="B156" s="23"/>
      <c r="C156" s="22"/>
      <c r="D156" s="22"/>
      <c r="E156" s="22"/>
      <c r="F156" s="22"/>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2"/>
    </row>
    <row r="157" spans="2:38" x14ac:dyDescent="0.3">
      <c r="B157" s="23"/>
      <c r="C157" s="22"/>
      <c r="D157" s="22"/>
      <c r="E157" s="22"/>
      <c r="F157" s="22"/>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2"/>
    </row>
    <row r="158" spans="2:38" x14ac:dyDescent="0.3">
      <c r="B158" s="23"/>
      <c r="C158" s="22"/>
      <c r="D158" s="22"/>
      <c r="E158" s="22"/>
      <c r="F158" s="22"/>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2"/>
    </row>
    <row r="159" spans="2:38" x14ac:dyDescent="0.3">
      <c r="B159" s="23"/>
      <c r="C159" s="22"/>
      <c r="D159" s="22"/>
      <c r="E159" s="22"/>
      <c r="F159" s="22"/>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2"/>
    </row>
    <row r="160" spans="2:38" x14ac:dyDescent="0.3">
      <c r="B160" s="23"/>
      <c r="C160" s="22"/>
      <c r="D160" s="22"/>
      <c r="E160" s="22"/>
      <c r="F160" s="22"/>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2"/>
    </row>
    <row r="161" spans="2:38" x14ac:dyDescent="0.3">
      <c r="B161" s="23"/>
      <c r="C161" s="22"/>
      <c r="D161" s="22"/>
      <c r="E161" s="22"/>
      <c r="F161" s="22"/>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2"/>
    </row>
    <row r="162" spans="2:38" x14ac:dyDescent="0.3">
      <c r="B162" s="23"/>
      <c r="C162" s="22"/>
      <c r="D162" s="22"/>
      <c r="E162" s="22"/>
      <c r="F162" s="22"/>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2"/>
    </row>
    <row r="163" spans="2:38" x14ac:dyDescent="0.3">
      <c r="B163" s="23"/>
      <c r="C163" s="22"/>
      <c r="D163" s="22"/>
      <c r="E163" s="22"/>
      <c r="F163" s="22"/>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2"/>
    </row>
    <row r="164" spans="2:38" x14ac:dyDescent="0.3">
      <c r="B164" s="23"/>
      <c r="C164" s="22"/>
      <c r="D164" s="22"/>
      <c r="E164" s="22"/>
      <c r="F164" s="22"/>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2"/>
    </row>
    <row r="165" spans="2:38" x14ac:dyDescent="0.3">
      <c r="B165" s="23"/>
      <c r="C165" s="22"/>
      <c r="D165" s="22"/>
      <c r="E165" s="22"/>
      <c r="F165" s="22"/>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2"/>
    </row>
    <row r="166" spans="2:38" x14ac:dyDescent="0.3">
      <c r="B166" s="23"/>
      <c r="C166" s="22"/>
      <c r="D166" s="22"/>
      <c r="E166" s="22"/>
      <c r="F166" s="22"/>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2"/>
    </row>
    <row r="167" spans="2:38" x14ac:dyDescent="0.3">
      <c r="B167" s="23"/>
      <c r="C167" s="22"/>
      <c r="D167" s="22"/>
      <c r="E167" s="22"/>
      <c r="F167" s="22"/>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2"/>
    </row>
    <row r="168" spans="2:38" x14ac:dyDescent="0.3">
      <c r="B168" s="23"/>
      <c r="C168" s="22"/>
      <c r="D168" s="22"/>
      <c r="E168" s="22"/>
      <c r="F168" s="22"/>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2"/>
    </row>
    <row r="169" spans="2:38" x14ac:dyDescent="0.3">
      <c r="B169" s="23"/>
      <c r="C169" s="22"/>
      <c r="D169" s="22"/>
      <c r="E169" s="22"/>
      <c r="F169" s="22"/>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2"/>
    </row>
    <row r="170" spans="2:38" x14ac:dyDescent="0.3">
      <c r="B170" s="23"/>
      <c r="C170" s="22"/>
      <c r="D170" s="22"/>
      <c r="E170" s="22"/>
      <c r="F170" s="22"/>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2"/>
    </row>
    <row r="171" spans="2:38" x14ac:dyDescent="0.3">
      <c r="B171" s="23"/>
      <c r="C171" s="22"/>
      <c r="D171" s="22"/>
      <c r="E171" s="22"/>
      <c r="F171" s="22"/>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2"/>
    </row>
    <row r="172" spans="2:38" x14ac:dyDescent="0.3">
      <c r="B172" s="23"/>
      <c r="C172" s="22"/>
      <c r="D172" s="22"/>
      <c r="E172" s="22"/>
      <c r="F172" s="22"/>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2"/>
    </row>
    <row r="173" spans="2:38" x14ac:dyDescent="0.3">
      <c r="B173" s="23"/>
      <c r="C173" s="22"/>
      <c r="D173" s="22"/>
      <c r="E173" s="22"/>
      <c r="F173" s="22"/>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2"/>
    </row>
    <row r="174" spans="2:38" x14ac:dyDescent="0.3">
      <c r="B174" s="23"/>
      <c r="C174" s="22"/>
      <c r="D174" s="22"/>
      <c r="E174" s="22"/>
      <c r="F174" s="22"/>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2"/>
    </row>
    <row r="175" spans="2:38" x14ac:dyDescent="0.3">
      <c r="B175" s="23"/>
      <c r="C175" s="22"/>
      <c r="D175" s="22"/>
      <c r="E175" s="22"/>
      <c r="F175" s="22"/>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2"/>
    </row>
    <row r="176" spans="2:38" x14ac:dyDescent="0.3">
      <c r="B176" s="23"/>
      <c r="C176" s="22"/>
      <c r="D176" s="22"/>
      <c r="E176" s="22"/>
      <c r="F176" s="22"/>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2"/>
    </row>
    <row r="177" spans="2:38" x14ac:dyDescent="0.3">
      <c r="B177" s="23"/>
      <c r="C177" s="22"/>
      <c r="D177" s="22"/>
      <c r="E177" s="22"/>
      <c r="F177" s="22"/>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2"/>
    </row>
    <row r="178" spans="2:38" x14ac:dyDescent="0.3">
      <c r="B178" s="23"/>
      <c r="C178" s="22"/>
      <c r="D178" s="22"/>
      <c r="E178" s="22"/>
      <c r="F178" s="22"/>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2"/>
    </row>
    <row r="179" spans="2:38" x14ac:dyDescent="0.3">
      <c r="B179" s="23"/>
      <c r="C179" s="22"/>
      <c r="D179" s="22"/>
      <c r="E179" s="22"/>
      <c r="F179" s="22"/>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2"/>
    </row>
    <row r="180" spans="2:38" x14ac:dyDescent="0.3">
      <c r="B180" s="23"/>
      <c r="C180" s="22"/>
      <c r="D180" s="22"/>
      <c r="E180" s="22"/>
      <c r="F180" s="22"/>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2"/>
    </row>
    <row r="181" spans="2:38" x14ac:dyDescent="0.3">
      <c r="B181" s="23"/>
      <c r="C181" s="22"/>
      <c r="D181" s="22"/>
      <c r="E181" s="22"/>
      <c r="F181" s="22"/>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2"/>
    </row>
    <row r="182" spans="2:38" x14ac:dyDescent="0.3">
      <c r="B182" s="23"/>
      <c r="C182" s="22"/>
      <c r="D182" s="22"/>
      <c r="E182" s="22"/>
      <c r="F182" s="22"/>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2"/>
    </row>
    <row r="183" spans="2:38" x14ac:dyDescent="0.3">
      <c r="B183" s="23"/>
      <c r="C183" s="22"/>
      <c r="D183" s="22"/>
      <c r="E183" s="22"/>
      <c r="F183" s="22"/>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2"/>
    </row>
    <row r="184" spans="2:38" x14ac:dyDescent="0.3">
      <c r="B184" s="23"/>
      <c r="C184" s="22"/>
      <c r="D184" s="22"/>
      <c r="E184" s="22"/>
      <c r="F184" s="22"/>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2"/>
    </row>
    <row r="185" spans="2:38" x14ac:dyDescent="0.3">
      <c r="B185" s="23"/>
      <c r="C185" s="22"/>
      <c r="D185" s="22"/>
      <c r="E185" s="22"/>
      <c r="F185" s="22"/>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2"/>
    </row>
    <row r="186" spans="2:38" x14ac:dyDescent="0.3">
      <c r="B186" s="23"/>
      <c r="C186" s="22"/>
      <c r="D186" s="22"/>
      <c r="E186" s="22"/>
      <c r="F186" s="22"/>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2"/>
    </row>
    <row r="187" spans="2:38" x14ac:dyDescent="0.3">
      <c r="B187" s="23"/>
      <c r="C187" s="22"/>
      <c r="D187" s="22"/>
      <c r="E187" s="22"/>
      <c r="F187" s="22"/>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2"/>
    </row>
    <row r="188" spans="2:38" x14ac:dyDescent="0.3">
      <c r="B188" s="23"/>
      <c r="C188" s="22"/>
      <c r="D188" s="22"/>
      <c r="E188" s="22"/>
      <c r="F188" s="22"/>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2"/>
    </row>
    <row r="189" spans="2:38" x14ac:dyDescent="0.3">
      <c r="B189" s="23"/>
      <c r="C189" s="22"/>
      <c r="D189" s="22"/>
      <c r="E189" s="22"/>
      <c r="F189" s="22"/>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2"/>
    </row>
    <row r="190" spans="2:38" x14ac:dyDescent="0.3">
      <c r="B190" s="23"/>
      <c r="C190" s="22"/>
      <c r="D190" s="22"/>
      <c r="E190" s="22"/>
      <c r="F190" s="22"/>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2"/>
    </row>
    <row r="191" spans="2:38" x14ac:dyDescent="0.3">
      <c r="B191" s="23"/>
      <c r="C191" s="22"/>
      <c r="D191" s="22"/>
      <c r="E191" s="22"/>
      <c r="F191" s="22"/>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2"/>
    </row>
    <row r="192" spans="2:38" x14ac:dyDescent="0.3">
      <c r="B192" s="23"/>
      <c r="C192" s="22"/>
      <c r="D192" s="22"/>
      <c r="E192" s="22"/>
      <c r="F192" s="22"/>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2"/>
    </row>
    <row r="193" spans="2:38" x14ac:dyDescent="0.3">
      <c r="B193" s="23"/>
      <c r="C193" s="22"/>
      <c r="D193" s="22"/>
      <c r="E193" s="22"/>
      <c r="F193" s="22"/>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2"/>
    </row>
    <row r="194" spans="2:38" x14ac:dyDescent="0.3">
      <c r="B194" s="23"/>
      <c r="C194" s="22"/>
      <c r="D194" s="22"/>
      <c r="E194" s="22"/>
      <c r="F194" s="22"/>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2"/>
    </row>
    <row r="195" spans="2:38" x14ac:dyDescent="0.3">
      <c r="B195" s="23"/>
      <c r="C195" s="22"/>
      <c r="D195" s="22"/>
      <c r="E195" s="22"/>
      <c r="F195" s="22"/>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2"/>
    </row>
    <row r="196" spans="2:38" x14ac:dyDescent="0.3">
      <c r="B196" s="23"/>
      <c r="C196" s="22"/>
      <c r="D196" s="22"/>
      <c r="E196" s="22"/>
      <c r="F196" s="22"/>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2"/>
    </row>
    <row r="197" spans="2:38" x14ac:dyDescent="0.3">
      <c r="B197" s="23"/>
      <c r="C197" s="22"/>
      <c r="D197" s="22"/>
      <c r="E197" s="22"/>
      <c r="F197" s="22"/>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2"/>
    </row>
    <row r="198" spans="2:38" x14ac:dyDescent="0.3">
      <c r="B198" s="23"/>
      <c r="C198" s="22"/>
      <c r="D198" s="22"/>
      <c r="E198" s="22"/>
      <c r="F198" s="22"/>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2"/>
    </row>
    <row r="199" spans="2:38" x14ac:dyDescent="0.3">
      <c r="B199" s="23"/>
      <c r="C199" s="22"/>
      <c r="D199" s="22"/>
      <c r="E199" s="22"/>
      <c r="F199" s="22"/>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2"/>
    </row>
    <row r="200" spans="2:38" x14ac:dyDescent="0.3">
      <c r="B200" s="23"/>
      <c r="C200" s="22"/>
      <c r="D200" s="22"/>
      <c r="E200" s="22"/>
      <c r="F200" s="22"/>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2"/>
    </row>
    <row r="201" spans="2:38" x14ac:dyDescent="0.3">
      <c r="B201" s="23"/>
      <c r="C201" s="22"/>
      <c r="D201" s="22"/>
      <c r="E201" s="22"/>
      <c r="F201" s="22"/>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2"/>
    </row>
    <row r="202" spans="2:38" x14ac:dyDescent="0.3">
      <c r="B202" s="23"/>
      <c r="C202" s="22"/>
      <c r="D202" s="22"/>
      <c r="E202" s="22"/>
      <c r="F202" s="22"/>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2"/>
    </row>
    <row r="203" spans="2:38" x14ac:dyDescent="0.3">
      <c r="B203" s="23"/>
      <c r="C203" s="22"/>
      <c r="D203" s="22"/>
      <c r="E203" s="22"/>
      <c r="F203" s="22"/>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2"/>
    </row>
    <row r="204" spans="2:38" x14ac:dyDescent="0.3">
      <c r="B204" s="23"/>
      <c r="C204" s="22"/>
      <c r="D204" s="22"/>
      <c r="E204" s="22"/>
      <c r="F204" s="22"/>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2"/>
    </row>
    <row r="205" spans="2:38" x14ac:dyDescent="0.3">
      <c r="B205" s="23"/>
      <c r="C205" s="22"/>
      <c r="D205" s="22"/>
      <c r="E205" s="22"/>
      <c r="F205" s="22"/>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2"/>
    </row>
    <row r="206" spans="2:38" x14ac:dyDescent="0.3">
      <c r="B206" s="23"/>
      <c r="C206" s="22"/>
      <c r="D206" s="22"/>
      <c r="E206" s="22"/>
      <c r="F206" s="22"/>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2"/>
    </row>
    <row r="207" spans="2:38" x14ac:dyDescent="0.3">
      <c r="B207" s="23"/>
      <c r="C207" s="22"/>
      <c r="D207" s="22"/>
      <c r="E207" s="22"/>
      <c r="F207" s="22"/>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2"/>
    </row>
    <row r="208" spans="2:38" x14ac:dyDescent="0.3">
      <c r="B208" s="23"/>
      <c r="C208" s="22"/>
      <c r="D208" s="22"/>
      <c r="E208" s="22"/>
      <c r="F208" s="22"/>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2"/>
    </row>
    <row r="209" spans="2:38" x14ac:dyDescent="0.3">
      <c r="B209" s="23"/>
      <c r="C209" s="22"/>
      <c r="D209" s="22"/>
      <c r="E209" s="22"/>
      <c r="F209" s="22"/>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2"/>
    </row>
    <row r="210" spans="2:38" x14ac:dyDescent="0.3">
      <c r="B210" s="23"/>
      <c r="C210" s="22"/>
      <c r="D210" s="22"/>
      <c r="E210" s="22"/>
      <c r="F210" s="22"/>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2"/>
    </row>
    <row r="211" spans="2:38" x14ac:dyDescent="0.3">
      <c r="B211" s="23"/>
      <c r="C211" s="22"/>
      <c r="D211" s="22"/>
      <c r="E211" s="22"/>
      <c r="F211" s="22"/>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2"/>
    </row>
    <row r="212" spans="2:38" x14ac:dyDescent="0.3">
      <c r="B212" s="23"/>
      <c r="C212" s="22"/>
      <c r="D212" s="22"/>
      <c r="E212" s="22"/>
      <c r="F212" s="22"/>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2"/>
    </row>
    <row r="213" spans="2:38" x14ac:dyDescent="0.3">
      <c r="B213" s="23"/>
      <c r="C213" s="22"/>
      <c r="D213" s="22"/>
      <c r="E213" s="22"/>
      <c r="F213" s="22"/>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2"/>
    </row>
    <row r="214" spans="2:38" x14ac:dyDescent="0.3">
      <c r="B214" s="23"/>
      <c r="C214" s="22"/>
      <c r="D214" s="22"/>
      <c r="E214" s="22"/>
      <c r="F214" s="22"/>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2"/>
    </row>
    <row r="215" spans="2:38" x14ac:dyDescent="0.3">
      <c r="B215" s="23"/>
      <c r="C215" s="22"/>
      <c r="D215" s="22"/>
      <c r="E215" s="22"/>
      <c r="F215" s="22"/>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2"/>
    </row>
    <row r="216" spans="2:38" x14ac:dyDescent="0.3">
      <c r="B216" s="23"/>
      <c r="C216" s="22"/>
      <c r="D216" s="22"/>
      <c r="E216" s="22"/>
      <c r="F216" s="22"/>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2"/>
    </row>
    <row r="217" spans="2:38" x14ac:dyDescent="0.3">
      <c r="B217" s="23"/>
      <c r="C217" s="22"/>
      <c r="D217" s="22"/>
      <c r="E217" s="22"/>
      <c r="F217" s="22"/>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2"/>
    </row>
    <row r="218" spans="2:38" x14ac:dyDescent="0.3">
      <c r="B218" s="23"/>
      <c r="C218" s="22"/>
      <c r="D218" s="22"/>
      <c r="E218" s="22"/>
      <c r="F218" s="22"/>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2"/>
    </row>
    <row r="219" spans="2:38" x14ac:dyDescent="0.3">
      <c r="B219" s="23"/>
      <c r="C219" s="22"/>
      <c r="D219" s="22"/>
      <c r="E219" s="22"/>
      <c r="F219" s="22"/>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2"/>
    </row>
    <row r="220" spans="2:38" x14ac:dyDescent="0.3">
      <c r="B220" s="23"/>
      <c r="C220" s="22"/>
      <c r="D220" s="22"/>
      <c r="E220" s="22"/>
      <c r="F220" s="22"/>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2"/>
    </row>
    <row r="221" spans="2:38" x14ac:dyDescent="0.3">
      <c r="B221" s="23"/>
      <c r="C221" s="22"/>
      <c r="D221" s="22"/>
      <c r="E221" s="22"/>
      <c r="F221" s="22"/>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2"/>
    </row>
    <row r="222" spans="2:38" x14ac:dyDescent="0.3">
      <c r="B222" s="23"/>
      <c r="C222" s="22"/>
      <c r="D222" s="22"/>
      <c r="E222" s="22"/>
      <c r="F222" s="22"/>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2"/>
    </row>
    <row r="223" spans="2:38" x14ac:dyDescent="0.3">
      <c r="B223" s="23"/>
      <c r="C223" s="22"/>
      <c r="D223" s="22"/>
      <c r="E223" s="22"/>
      <c r="F223" s="22"/>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2"/>
    </row>
    <row r="224" spans="2:38" x14ac:dyDescent="0.3">
      <c r="B224" s="23"/>
      <c r="C224" s="22"/>
      <c r="D224" s="22"/>
      <c r="E224" s="22"/>
      <c r="F224" s="22"/>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2"/>
    </row>
    <row r="225" spans="2:38" x14ac:dyDescent="0.3">
      <c r="B225" s="23"/>
      <c r="C225" s="22"/>
      <c r="D225" s="22"/>
      <c r="E225" s="22"/>
      <c r="F225" s="22"/>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2"/>
    </row>
    <row r="226" spans="2:38" x14ac:dyDescent="0.3">
      <c r="B226" s="23"/>
      <c r="C226" s="22"/>
      <c r="D226" s="22"/>
      <c r="E226" s="22"/>
      <c r="F226" s="22"/>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2"/>
    </row>
    <row r="227" spans="2:38" x14ac:dyDescent="0.3">
      <c r="B227" s="23"/>
      <c r="C227" s="22"/>
      <c r="D227" s="22"/>
      <c r="E227" s="22"/>
      <c r="F227" s="22"/>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2"/>
    </row>
    <row r="228" spans="2:38" x14ac:dyDescent="0.3">
      <c r="B228" s="23"/>
      <c r="C228" s="22"/>
      <c r="D228" s="22"/>
      <c r="E228" s="22"/>
      <c r="F228" s="22"/>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2"/>
    </row>
    <row r="229" spans="2:38" x14ac:dyDescent="0.3">
      <c r="B229" s="23"/>
      <c r="C229" s="22"/>
      <c r="D229" s="22"/>
      <c r="E229" s="22"/>
      <c r="F229" s="22"/>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2"/>
    </row>
    <row r="230" spans="2:38" x14ac:dyDescent="0.3">
      <c r="B230" s="23"/>
      <c r="C230" s="22"/>
      <c r="D230" s="22"/>
      <c r="E230" s="22"/>
      <c r="F230" s="22"/>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2"/>
    </row>
    <row r="231" spans="2:38" x14ac:dyDescent="0.3">
      <c r="B231" s="23"/>
      <c r="C231" s="22"/>
      <c r="D231" s="22"/>
      <c r="E231" s="22"/>
      <c r="F231" s="22"/>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2"/>
    </row>
    <row r="232" spans="2:38" x14ac:dyDescent="0.3">
      <c r="B232" s="23"/>
      <c r="C232" s="22"/>
      <c r="D232" s="22"/>
      <c r="E232" s="22"/>
      <c r="F232" s="22"/>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2"/>
    </row>
    <row r="233" spans="2:38" x14ac:dyDescent="0.3">
      <c r="B233" s="23"/>
      <c r="C233" s="22"/>
      <c r="D233" s="22"/>
      <c r="E233" s="22"/>
      <c r="F233" s="22"/>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2"/>
    </row>
    <row r="234" spans="2:38" x14ac:dyDescent="0.3">
      <c r="B234" s="23"/>
      <c r="C234" s="22"/>
      <c r="D234" s="22"/>
      <c r="E234" s="22"/>
      <c r="F234" s="22"/>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2"/>
    </row>
    <row r="235" spans="2:38" x14ac:dyDescent="0.3">
      <c r="B235" s="23"/>
      <c r="C235" s="22"/>
      <c r="D235" s="22"/>
      <c r="E235" s="22"/>
      <c r="F235" s="22"/>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2"/>
    </row>
    <row r="236" spans="2:38" x14ac:dyDescent="0.3">
      <c r="B236" s="23"/>
      <c r="C236" s="22"/>
      <c r="D236" s="22"/>
      <c r="E236" s="22"/>
      <c r="F236" s="22"/>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2"/>
    </row>
    <row r="237" spans="2:38" x14ac:dyDescent="0.3">
      <c r="B237" s="23"/>
      <c r="C237" s="22"/>
      <c r="D237" s="22"/>
      <c r="E237" s="22"/>
      <c r="F237" s="22"/>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2"/>
    </row>
    <row r="238" spans="2:38" x14ac:dyDescent="0.3">
      <c r="B238" s="23"/>
      <c r="C238" s="22"/>
      <c r="D238" s="22"/>
      <c r="E238" s="22"/>
      <c r="F238" s="22"/>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2"/>
    </row>
    <row r="239" spans="2:38" x14ac:dyDescent="0.3">
      <c r="B239" s="23"/>
      <c r="C239" s="22"/>
      <c r="D239" s="22"/>
      <c r="E239" s="22"/>
      <c r="F239" s="22"/>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2"/>
    </row>
    <row r="240" spans="2:38" x14ac:dyDescent="0.3">
      <c r="B240" s="23"/>
      <c r="C240" s="22"/>
      <c r="D240" s="22"/>
      <c r="E240" s="22"/>
      <c r="F240" s="22"/>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2"/>
    </row>
    <row r="241" spans="2:38" x14ac:dyDescent="0.3">
      <c r="B241" s="23"/>
      <c r="C241" s="22"/>
      <c r="D241" s="22"/>
      <c r="E241" s="22"/>
      <c r="F241" s="22"/>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2"/>
    </row>
    <row r="242" spans="2:38" x14ac:dyDescent="0.3">
      <c r="B242" s="23"/>
      <c r="C242" s="22"/>
      <c r="D242" s="22"/>
      <c r="E242" s="22"/>
      <c r="F242" s="22"/>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2"/>
    </row>
    <row r="243" spans="2:38" x14ac:dyDescent="0.3">
      <c r="B243" s="23"/>
      <c r="C243" s="22"/>
      <c r="D243" s="22"/>
      <c r="E243" s="22"/>
      <c r="F243" s="22"/>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2"/>
    </row>
    <row r="244" spans="2:38" x14ac:dyDescent="0.3">
      <c r="B244" s="23"/>
      <c r="C244" s="22"/>
      <c r="D244" s="22"/>
      <c r="E244" s="22"/>
      <c r="F244" s="22"/>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2"/>
    </row>
    <row r="245" spans="2:38" x14ac:dyDescent="0.3">
      <c r="B245" s="23"/>
      <c r="C245" s="22"/>
      <c r="D245" s="22"/>
      <c r="E245" s="22"/>
      <c r="F245" s="22"/>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2"/>
    </row>
    <row r="246" spans="2:38" x14ac:dyDescent="0.3">
      <c r="B246" s="23"/>
      <c r="C246" s="22"/>
      <c r="D246" s="22"/>
      <c r="E246" s="22"/>
      <c r="F246" s="22"/>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2"/>
    </row>
    <row r="247" spans="2:38" x14ac:dyDescent="0.3">
      <c r="B247" s="23"/>
      <c r="C247" s="22"/>
      <c r="D247" s="22"/>
      <c r="E247" s="22"/>
      <c r="F247" s="22"/>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2"/>
    </row>
    <row r="248" spans="2:38" x14ac:dyDescent="0.3">
      <c r="B248" s="23"/>
      <c r="C248" s="22"/>
      <c r="D248" s="22"/>
      <c r="E248" s="22"/>
      <c r="F248" s="22"/>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2"/>
    </row>
    <row r="249" spans="2:38" x14ac:dyDescent="0.3">
      <c r="B249" s="23"/>
      <c r="C249" s="22"/>
      <c r="D249" s="22"/>
      <c r="E249" s="22"/>
      <c r="F249" s="22"/>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2"/>
    </row>
    <row r="250" spans="2:38" x14ac:dyDescent="0.3">
      <c r="B250" s="23"/>
      <c r="C250" s="22"/>
      <c r="D250" s="22"/>
      <c r="E250" s="22"/>
      <c r="F250" s="22"/>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2"/>
    </row>
    <row r="251" spans="2:38" x14ac:dyDescent="0.3">
      <c r="B251" s="23"/>
      <c r="C251" s="22"/>
      <c r="D251" s="22"/>
      <c r="E251" s="22"/>
      <c r="F251" s="22"/>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2"/>
    </row>
    <row r="252" spans="2:38" x14ac:dyDescent="0.3">
      <c r="B252" s="23"/>
      <c r="C252" s="22"/>
      <c r="D252" s="22"/>
      <c r="E252" s="22"/>
      <c r="F252" s="22"/>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2"/>
    </row>
    <row r="253" spans="2:38" x14ac:dyDescent="0.3">
      <c r="B253" s="23"/>
      <c r="C253" s="22"/>
      <c r="D253" s="22"/>
      <c r="E253" s="22"/>
      <c r="F253" s="22"/>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2"/>
    </row>
    <row r="254" spans="2:38" x14ac:dyDescent="0.3">
      <c r="B254" s="23"/>
      <c r="C254" s="22"/>
      <c r="D254" s="22"/>
      <c r="E254" s="22"/>
      <c r="F254" s="22"/>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2"/>
    </row>
    <row r="255" spans="2:38" x14ac:dyDescent="0.3">
      <c r="B255" s="23"/>
      <c r="C255" s="22"/>
      <c r="D255" s="22"/>
      <c r="E255" s="22"/>
      <c r="F255" s="22"/>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2"/>
    </row>
    <row r="256" spans="2:38" x14ac:dyDescent="0.3">
      <c r="B256" s="23"/>
      <c r="C256" s="22"/>
      <c r="D256" s="22"/>
      <c r="E256" s="22"/>
      <c r="F256" s="22"/>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2"/>
    </row>
    <row r="257" spans="2:38" x14ac:dyDescent="0.3">
      <c r="B257" s="23"/>
      <c r="C257" s="22"/>
      <c r="D257" s="22"/>
      <c r="E257" s="22"/>
      <c r="F257" s="22"/>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2"/>
    </row>
    <row r="258" spans="2:38" x14ac:dyDescent="0.3">
      <c r="B258" s="23"/>
      <c r="C258" s="22"/>
      <c r="D258" s="22"/>
      <c r="E258" s="22"/>
      <c r="F258" s="22"/>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2"/>
    </row>
    <row r="259" spans="2:38" x14ac:dyDescent="0.3">
      <c r="B259" s="23"/>
      <c r="C259" s="22"/>
      <c r="D259" s="22"/>
      <c r="E259" s="22"/>
      <c r="F259" s="22"/>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2"/>
    </row>
    <row r="260" spans="2:38" x14ac:dyDescent="0.3">
      <c r="B260" s="23"/>
      <c r="C260" s="22"/>
      <c r="D260" s="22"/>
      <c r="E260" s="22"/>
      <c r="F260" s="22"/>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2"/>
    </row>
    <row r="261" spans="2:38" x14ac:dyDescent="0.3">
      <c r="B261" s="23"/>
      <c r="C261" s="22"/>
      <c r="D261" s="22"/>
      <c r="E261" s="22"/>
      <c r="F261" s="22"/>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2"/>
    </row>
    <row r="262" spans="2:38" x14ac:dyDescent="0.3">
      <c r="B262" s="23"/>
      <c r="C262" s="22"/>
      <c r="D262" s="22"/>
      <c r="E262" s="22"/>
      <c r="F262" s="22"/>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2"/>
    </row>
    <row r="263" spans="2:38" x14ac:dyDescent="0.3">
      <c r="B263" s="23"/>
      <c r="C263" s="22"/>
      <c r="D263" s="22"/>
      <c r="E263" s="22"/>
      <c r="F263" s="22"/>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2"/>
    </row>
    <row r="264" spans="2:38" x14ac:dyDescent="0.3">
      <c r="B264" s="23"/>
      <c r="C264" s="22"/>
      <c r="D264" s="22"/>
      <c r="E264" s="22"/>
      <c r="F264" s="22"/>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2"/>
    </row>
    <row r="265" spans="2:38" x14ac:dyDescent="0.3">
      <c r="B265" s="23"/>
      <c r="C265" s="22"/>
      <c r="D265" s="22"/>
      <c r="E265" s="22"/>
      <c r="F265" s="22"/>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2"/>
    </row>
    <row r="266" spans="2:38" x14ac:dyDescent="0.3">
      <c r="B266" s="23"/>
      <c r="C266" s="22"/>
      <c r="D266" s="22"/>
      <c r="E266" s="22"/>
      <c r="F266" s="22"/>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2"/>
    </row>
    <row r="267" spans="2:38" x14ac:dyDescent="0.3">
      <c r="B267" s="23"/>
      <c r="C267" s="22"/>
      <c r="D267" s="22"/>
      <c r="E267" s="22"/>
      <c r="F267" s="22"/>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2"/>
    </row>
    <row r="268" spans="2:38" x14ac:dyDescent="0.3">
      <c r="B268" s="23"/>
      <c r="C268" s="22"/>
      <c r="D268" s="22"/>
      <c r="E268" s="22"/>
      <c r="F268" s="22"/>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2"/>
    </row>
    <row r="269" spans="2:38" x14ac:dyDescent="0.3">
      <c r="B269" s="23"/>
      <c r="C269" s="22"/>
      <c r="D269" s="22"/>
      <c r="E269" s="22"/>
      <c r="F269" s="22"/>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2"/>
    </row>
    <row r="270" spans="2:38" x14ac:dyDescent="0.3">
      <c r="B270" s="23"/>
      <c r="C270" s="22"/>
      <c r="D270" s="22"/>
      <c r="E270" s="22"/>
      <c r="F270" s="22"/>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2"/>
    </row>
    <row r="273" spans="2:37" x14ac:dyDescent="0.3">
      <c r="W273" s="253">
        <f>IF(CHE_DO_NGHI=1,WORKDAY.INTL(EOMONTH(DATE(P5,L5,1),0)+1,-1,1,INDEX(DATA_NGHI_LE[],0,1)),WORKDAY.INTL(EOMONTH(DATE(P5,L5,1),0)+1,-1,11,INDEX(DATA_NGHI_LE[],0,1)))</f>
        <v>44957</v>
      </c>
      <c r="X273" s="253"/>
      <c r="Y273" s="253"/>
      <c r="Z273" s="253"/>
      <c r="AA273" s="253"/>
      <c r="AB273" s="253"/>
      <c r="AC273" s="253"/>
      <c r="AD273" s="253"/>
      <c r="AE273" s="253"/>
      <c r="AF273" s="253"/>
      <c r="AG273" s="253"/>
      <c r="AH273" s="253"/>
      <c r="AI273" s="253"/>
      <c r="AJ273" s="253"/>
      <c r="AK273" s="28"/>
    </row>
    <row r="274" spans="2:37" x14ac:dyDescent="0.3">
      <c r="D274" s="247" t="s">
        <v>94</v>
      </c>
      <c r="E274" s="247"/>
      <c r="F274" s="4"/>
      <c r="H274" s="247" t="s">
        <v>96</v>
      </c>
      <c r="I274" s="247"/>
      <c r="J274" s="247"/>
      <c r="K274" s="247"/>
      <c r="L274" s="247"/>
      <c r="M274" s="247"/>
      <c r="N274" s="247"/>
      <c r="O274" s="247"/>
      <c r="P274" s="4"/>
      <c r="Q274" s="4"/>
      <c r="R274" s="4"/>
      <c r="S274" s="4"/>
      <c r="T274" s="4"/>
      <c r="U274" s="4"/>
      <c r="W274" s="247" t="s">
        <v>11</v>
      </c>
      <c r="X274" s="247"/>
      <c r="Y274" s="247"/>
      <c r="Z274" s="247"/>
      <c r="AA274" s="247"/>
      <c r="AB274" s="247"/>
      <c r="AC274" s="247"/>
      <c r="AD274" s="247"/>
      <c r="AE274" s="247"/>
      <c r="AF274" s="247"/>
      <c r="AG274" s="247"/>
      <c r="AH274" s="247"/>
      <c r="AI274" s="247"/>
      <c r="AJ274" s="247"/>
      <c r="AK274" s="4"/>
    </row>
    <row r="275" spans="2:37" x14ac:dyDescent="0.3">
      <c r="D275" s="248" t="s">
        <v>95</v>
      </c>
      <c r="E275" s="248"/>
      <c r="F275" s="11"/>
      <c r="H275" s="248" t="s">
        <v>95</v>
      </c>
      <c r="I275" s="248"/>
      <c r="J275" s="248"/>
      <c r="K275" s="248"/>
      <c r="L275" s="248"/>
      <c r="M275" s="248"/>
      <c r="N275" s="248"/>
      <c r="O275" s="248"/>
      <c r="P275" s="11"/>
      <c r="Q275" s="11"/>
      <c r="R275" s="11"/>
      <c r="S275" s="11"/>
      <c r="T275" s="11"/>
      <c r="U275" s="11"/>
      <c r="W275" s="248" t="s">
        <v>97</v>
      </c>
      <c r="X275" s="248"/>
      <c r="Y275" s="248"/>
      <c r="Z275" s="248"/>
      <c r="AA275" s="248"/>
      <c r="AB275" s="248"/>
      <c r="AC275" s="248"/>
      <c r="AD275" s="248"/>
      <c r="AE275" s="248"/>
      <c r="AF275" s="248"/>
      <c r="AG275" s="248"/>
      <c r="AH275" s="248"/>
      <c r="AI275" s="248"/>
      <c r="AJ275" s="248"/>
      <c r="AK275" s="11"/>
    </row>
    <row r="281" spans="2:37" x14ac:dyDescent="0.3">
      <c r="B281" s="4" t="s">
        <v>98</v>
      </c>
    </row>
    <row r="282" spans="2:37" x14ac:dyDescent="0.3">
      <c r="B282" s="7" t="s">
        <v>99</v>
      </c>
      <c r="E282" s="7" t="s">
        <v>102</v>
      </c>
      <c r="L282" s="7" t="s">
        <v>105</v>
      </c>
    </row>
    <row r="283" spans="2:37" x14ac:dyDescent="0.3">
      <c r="B283" s="7" t="s">
        <v>100</v>
      </c>
      <c r="E283" s="7" t="s">
        <v>103</v>
      </c>
    </row>
    <row r="284" spans="2:37" x14ac:dyDescent="0.3">
      <c r="B284" s="7" t="s">
        <v>101</v>
      </c>
      <c r="E284" s="7" t="s">
        <v>104</v>
      </c>
    </row>
  </sheetData>
  <mergeCells count="21">
    <mergeCell ref="D274:E274"/>
    <mergeCell ref="D275:E275"/>
    <mergeCell ref="H274:O274"/>
    <mergeCell ref="H275:O275"/>
    <mergeCell ref="W273:AJ273"/>
    <mergeCell ref="W274:AJ274"/>
    <mergeCell ref="W275:AJ275"/>
    <mergeCell ref="Y1:AK1"/>
    <mergeCell ref="Y2:AK2"/>
    <mergeCell ref="Y3:AK3"/>
    <mergeCell ref="B4:AL4"/>
    <mergeCell ref="B6:B7"/>
    <mergeCell ref="C6:C7"/>
    <mergeCell ref="D6:D7"/>
    <mergeCell ref="E6:E7"/>
    <mergeCell ref="F6:F7"/>
    <mergeCell ref="P5:Q5"/>
    <mergeCell ref="N5:O5"/>
    <mergeCell ref="L5:M5"/>
    <mergeCell ref="J5:K5"/>
    <mergeCell ref="AL6:AL7"/>
  </mergeCells>
  <conditionalFormatting sqref="G6:AK270">
    <cfRule type="expression" dxfId="12" priority="1">
      <formula>IF(AND(CHE_DO_NGHI=1,OR(G$7="Chủ nhật",G$7="Thứ Bảy")),TRUE,IF(AND(CHE_DO_NGHI=2,G$7="Chủ nhật"),TRUE,FALSE))</formula>
    </cfRule>
  </conditionalFormatting>
  <pageMargins left="0.7" right="0.7" top="0.75" bottom="0.75" header="0.3" footer="0.3"/>
  <pageSetup paperSize="9" scale="72"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85AAF-720D-401B-BB0D-33BE948D0CE2}">
  <sheetPr codeName="Sheet363"/>
  <dimension ref="A1:L7"/>
  <sheetViews>
    <sheetView workbookViewId="0">
      <selection activeCell="I13" sqref="I13"/>
    </sheetView>
  </sheetViews>
  <sheetFormatPr defaultRowHeight="14.4" x14ac:dyDescent="0.3"/>
  <cols>
    <col min="1" max="1" width="8.88671875" style="12"/>
    <col min="3" max="3" width="11" customWidth="1"/>
    <col min="4" max="4" width="20.88671875" customWidth="1"/>
    <col min="5" max="12" width="15.5546875" customWidth="1"/>
  </cols>
  <sheetData>
    <row r="1" spans="1:12" ht="15.6" x14ac:dyDescent="0.3">
      <c r="A1" s="29" t="str">
        <f>Company_Name</f>
        <v>CÔNG TY TNHH CƠ KHÍ SỬA CHỮA HOÀNG KIÊN</v>
      </c>
    </row>
    <row r="2" spans="1:12" ht="15.6" x14ac:dyDescent="0.3">
      <c r="A2" s="29" t="str">
        <f>Company_Address</f>
        <v>SN 16N3, ngõ 90 đường Nguyễn Tuân, P. Thanh Xuân, Q. Thanh Xuân, Hà Nội</v>
      </c>
    </row>
    <row r="3" spans="1:12" x14ac:dyDescent="0.3">
      <c r="A3"/>
    </row>
    <row r="4" spans="1:12" ht="21" x14ac:dyDescent="0.4">
      <c r="A4" s="254" t="s">
        <v>110</v>
      </c>
      <c r="B4" s="254"/>
      <c r="C4" s="254"/>
      <c r="D4" s="254"/>
      <c r="E4" s="254"/>
      <c r="F4" s="254"/>
      <c r="G4" s="254"/>
      <c r="H4" s="254"/>
      <c r="I4" s="254"/>
      <c r="J4" s="254"/>
      <c r="K4" s="254"/>
      <c r="L4" s="254"/>
    </row>
    <row r="5" spans="1:12" x14ac:dyDescent="0.3">
      <c r="A5"/>
      <c r="E5" s="34" t="s">
        <v>92</v>
      </c>
      <c r="F5" s="18">
        <v>1</v>
      </c>
      <c r="G5" s="34" t="s">
        <v>93</v>
      </c>
      <c r="H5" s="18">
        <v>2023</v>
      </c>
    </row>
    <row r="6" spans="1:12" x14ac:dyDescent="0.3">
      <c r="A6"/>
    </row>
    <row r="7" spans="1:12" x14ac:dyDescent="0.3">
      <c r="A7" s="19" t="s">
        <v>5</v>
      </c>
      <c r="B7" s="19" t="s">
        <v>91</v>
      </c>
      <c r="C7" s="19" t="s">
        <v>111</v>
      </c>
      <c r="D7" s="19" t="s">
        <v>112</v>
      </c>
      <c r="E7" s="19" t="s">
        <v>113</v>
      </c>
      <c r="F7" s="32">
        <v>0.17499999999999999</v>
      </c>
      <c r="G7" s="33">
        <v>0.03</v>
      </c>
      <c r="H7" s="33">
        <v>0.01</v>
      </c>
      <c r="I7" s="33">
        <v>0.08</v>
      </c>
      <c r="J7" s="32">
        <v>1.4999999999999999E-2</v>
      </c>
      <c r="K7" s="33">
        <v>0.01</v>
      </c>
      <c r="L7" s="19" t="s">
        <v>114</v>
      </c>
    </row>
  </sheetData>
  <mergeCells count="1">
    <mergeCell ref="A4:L4"/>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32B5-C69E-4664-BD4F-E6EDE898D72C}">
  <sheetPr codeName="Sheet82">
    <pageSetUpPr fitToPage="1"/>
  </sheetPr>
  <dimension ref="B1:V276"/>
  <sheetViews>
    <sheetView topLeftCell="A3" workbookViewId="0">
      <selection activeCell="Q12" sqref="Q12"/>
    </sheetView>
  </sheetViews>
  <sheetFormatPr defaultRowHeight="14.4" x14ac:dyDescent="0.3"/>
  <cols>
    <col min="1" max="1" width="3" style="3" customWidth="1"/>
    <col min="2" max="3" width="8.88671875" style="3"/>
    <col min="4" max="4" width="20.88671875" style="3" customWidth="1"/>
    <col min="5" max="5" width="12.5546875" style="3" customWidth="1"/>
    <col min="6" max="6" width="12" style="3" customWidth="1"/>
    <col min="7" max="7" width="13.44140625" style="3" customWidth="1"/>
    <col min="8" max="8" width="10.88671875" style="3" customWidth="1"/>
    <col min="9" max="9" width="12" style="3" customWidth="1"/>
    <col min="10" max="14" width="13.109375" style="3" customWidth="1"/>
    <col min="15" max="17" width="15.5546875" style="3" customWidth="1"/>
    <col min="18" max="18" width="12.44140625" style="3" customWidth="1"/>
    <col min="19" max="20" width="8.88671875" style="3"/>
    <col min="21" max="21" width="16.5546875" style="3" customWidth="1"/>
    <col min="22" max="16384" width="8.88671875" style="3"/>
  </cols>
  <sheetData>
    <row r="1" spans="2:22" ht="15.6" x14ac:dyDescent="0.3">
      <c r="B1" s="17" t="str">
        <f>Company_Name</f>
        <v>CÔNG TY TNHH CƠ KHÍ SỬA CHỮA HOÀNG KIÊN</v>
      </c>
      <c r="R1" s="247" t="s">
        <v>197</v>
      </c>
      <c r="S1" s="247"/>
      <c r="T1" s="247"/>
      <c r="U1" s="247"/>
      <c r="V1" s="247"/>
    </row>
    <row r="2" spans="2:22" ht="15.6" x14ac:dyDescent="0.3">
      <c r="B2" s="17" t="str">
        <f>Company_Address</f>
        <v>SN 16N3, ngõ 90 đường Nguyễn Tuân, P. Thanh Xuân, Q. Thanh Xuân, Hà Nội</v>
      </c>
      <c r="R2" s="248" t="s">
        <v>198</v>
      </c>
      <c r="S2" s="248"/>
      <c r="T2" s="248"/>
      <c r="U2" s="248"/>
      <c r="V2" s="248"/>
    </row>
    <row r="3" spans="2:22" x14ac:dyDescent="0.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J5" s="46" t="s">
        <v>195</v>
      </c>
      <c r="K5" s="47">
        <v>1</v>
      </c>
      <c r="L5" s="46" t="s">
        <v>196</v>
      </c>
      <c r="M5" s="47">
        <v>2023</v>
      </c>
    </row>
    <row r="6" spans="2:22" x14ac:dyDescent="0.3">
      <c r="V6" s="54">
        <f>NETWORKDAYS.INTL(DATE(M5,K5,1),EOMONTH(DATE(M5,K5,1),0),IF(CHE_DO_NGHI=1,1,11))</f>
        <v>22</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c r="C9" s="43"/>
      <c r="D9" s="43"/>
      <c r="E9" s="43"/>
      <c r="F9" s="43"/>
      <c r="G9" s="49"/>
      <c r="H9" s="49"/>
      <c r="I9" s="49"/>
      <c r="J9" s="49"/>
      <c r="K9" s="49"/>
      <c r="L9" s="49"/>
      <c r="M9" s="49"/>
      <c r="N9" s="49"/>
      <c r="O9" s="49"/>
      <c r="P9" s="49"/>
      <c r="Q9" s="49"/>
      <c r="R9" s="49"/>
      <c r="S9" s="49"/>
      <c r="T9" s="49"/>
      <c r="U9" s="49"/>
      <c r="V9" s="44"/>
    </row>
    <row r="10" spans="2:22" x14ac:dyDescent="0.3">
      <c r="B10" s="52"/>
      <c r="C10" s="43"/>
      <c r="D10" s="43"/>
      <c r="E10" s="43"/>
      <c r="F10" s="43"/>
      <c r="G10" s="49"/>
      <c r="H10" s="49"/>
      <c r="I10" s="49"/>
      <c r="J10" s="49"/>
      <c r="K10" s="49"/>
      <c r="L10" s="49"/>
      <c r="M10" s="49"/>
      <c r="N10" s="49"/>
      <c r="O10" s="49"/>
      <c r="P10" s="49"/>
      <c r="Q10" s="49"/>
      <c r="R10" s="49"/>
      <c r="S10" s="49"/>
      <c r="T10" s="49"/>
      <c r="U10" s="49"/>
      <c r="V10" s="44"/>
    </row>
    <row r="11" spans="2:22" x14ac:dyDescent="0.3">
      <c r="B11" s="52"/>
      <c r="C11" s="43"/>
      <c r="D11" s="43"/>
      <c r="E11" s="43"/>
      <c r="F11" s="43"/>
      <c r="G11" s="49"/>
      <c r="H11" s="49"/>
      <c r="I11" s="49"/>
      <c r="J11" s="49"/>
      <c r="K11" s="49"/>
      <c r="L11" s="49"/>
      <c r="M11" s="49"/>
      <c r="N11" s="49"/>
      <c r="O11" s="49"/>
      <c r="P11" s="49"/>
      <c r="Q11" s="49"/>
      <c r="R11" s="49"/>
      <c r="S11" s="49"/>
      <c r="T11" s="49"/>
      <c r="U11" s="49"/>
      <c r="V11" s="44"/>
    </row>
    <row r="12" spans="2:22" x14ac:dyDescent="0.3">
      <c r="B12" s="52"/>
      <c r="C12" s="43"/>
      <c r="D12" s="43"/>
      <c r="E12" s="43"/>
      <c r="F12" s="43"/>
      <c r="G12" s="49"/>
      <c r="H12" s="49"/>
      <c r="I12" s="49"/>
      <c r="J12" s="49"/>
      <c r="K12" s="49"/>
      <c r="L12" s="49"/>
      <c r="M12" s="49"/>
      <c r="N12" s="49"/>
      <c r="O12" s="49"/>
      <c r="P12" s="49"/>
      <c r="Q12" s="49"/>
      <c r="R12" s="49"/>
      <c r="S12" s="49"/>
      <c r="T12" s="49"/>
      <c r="U12" s="49"/>
      <c r="V12" s="44"/>
    </row>
    <row r="13" spans="2:22" x14ac:dyDescent="0.3">
      <c r="B13" s="52"/>
      <c r="C13" s="43"/>
      <c r="D13" s="43"/>
      <c r="E13" s="43"/>
      <c r="F13" s="43"/>
      <c r="G13" s="49"/>
      <c r="H13" s="49"/>
      <c r="I13" s="49"/>
      <c r="J13" s="49"/>
      <c r="K13" s="49"/>
      <c r="L13" s="49"/>
      <c r="M13" s="49"/>
      <c r="N13" s="49"/>
      <c r="O13" s="49"/>
      <c r="P13" s="49"/>
      <c r="Q13" s="49"/>
      <c r="R13" s="49"/>
      <c r="S13" s="49"/>
      <c r="T13" s="49"/>
      <c r="U13" s="49"/>
      <c r="V13" s="44"/>
    </row>
    <row r="14" spans="2:22" x14ac:dyDescent="0.3">
      <c r="B14" s="52"/>
      <c r="C14" s="43"/>
      <c r="D14" s="43"/>
      <c r="E14" s="43"/>
      <c r="F14" s="43"/>
      <c r="G14" s="49"/>
      <c r="H14" s="49"/>
      <c r="I14" s="49"/>
      <c r="J14" s="49"/>
      <c r="K14" s="49"/>
      <c r="L14" s="49"/>
      <c r="M14" s="49"/>
      <c r="N14" s="49"/>
      <c r="O14" s="49"/>
      <c r="P14" s="49"/>
      <c r="Q14" s="49"/>
      <c r="R14" s="49"/>
      <c r="S14" s="49"/>
      <c r="T14" s="49"/>
      <c r="U14" s="49"/>
      <c r="V14" s="44"/>
    </row>
    <row r="15" spans="2:22" x14ac:dyDescent="0.3">
      <c r="B15" s="52"/>
      <c r="C15" s="43"/>
      <c r="D15" s="43"/>
      <c r="E15" s="43"/>
      <c r="F15" s="43"/>
      <c r="G15" s="49"/>
      <c r="H15" s="49"/>
      <c r="I15" s="49"/>
      <c r="J15" s="49"/>
      <c r="K15" s="49"/>
      <c r="L15" s="49"/>
      <c r="M15" s="49"/>
      <c r="N15" s="49"/>
      <c r="O15" s="49"/>
      <c r="P15" s="49"/>
      <c r="Q15" s="49"/>
      <c r="R15" s="49"/>
      <c r="S15" s="49"/>
      <c r="T15" s="49"/>
      <c r="U15" s="49"/>
      <c r="V15" s="44"/>
    </row>
    <row r="16" spans="2:22" x14ac:dyDescent="0.3">
      <c r="B16" s="52"/>
      <c r="C16" s="43"/>
      <c r="D16" s="43"/>
      <c r="E16" s="43"/>
      <c r="F16" s="43"/>
      <c r="G16" s="49"/>
      <c r="H16" s="49"/>
      <c r="I16" s="49"/>
      <c r="J16" s="49"/>
      <c r="K16" s="49"/>
      <c r="L16" s="49"/>
      <c r="M16" s="49"/>
      <c r="N16" s="49"/>
      <c r="O16" s="49"/>
      <c r="P16" s="49"/>
      <c r="Q16" s="49"/>
      <c r="R16" s="49"/>
      <c r="S16" s="49"/>
      <c r="T16" s="49"/>
      <c r="U16" s="49"/>
      <c r="V16" s="44"/>
    </row>
    <row r="17" spans="2:22" x14ac:dyDescent="0.3">
      <c r="B17" s="52"/>
      <c r="C17" s="43"/>
      <c r="D17" s="43"/>
      <c r="E17" s="43"/>
      <c r="F17" s="43"/>
      <c r="G17" s="49"/>
      <c r="H17" s="49"/>
      <c r="I17" s="49"/>
      <c r="J17" s="49"/>
      <c r="K17" s="49"/>
      <c r="L17" s="49"/>
      <c r="M17" s="49"/>
      <c r="N17" s="49"/>
      <c r="O17" s="49"/>
      <c r="P17" s="49"/>
      <c r="Q17" s="49"/>
      <c r="R17" s="49"/>
      <c r="S17" s="49"/>
      <c r="T17" s="49"/>
      <c r="U17" s="49"/>
      <c r="V17" s="44"/>
    </row>
    <row r="18" spans="2:22" x14ac:dyDescent="0.3">
      <c r="B18" s="52"/>
      <c r="C18" s="43"/>
      <c r="D18" s="43"/>
      <c r="E18" s="43"/>
      <c r="F18" s="43"/>
      <c r="G18" s="49"/>
      <c r="H18" s="49"/>
      <c r="I18" s="49"/>
      <c r="J18" s="49"/>
      <c r="K18" s="49"/>
      <c r="L18" s="49"/>
      <c r="M18" s="49"/>
      <c r="N18" s="49"/>
      <c r="O18" s="49"/>
      <c r="P18" s="49"/>
      <c r="Q18" s="49"/>
      <c r="R18" s="49"/>
      <c r="S18" s="49"/>
      <c r="T18" s="49"/>
      <c r="U18" s="49"/>
      <c r="V18" s="44"/>
    </row>
    <row r="19" spans="2:22" x14ac:dyDescent="0.3">
      <c r="B19" s="52"/>
      <c r="C19" s="43"/>
      <c r="D19" s="43"/>
      <c r="E19" s="43"/>
      <c r="F19" s="43"/>
      <c r="G19" s="49"/>
      <c r="H19" s="49"/>
      <c r="I19" s="49"/>
      <c r="J19" s="49"/>
      <c r="K19" s="49"/>
      <c r="L19" s="49"/>
      <c r="M19" s="49"/>
      <c r="N19" s="49"/>
      <c r="O19" s="49"/>
      <c r="P19" s="49"/>
      <c r="Q19" s="49"/>
      <c r="R19" s="49"/>
      <c r="S19" s="49"/>
      <c r="T19" s="49"/>
      <c r="U19" s="49"/>
      <c r="V19" s="44"/>
    </row>
    <row r="20" spans="2:22" x14ac:dyDescent="0.3">
      <c r="B20" s="52"/>
      <c r="C20" s="43"/>
      <c r="D20" s="43"/>
      <c r="E20" s="43"/>
      <c r="F20" s="43"/>
      <c r="G20" s="49"/>
      <c r="H20" s="49"/>
      <c r="I20" s="49"/>
      <c r="J20" s="49"/>
      <c r="K20" s="49"/>
      <c r="L20" s="49"/>
      <c r="M20" s="49"/>
      <c r="N20" s="49"/>
      <c r="O20" s="49"/>
      <c r="P20" s="49"/>
      <c r="Q20" s="49"/>
      <c r="R20" s="49"/>
      <c r="S20" s="49"/>
      <c r="T20" s="49"/>
      <c r="U20" s="49"/>
      <c r="V20" s="44"/>
    </row>
    <row r="21" spans="2:22" x14ac:dyDescent="0.3">
      <c r="B21" s="52"/>
      <c r="C21" s="43"/>
      <c r="D21" s="43"/>
      <c r="E21" s="43"/>
      <c r="F21" s="43"/>
      <c r="G21" s="49"/>
      <c r="H21" s="49"/>
      <c r="I21" s="49"/>
      <c r="J21" s="49"/>
      <c r="K21" s="49"/>
      <c r="L21" s="49"/>
      <c r="M21" s="49"/>
      <c r="N21" s="49"/>
      <c r="O21" s="49"/>
      <c r="P21" s="49"/>
      <c r="Q21" s="49"/>
      <c r="R21" s="49"/>
      <c r="S21" s="49"/>
      <c r="T21" s="49"/>
      <c r="U21" s="49"/>
      <c r="V21" s="44"/>
    </row>
    <row r="22" spans="2:22" x14ac:dyDescent="0.3">
      <c r="B22" s="52"/>
      <c r="C22" s="43"/>
      <c r="D22" s="43"/>
      <c r="E22" s="43"/>
      <c r="F22" s="43"/>
      <c r="G22" s="49"/>
      <c r="H22" s="49"/>
      <c r="I22" s="49"/>
      <c r="J22" s="49"/>
      <c r="K22" s="49"/>
      <c r="L22" s="49"/>
      <c r="M22" s="49"/>
      <c r="N22" s="49"/>
      <c r="O22" s="49"/>
      <c r="P22" s="49"/>
      <c r="Q22" s="49"/>
      <c r="R22" s="49"/>
      <c r="S22" s="49"/>
      <c r="T22" s="49"/>
      <c r="U22" s="49"/>
      <c r="V22" s="44"/>
    </row>
    <row r="23" spans="2:22" x14ac:dyDescent="0.3">
      <c r="B23" s="52"/>
      <c r="C23" s="43"/>
      <c r="D23" s="43"/>
      <c r="E23" s="43"/>
      <c r="F23" s="43"/>
      <c r="G23" s="49"/>
      <c r="H23" s="49"/>
      <c r="I23" s="49"/>
      <c r="J23" s="49"/>
      <c r="K23" s="49"/>
      <c r="L23" s="49"/>
      <c r="M23" s="49"/>
      <c r="N23" s="49"/>
      <c r="O23" s="49"/>
      <c r="P23" s="49"/>
      <c r="Q23" s="49"/>
      <c r="R23" s="49"/>
      <c r="S23" s="49"/>
      <c r="T23" s="49"/>
      <c r="U23" s="49"/>
      <c r="V23" s="44"/>
    </row>
    <row r="24" spans="2:22" x14ac:dyDescent="0.3">
      <c r="B24" s="52"/>
      <c r="C24" s="43"/>
      <c r="D24" s="43"/>
      <c r="E24" s="43"/>
      <c r="F24" s="43"/>
      <c r="G24" s="49"/>
      <c r="H24" s="49"/>
      <c r="I24" s="49"/>
      <c r="J24" s="49"/>
      <c r="K24" s="49"/>
      <c r="L24" s="49"/>
      <c r="M24" s="49"/>
      <c r="N24" s="49"/>
      <c r="O24" s="49"/>
      <c r="P24" s="49"/>
      <c r="Q24" s="49"/>
      <c r="R24" s="49"/>
      <c r="S24" s="49"/>
      <c r="T24" s="49"/>
      <c r="U24" s="49"/>
      <c r="V24" s="44"/>
    </row>
    <row r="25" spans="2:22" x14ac:dyDescent="0.3">
      <c r="B25" s="52"/>
      <c r="C25" s="43"/>
      <c r="D25" s="43"/>
      <c r="E25" s="43"/>
      <c r="F25" s="43"/>
      <c r="G25" s="49"/>
      <c r="H25" s="49"/>
      <c r="I25" s="49"/>
      <c r="J25" s="49"/>
      <c r="K25" s="49"/>
      <c r="L25" s="49"/>
      <c r="M25" s="49"/>
      <c r="N25" s="49"/>
      <c r="O25" s="49"/>
      <c r="P25" s="49"/>
      <c r="Q25" s="49"/>
      <c r="R25" s="49"/>
      <c r="S25" s="49"/>
      <c r="T25" s="49"/>
      <c r="U25" s="49"/>
      <c r="V25" s="44"/>
    </row>
    <row r="26" spans="2:22" x14ac:dyDescent="0.3">
      <c r="B26" s="52"/>
      <c r="C26" s="43"/>
      <c r="D26" s="43"/>
      <c r="E26" s="43"/>
      <c r="F26" s="43"/>
      <c r="G26" s="49"/>
      <c r="H26" s="49"/>
      <c r="I26" s="49"/>
      <c r="J26" s="49"/>
      <c r="K26" s="49"/>
      <c r="L26" s="49"/>
      <c r="M26" s="49"/>
      <c r="N26" s="49"/>
      <c r="O26" s="49"/>
      <c r="P26" s="49"/>
      <c r="Q26" s="49"/>
      <c r="R26" s="49"/>
      <c r="S26" s="49"/>
      <c r="T26" s="49"/>
      <c r="U26" s="49"/>
      <c r="V26" s="44"/>
    </row>
    <row r="27" spans="2:22" x14ac:dyDescent="0.3">
      <c r="B27" s="52"/>
      <c r="C27" s="43"/>
      <c r="D27" s="43"/>
      <c r="E27" s="43"/>
      <c r="F27" s="43"/>
      <c r="G27" s="49"/>
      <c r="H27" s="49"/>
      <c r="I27" s="49"/>
      <c r="J27" s="49"/>
      <c r="K27" s="49"/>
      <c r="L27" s="49"/>
      <c r="M27" s="49"/>
      <c r="N27" s="49"/>
      <c r="O27" s="49"/>
      <c r="P27" s="49"/>
      <c r="Q27" s="49"/>
      <c r="R27" s="49"/>
      <c r="S27" s="49"/>
      <c r="T27" s="49"/>
      <c r="U27" s="49"/>
      <c r="V27" s="44"/>
    </row>
    <row r="28" spans="2:22" x14ac:dyDescent="0.3">
      <c r="B28" s="52"/>
      <c r="C28" s="43"/>
      <c r="D28" s="43"/>
      <c r="E28" s="43"/>
      <c r="F28" s="43"/>
      <c r="G28" s="49"/>
      <c r="H28" s="49"/>
      <c r="I28" s="49"/>
      <c r="J28" s="49"/>
      <c r="K28" s="49"/>
      <c r="L28" s="49"/>
      <c r="M28" s="49"/>
      <c r="N28" s="49"/>
      <c r="O28" s="49"/>
      <c r="P28" s="49"/>
      <c r="Q28" s="49"/>
      <c r="R28" s="49"/>
      <c r="S28" s="49"/>
      <c r="T28" s="49"/>
      <c r="U28" s="49"/>
      <c r="V28" s="44"/>
    </row>
    <row r="29" spans="2:22" x14ac:dyDescent="0.3">
      <c r="B29" s="52"/>
      <c r="C29" s="43"/>
      <c r="D29" s="43"/>
      <c r="E29" s="43"/>
      <c r="F29" s="43"/>
      <c r="G29" s="49"/>
      <c r="H29" s="49"/>
      <c r="I29" s="49"/>
      <c r="J29" s="49"/>
      <c r="K29" s="49"/>
      <c r="L29" s="49"/>
      <c r="M29" s="49"/>
      <c r="N29" s="49"/>
      <c r="O29" s="49"/>
      <c r="P29" s="49"/>
      <c r="Q29" s="49"/>
      <c r="R29" s="49"/>
      <c r="S29" s="49"/>
      <c r="T29" s="49"/>
      <c r="U29" s="49"/>
      <c r="V29" s="44"/>
    </row>
    <row r="30" spans="2:22" x14ac:dyDescent="0.3">
      <c r="B30" s="52"/>
      <c r="C30" s="43"/>
      <c r="D30" s="43"/>
      <c r="E30" s="43"/>
      <c r="F30" s="43"/>
      <c r="G30" s="49"/>
      <c r="H30" s="49"/>
      <c r="I30" s="49"/>
      <c r="J30" s="49"/>
      <c r="K30" s="49"/>
      <c r="L30" s="49"/>
      <c r="M30" s="49"/>
      <c r="N30" s="49"/>
      <c r="O30" s="49"/>
      <c r="P30" s="49"/>
      <c r="Q30" s="49"/>
      <c r="R30" s="49"/>
      <c r="S30" s="49"/>
      <c r="T30" s="49"/>
      <c r="U30" s="49"/>
      <c r="V30" s="44"/>
    </row>
    <row r="31" spans="2:22" x14ac:dyDescent="0.3">
      <c r="B31" s="52"/>
      <c r="C31" s="43"/>
      <c r="D31" s="43"/>
      <c r="E31" s="43"/>
      <c r="F31" s="43"/>
      <c r="G31" s="49"/>
      <c r="H31" s="49"/>
      <c r="I31" s="49"/>
      <c r="J31" s="49"/>
      <c r="K31" s="49"/>
      <c r="L31" s="49"/>
      <c r="M31" s="49"/>
      <c r="N31" s="49"/>
      <c r="O31" s="49"/>
      <c r="P31" s="49"/>
      <c r="Q31" s="49"/>
      <c r="R31" s="49"/>
      <c r="S31" s="49"/>
      <c r="T31" s="49"/>
      <c r="U31" s="49"/>
      <c r="V31" s="44"/>
    </row>
    <row r="32" spans="2:22" x14ac:dyDescent="0.3">
      <c r="B32" s="52"/>
      <c r="C32" s="43"/>
      <c r="D32" s="43"/>
      <c r="E32" s="43"/>
      <c r="F32" s="43"/>
      <c r="G32" s="49"/>
      <c r="H32" s="49"/>
      <c r="I32" s="49"/>
      <c r="J32" s="49"/>
      <c r="K32" s="49"/>
      <c r="L32" s="49"/>
      <c r="M32" s="49"/>
      <c r="N32" s="49"/>
      <c r="O32" s="49"/>
      <c r="P32" s="49"/>
      <c r="Q32" s="49"/>
      <c r="R32" s="49"/>
      <c r="S32" s="49"/>
      <c r="T32" s="49"/>
      <c r="U32" s="49"/>
      <c r="V32" s="44"/>
    </row>
    <row r="33" spans="2:22" x14ac:dyDescent="0.3">
      <c r="B33" s="52"/>
      <c r="C33" s="43"/>
      <c r="D33" s="43"/>
      <c r="E33" s="43"/>
      <c r="F33" s="43"/>
      <c r="G33" s="49"/>
      <c r="H33" s="49"/>
      <c r="I33" s="49"/>
      <c r="J33" s="49"/>
      <c r="K33" s="49"/>
      <c r="L33" s="49"/>
      <c r="M33" s="49"/>
      <c r="N33" s="49"/>
      <c r="O33" s="49"/>
      <c r="P33" s="49"/>
      <c r="Q33" s="49"/>
      <c r="R33" s="49"/>
      <c r="S33" s="49"/>
      <c r="T33" s="49"/>
      <c r="U33" s="49"/>
      <c r="V33" s="44"/>
    </row>
    <row r="34" spans="2:22" x14ac:dyDescent="0.3">
      <c r="B34" s="52"/>
      <c r="C34" s="43"/>
      <c r="D34" s="43"/>
      <c r="E34" s="43"/>
      <c r="F34" s="43"/>
      <c r="G34" s="49"/>
      <c r="H34" s="49"/>
      <c r="I34" s="49"/>
      <c r="J34" s="49"/>
      <c r="K34" s="49"/>
      <c r="L34" s="49"/>
      <c r="M34" s="49"/>
      <c r="N34" s="49"/>
      <c r="O34" s="49"/>
      <c r="P34" s="49"/>
      <c r="Q34" s="49"/>
      <c r="R34" s="49"/>
      <c r="S34" s="49"/>
      <c r="T34" s="49"/>
      <c r="U34" s="49"/>
      <c r="V34" s="44"/>
    </row>
    <row r="35" spans="2:22" x14ac:dyDescent="0.3">
      <c r="B35" s="52"/>
      <c r="C35" s="43"/>
      <c r="D35" s="43"/>
      <c r="E35" s="43"/>
      <c r="F35" s="43"/>
      <c r="G35" s="49"/>
      <c r="H35" s="49"/>
      <c r="I35" s="49"/>
      <c r="J35" s="49"/>
      <c r="K35" s="49"/>
      <c r="L35" s="49"/>
      <c r="M35" s="49"/>
      <c r="N35" s="49"/>
      <c r="O35" s="49"/>
      <c r="P35" s="49"/>
      <c r="Q35" s="49"/>
      <c r="R35" s="49"/>
      <c r="S35" s="49"/>
      <c r="T35" s="49"/>
      <c r="U35" s="49"/>
      <c r="V35" s="44"/>
    </row>
    <row r="36" spans="2:22" x14ac:dyDescent="0.3">
      <c r="B36" s="52"/>
      <c r="C36" s="43"/>
      <c r="D36" s="43"/>
      <c r="E36" s="43"/>
      <c r="F36" s="43"/>
      <c r="G36" s="49"/>
      <c r="H36" s="49"/>
      <c r="I36" s="49"/>
      <c r="J36" s="49"/>
      <c r="K36" s="49"/>
      <c r="L36" s="49"/>
      <c r="M36" s="49"/>
      <c r="N36" s="49"/>
      <c r="O36" s="49"/>
      <c r="P36" s="49"/>
      <c r="Q36" s="49"/>
      <c r="R36" s="49"/>
      <c r="S36" s="49"/>
      <c r="T36" s="49"/>
      <c r="U36" s="49"/>
      <c r="V36" s="44"/>
    </row>
    <row r="37" spans="2:22" x14ac:dyDescent="0.3">
      <c r="B37" s="52"/>
      <c r="C37" s="43"/>
      <c r="D37" s="43"/>
      <c r="E37" s="43"/>
      <c r="F37" s="43"/>
      <c r="G37" s="49"/>
      <c r="H37" s="49"/>
      <c r="I37" s="49"/>
      <c r="J37" s="49"/>
      <c r="K37" s="49"/>
      <c r="L37" s="49"/>
      <c r="M37" s="49"/>
      <c r="N37" s="49"/>
      <c r="O37" s="49"/>
      <c r="P37" s="49"/>
      <c r="Q37" s="49"/>
      <c r="R37" s="49"/>
      <c r="S37" s="49"/>
      <c r="T37" s="49"/>
      <c r="U37" s="49"/>
      <c r="V37" s="44"/>
    </row>
    <row r="38" spans="2:22" x14ac:dyDescent="0.3">
      <c r="B38" s="52"/>
      <c r="C38" s="43"/>
      <c r="D38" s="43"/>
      <c r="E38" s="43"/>
      <c r="F38" s="43"/>
      <c r="G38" s="49"/>
      <c r="H38" s="49"/>
      <c r="I38" s="49"/>
      <c r="J38" s="49"/>
      <c r="K38" s="49"/>
      <c r="L38" s="49"/>
      <c r="M38" s="49"/>
      <c r="N38" s="49"/>
      <c r="O38" s="49"/>
      <c r="P38" s="49"/>
      <c r="Q38" s="49"/>
      <c r="R38" s="49"/>
      <c r="S38" s="49"/>
      <c r="T38" s="49"/>
      <c r="U38" s="49"/>
      <c r="V38" s="44"/>
    </row>
    <row r="39" spans="2:22" x14ac:dyDescent="0.3">
      <c r="B39" s="52"/>
      <c r="C39" s="43"/>
      <c r="D39" s="43"/>
      <c r="E39" s="43"/>
      <c r="F39" s="43"/>
      <c r="G39" s="49"/>
      <c r="H39" s="49"/>
      <c r="I39" s="49"/>
      <c r="J39" s="49"/>
      <c r="K39" s="49"/>
      <c r="L39" s="49"/>
      <c r="M39" s="49"/>
      <c r="N39" s="49"/>
      <c r="O39" s="49"/>
      <c r="P39" s="49"/>
      <c r="Q39" s="49"/>
      <c r="R39" s="49"/>
      <c r="S39" s="49"/>
      <c r="T39" s="49"/>
      <c r="U39" s="49"/>
      <c r="V39" s="44"/>
    </row>
    <row r="40" spans="2:22" x14ac:dyDescent="0.3">
      <c r="B40" s="52"/>
      <c r="C40" s="43"/>
      <c r="D40" s="43"/>
      <c r="E40" s="43"/>
      <c r="F40" s="43"/>
      <c r="G40" s="49"/>
      <c r="H40" s="49"/>
      <c r="I40" s="49"/>
      <c r="J40" s="49"/>
      <c r="K40" s="49"/>
      <c r="L40" s="49"/>
      <c r="M40" s="49"/>
      <c r="N40" s="49"/>
      <c r="O40" s="49"/>
      <c r="P40" s="49"/>
      <c r="Q40" s="49"/>
      <c r="R40" s="49"/>
      <c r="S40" s="49"/>
      <c r="T40" s="49"/>
      <c r="U40" s="49"/>
      <c r="V40" s="44"/>
    </row>
    <row r="41" spans="2:22" x14ac:dyDescent="0.3">
      <c r="B41" s="52"/>
      <c r="C41" s="43"/>
      <c r="D41" s="43"/>
      <c r="E41" s="43"/>
      <c r="F41" s="43"/>
      <c r="G41" s="49"/>
      <c r="H41" s="49"/>
      <c r="I41" s="49"/>
      <c r="J41" s="49"/>
      <c r="K41" s="49"/>
      <c r="L41" s="49"/>
      <c r="M41" s="49"/>
      <c r="N41" s="49"/>
      <c r="O41" s="49"/>
      <c r="P41" s="49"/>
      <c r="Q41" s="49"/>
      <c r="R41" s="49"/>
      <c r="S41" s="49"/>
      <c r="T41" s="49"/>
      <c r="U41" s="49"/>
      <c r="V41" s="44"/>
    </row>
    <row r="42" spans="2:22" x14ac:dyDescent="0.3">
      <c r="B42" s="52"/>
      <c r="C42" s="43"/>
      <c r="D42" s="43"/>
      <c r="E42" s="43"/>
      <c r="F42" s="43"/>
      <c r="G42" s="49"/>
      <c r="H42" s="49"/>
      <c r="I42" s="49"/>
      <c r="J42" s="49"/>
      <c r="K42" s="49"/>
      <c r="L42" s="49"/>
      <c r="M42" s="49"/>
      <c r="N42" s="49"/>
      <c r="O42" s="49"/>
      <c r="P42" s="49"/>
      <c r="Q42" s="49"/>
      <c r="R42" s="49"/>
      <c r="S42" s="49"/>
      <c r="T42" s="49"/>
      <c r="U42" s="49"/>
      <c r="V42" s="44"/>
    </row>
    <row r="43" spans="2:22" x14ac:dyDescent="0.3">
      <c r="B43" s="52"/>
      <c r="C43" s="43"/>
      <c r="D43" s="43"/>
      <c r="E43" s="43"/>
      <c r="F43" s="43"/>
      <c r="G43" s="49"/>
      <c r="H43" s="49"/>
      <c r="I43" s="49"/>
      <c r="J43" s="49"/>
      <c r="K43" s="49"/>
      <c r="L43" s="49"/>
      <c r="M43" s="49"/>
      <c r="N43" s="49"/>
      <c r="O43" s="49"/>
      <c r="P43" s="49"/>
      <c r="Q43" s="49"/>
      <c r="R43" s="49"/>
      <c r="S43" s="49"/>
      <c r="T43" s="49"/>
      <c r="U43" s="49"/>
      <c r="V43" s="44"/>
    </row>
    <row r="44" spans="2:22" x14ac:dyDescent="0.3">
      <c r="B44" s="52"/>
      <c r="C44" s="43"/>
      <c r="D44" s="43"/>
      <c r="E44" s="43"/>
      <c r="F44" s="43"/>
      <c r="G44" s="49"/>
      <c r="H44" s="49"/>
      <c r="I44" s="49"/>
      <c r="J44" s="49"/>
      <c r="K44" s="49"/>
      <c r="L44" s="49"/>
      <c r="M44" s="49"/>
      <c r="N44" s="49"/>
      <c r="O44" s="49"/>
      <c r="P44" s="49"/>
      <c r="Q44" s="49"/>
      <c r="R44" s="49"/>
      <c r="S44" s="49"/>
      <c r="T44" s="49"/>
      <c r="U44" s="49"/>
      <c r="V44" s="44"/>
    </row>
    <row r="45" spans="2:22" x14ac:dyDescent="0.3">
      <c r="B45" s="52"/>
      <c r="C45" s="43"/>
      <c r="D45" s="43"/>
      <c r="E45" s="43"/>
      <c r="F45" s="43"/>
      <c r="G45" s="49"/>
      <c r="H45" s="49"/>
      <c r="I45" s="49"/>
      <c r="J45" s="49"/>
      <c r="K45" s="49"/>
      <c r="L45" s="49"/>
      <c r="M45" s="49"/>
      <c r="N45" s="49"/>
      <c r="O45" s="49"/>
      <c r="P45" s="49"/>
      <c r="Q45" s="49"/>
      <c r="R45" s="49"/>
      <c r="S45" s="49"/>
      <c r="T45" s="49"/>
      <c r="U45" s="49"/>
      <c r="V45" s="44"/>
    </row>
    <row r="46" spans="2:22" x14ac:dyDescent="0.3">
      <c r="B46" s="52"/>
      <c r="C46" s="43"/>
      <c r="D46" s="43"/>
      <c r="E46" s="43"/>
      <c r="F46" s="43"/>
      <c r="G46" s="49"/>
      <c r="H46" s="49"/>
      <c r="I46" s="49"/>
      <c r="J46" s="49"/>
      <c r="K46" s="49"/>
      <c r="L46" s="49"/>
      <c r="M46" s="49"/>
      <c r="N46" s="49"/>
      <c r="O46" s="49"/>
      <c r="P46" s="49"/>
      <c r="Q46" s="49"/>
      <c r="R46" s="49"/>
      <c r="S46" s="49"/>
      <c r="T46" s="49"/>
      <c r="U46" s="49"/>
      <c r="V46" s="44"/>
    </row>
    <row r="47" spans="2:22" x14ac:dyDescent="0.3">
      <c r="B47" s="52"/>
      <c r="C47" s="43"/>
      <c r="D47" s="43"/>
      <c r="E47" s="43"/>
      <c r="F47" s="43"/>
      <c r="G47" s="49"/>
      <c r="H47" s="49"/>
      <c r="I47" s="49"/>
      <c r="J47" s="49"/>
      <c r="K47" s="49"/>
      <c r="L47" s="49"/>
      <c r="M47" s="49"/>
      <c r="N47" s="49"/>
      <c r="O47" s="49"/>
      <c r="P47" s="49"/>
      <c r="Q47" s="49"/>
      <c r="R47" s="49"/>
      <c r="S47" s="49"/>
      <c r="T47" s="49"/>
      <c r="U47" s="49"/>
      <c r="V47" s="44"/>
    </row>
    <row r="48" spans="2:22" x14ac:dyDescent="0.3">
      <c r="B48" s="52"/>
      <c r="C48" s="43"/>
      <c r="D48" s="43"/>
      <c r="E48" s="43"/>
      <c r="F48" s="43"/>
      <c r="G48" s="49"/>
      <c r="H48" s="49"/>
      <c r="I48" s="49"/>
      <c r="J48" s="49"/>
      <c r="K48" s="49"/>
      <c r="L48" s="49"/>
      <c r="M48" s="49"/>
      <c r="N48" s="49"/>
      <c r="O48" s="49"/>
      <c r="P48" s="49"/>
      <c r="Q48" s="49"/>
      <c r="R48" s="49"/>
      <c r="S48" s="49"/>
      <c r="T48" s="49"/>
      <c r="U48" s="49"/>
      <c r="V48" s="44"/>
    </row>
    <row r="49" spans="2:22" x14ac:dyDescent="0.3">
      <c r="B49" s="52"/>
      <c r="C49" s="43"/>
      <c r="D49" s="43"/>
      <c r="E49" s="43"/>
      <c r="F49" s="43"/>
      <c r="G49" s="49"/>
      <c r="H49" s="49"/>
      <c r="I49" s="49"/>
      <c r="J49" s="49"/>
      <c r="K49" s="49"/>
      <c r="L49" s="49"/>
      <c r="M49" s="49"/>
      <c r="N49" s="49"/>
      <c r="O49" s="49"/>
      <c r="P49" s="49"/>
      <c r="Q49" s="49"/>
      <c r="R49" s="49"/>
      <c r="S49" s="49"/>
      <c r="T49" s="49"/>
      <c r="U49" s="49"/>
      <c r="V49" s="44"/>
    </row>
    <row r="50" spans="2:22" x14ac:dyDescent="0.3">
      <c r="B50" s="52"/>
      <c r="C50" s="43"/>
      <c r="D50" s="43"/>
      <c r="E50" s="43"/>
      <c r="F50" s="43"/>
      <c r="G50" s="49"/>
      <c r="H50" s="49"/>
      <c r="I50" s="49"/>
      <c r="J50" s="49"/>
      <c r="K50" s="49"/>
      <c r="L50" s="49"/>
      <c r="M50" s="49"/>
      <c r="N50" s="49"/>
      <c r="O50" s="49"/>
      <c r="P50" s="49"/>
      <c r="Q50" s="49"/>
      <c r="R50" s="49"/>
      <c r="S50" s="49"/>
      <c r="T50" s="49"/>
      <c r="U50" s="49"/>
      <c r="V50" s="44"/>
    </row>
    <row r="51" spans="2:22" x14ac:dyDescent="0.3">
      <c r="B51" s="52"/>
      <c r="C51" s="43"/>
      <c r="D51" s="43"/>
      <c r="E51" s="43"/>
      <c r="F51" s="43"/>
      <c r="G51" s="49"/>
      <c r="H51" s="49"/>
      <c r="I51" s="49"/>
      <c r="J51" s="49"/>
      <c r="K51" s="49"/>
      <c r="L51" s="49"/>
      <c r="M51" s="49"/>
      <c r="N51" s="49"/>
      <c r="O51" s="49"/>
      <c r="P51" s="49"/>
      <c r="Q51" s="49"/>
      <c r="R51" s="49"/>
      <c r="S51" s="49"/>
      <c r="T51" s="49"/>
      <c r="U51" s="49"/>
      <c r="V51" s="44"/>
    </row>
    <row r="52" spans="2:22" x14ac:dyDescent="0.3">
      <c r="B52" s="52"/>
      <c r="C52" s="43"/>
      <c r="D52" s="43"/>
      <c r="E52" s="43"/>
      <c r="F52" s="43"/>
      <c r="G52" s="49"/>
      <c r="H52" s="49"/>
      <c r="I52" s="49"/>
      <c r="J52" s="49"/>
      <c r="K52" s="49"/>
      <c r="L52" s="49"/>
      <c r="M52" s="49"/>
      <c r="N52" s="49"/>
      <c r="O52" s="49"/>
      <c r="P52" s="49"/>
      <c r="Q52" s="49"/>
      <c r="R52" s="49"/>
      <c r="S52" s="49"/>
      <c r="T52" s="49"/>
      <c r="U52" s="49"/>
      <c r="V52" s="44"/>
    </row>
    <row r="53" spans="2:22" x14ac:dyDescent="0.3">
      <c r="B53" s="52"/>
      <c r="C53" s="43"/>
      <c r="D53" s="43"/>
      <c r="E53" s="43"/>
      <c r="F53" s="43"/>
      <c r="G53" s="49"/>
      <c r="H53" s="49"/>
      <c r="I53" s="49"/>
      <c r="J53" s="49"/>
      <c r="K53" s="49"/>
      <c r="L53" s="49"/>
      <c r="M53" s="49"/>
      <c r="N53" s="49"/>
      <c r="O53" s="49"/>
      <c r="P53" s="49"/>
      <c r="Q53" s="49"/>
      <c r="R53" s="49"/>
      <c r="S53" s="49"/>
      <c r="T53" s="49"/>
      <c r="U53" s="49"/>
      <c r="V53" s="44"/>
    </row>
    <row r="54" spans="2:22" x14ac:dyDescent="0.3">
      <c r="B54" s="52"/>
      <c r="C54" s="43"/>
      <c r="D54" s="43"/>
      <c r="E54" s="43"/>
      <c r="F54" s="43"/>
      <c r="G54" s="49"/>
      <c r="H54" s="49"/>
      <c r="I54" s="49"/>
      <c r="J54" s="49"/>
      <c r="K54" s="49"/>
      <c r="L54" s="49"/>
      <c r="M54" s="49"/>
      <c r="N54" s="49"/>
      <c r="O54" s="49"/>
      <c r="P54" s="49"/>
      <c r="Q54" s="49"/>
      <c r="R54" s="49"/>
      <c r="S54" s="49"/>
      <c r="T54" s="49"/>
      <c r="U54" s="49"/>
      <c r="V54" s="44"/>
    </row>
    <row r="55" spans="2:22" x14ac:dyDescent="0.3">
      <c r="B55" s="52"/>
      <c r="C55" s="43"/>
      <c r="D55" s="43"/>
      <c r="E55" s="43"/>
      <c r="F55" s="43"/>
      <c r="G55" s="49"/>
      <c r="H55" s="49"/>
      <c r="I55" s="49"/>
      <c r="J55" s="49"/>
      <c r="K55" s="49"/>
      <c r="L55" s="49"/>
      <c r="M55" s="49"/>
      <c r="N55" s="49"/>
      <c r="O55" s="49"/>
      <c r="P55" s="49"/>
      <c r="Q55" s="49"/>
      <c r="R55" s="49"/>
      <c r="S55" s="49"/>
      <c r="T55" s="49"/>
      <c r="U55" s="49"/>
      <c r="V55" s="44"/>
    </row>
    <row r="56" spans="2:22" x14ac:dyDescent="0.3">
      <c r="B56" s="52"/>
      <c r="C56" s="43"/>
      <c r="D56" s="43"/>
      <c r="E56" s="43"/>
      <c r="F56" s="43"/>
      <c r="G56" s="49"/>
      <c r="H56" s="49"/>
      <c r="I56" s="49"/>
      <c r="J56" s="49"/>
      <c r="K56" s="49"/>
      <c r="L56" s="49"/>
      <c r="M56" s="49"/>
      <c r="N56" s="49"/>
      <c r="O56" s="49"/>
      <c r="P56" s="49"/>
      <c r="Q56" s="49"/>
      <c r="R56" s="49"/>
      <c r="S56" s="49"/>
      <c r="T56" s="49"/>
      <c r="U56" s="49"/>
      <c r="V56" s="44"/>
    </row>
    <row r="57" spans="2:22" x14ac:dyDescent="0.3">
      <c r="B57" s="52"/>
      <c r="C57" s="43"/>
      <c r="D57" s="43"/>
      <c r="E57" s="43"/>
      <c r="F57" s="43"/>
      <c r="G57" s="49"/>
      <c r="H57" s="49"/>
      <c r="I57" s="49"/>
      <c r="J57" s="49"/>
      <c r="K57" s="49"/>
      <c r="L57" s="49"/>
      <c r="M57" s="49"/>
      <c r="N57" s="49"/>
      <c r="O57" s="49"/>
      <c r="P57" s="49"/>
      <c r="Q57" s="49"/>
      <c r="R57" s="49"/>
      <c r="S57" s="49"/>
      <c r="T57" s="49"/>
      <c r="U57" s="49"/>
      <c r="V57" s="44"/>
    </row>
    <row r="58" spans="2:22" x14ac:dyDescent="0.3">
      <c r="B58" s="52"/>
      <c r="C58" s="43"/>
      <c r="D58" s="43"/>
      <c r="E58" s="43"/>
      <c r="F58" s="43"/>
      <c r="G58" s="49"/>
      <c r="H58" s="49"/>
      <c r="I58" s="49"/>
      <c r="J58" s="49"/>
      <c r="K58" s="49"/>
      <c r="L58" s="49"/>
      <c r="M58" s="49"/>
      <c r="N58" s="49"/>
      <c r="O58" s="49"/>
      <c r="P58" s="49"/>
      <c r="Q58" s="49"/>
      <c r="R58" s="49"/>
      <c r="S58" s="49"/>
      <c r="T58" s="49"/>
      <c r="U58" s="49"/>
      <c r="V58" s="44"/>
    </row>
    <row r="59" spans="2:22" x14ac:dyDescent="0.3">
      <c r="B59" s="52"/>
      <c r="C59" s="43"/>
      <c r="D59" s="43"/>
      <c r="E59" s="43"/>
      <c r="F59" s="43"/>
      <c r="G59" s="49"/>
      <c r="H59" s="49"/>
      <c r="I59" s="49"/>
      <c r="J59" s="49"/>
      <c r="K59" s="49"/>
      <c r="L59" s="49"/>
      <c r="M59" s="49"/>
      <c r="N59" s="49"/>
      <c r="O59" s="49"/>
      <c r="P59" s="49"/>
      <c r="Q59" s="49"/>
      <c r="R59" s="49"/>
      <c r="S59" s="49"/>
      <c r="T59" s="49"/>
      <c r="U59" s="49"/>
      <c r="V59" s="44"/>
    </row>
    <row r="60" spans="2:22" x14ac:dyDescent="0.3">
      <c r="B60" s="52"/>
      <c r="C60" s="43"/>
      <c r="D60" s="43"/>
      <c r="E60" s="43"/>
      <c r="F60" s="43"/>
      <c r="G60" s="49"/>
      <c r="H60" s="49"/>
      <c r="I60" s="49"/>
      <c r="J60" s="49"/>
      <c r="K60" s="49"/>
      <c r="L60" s="49"/>
      <c r="M60" s="49"/>
      <c r="N60" s="49"/>
      <c r="O60" s="49"/>
      <c r="P60" s="49"/>
      <c r="Q60" s="49"/>
      <c r="R60" s="49"/>
      <c r="S60" s="49"/>
      <c r="T60" s="49"/>
      <c r="U60" s="49"/>
      <c r="V60" s="44"/>
    </row>
    <row r="61" spans="2:22" x14ac:dyDescent="0.3">
      <c r="B61" s="52"/>
      <c r="C61" s="43"/>
      <c r="D61" s="43"/>
      <c r="E61" s="43"/>
      <c r="F61" s="43"/>
      <c r="G61" s="49"/>
      <c r="H61" s="49"/>
      <c r="I61" s="49"/>
      <c r="J61" s="49"/>
      <c r="K61" s="49"/>
      <c r="L61" s="49"/>
      <c r="M61" s="49"/>
      <c r="N61" s="49"/>
      <c r="O61" s="49"/>
      <c r="P61" s="49"/>
      <c r="Q61" s="49"/>
      <c r="R61" s="49"/>
      <c r="S61" s="49"/>
      <c r="T61" s="49"/>
      <c r="U61" s="49"/>
      <c r="V61" s="44"/>
    </row>
    <row r="62" spans="2:22" x14ac:dyDescent="0.3">
      <c r="B62" s="52"/>
      <c r="C62" s="43"/>
      <c r="D62" s="43"/>
      <c r="E62" s="43"/>
      <c r="F62" s="43"/>
      <c r="G62" s="49"/>
      <c r="H62" s="49"/>
      <c r="I62" s="49"/>
      <c r="J62" s="49"/>
      <c r="K62" s="49"/>
      <c r="L62" s="49"/>
      <c r="M62" s="49"/>
      <c r="N62" s="49"/>
      <c r="O62" s="49"/>
      <c r="P62" s="49"/>
      <c r="Q62" s="49"/>
      <c r="R62" s="49"/>
      <c r="S62" s="49"/>
      <c r="T62" s="49"/>
      <c r="U62" s="49"/>
      <c r="V62" s="44"/>
    </row>
    <row r="63" spans="2:22" x14ac:dyDescent="0.3">
      <c r="B63" s="52"/>
      <c r="C63" s="43"/>
      <c r="D63" s="43"/>
      <c r="E63" s="43"/>
      <c r="F63" s="43"/>
      <c r="G63" s="49"/>
      <c r="H63" s="49"/>
      <c r="I63" s="49"/>
      <c r="J63" s="49"/>
      <c r="K63" s="49"/>
      <c r="L63" s="49"/>
      <c r="M63" s="49"/>
      <c r="N63" s="49"/>
      <c r="O63" s="49"/>
      <c r="P63" s="49"/>
      <c r="Q63" s="49"/>
      <c r="R63" s="49"/>
      <c r="S63" s="49"/>
      <c r="T63" s="49"/>
      <c r="U63" s="49"/>
      <c r="V63" s="44"/>
    </row>
    <row r="64" spans="2:22" x14ac:dyDescent="0.3">
      <c r="B64" s="52"/>
      <c r="C64" s="43"/>
      <c r="D64" s="43"/>
      <c r="E64" s="43"/>
      <c r="F64" s="43"/>
      <c r="G64" s="49"/>
      <c r="H64" s="49"/>
      <c r="I64" s="49"/>
      <c r="J64" s="49"/>
      <c r="K64" s="49"/>
      <c r="L64" s="49"/>
      <c r="M64" s="49"/>
      <c r="N64" s="49"/>
      <c r="O64" s="49"/>
      <c r="P64" s="49"/>
      <c r="Q64" s="49"/>
      <c r="R64" s="49"/>
      <c r="S64" s="49"/>
      <c r="T64" s="49"/>
      <c r="U64" s="49"/>
      <c r="V64" s="44"/>
    </row>
    <row r="65" spans="2:22" x14ac:dyDescent="0.3">
      <c r="B65" s="52"/>
      <c r="C65" s="43"/>
      <c r="D65" s="43"/>
      <c r="E65" s="43"/>
      <c r="F65" s="43"/>
      <c r="G65" s="49"/>
      <c r="H65" s="49"/>
      <c r="I65" s="49"/>
      <c r="J65" s="49"/>
      <c r="K65" s="49"/>
      <c r="L65" s="49"/>
      <c r="M65" s="49"/>
      <c r="N65" s="49"/>
      <c r="O65" s="49"/>
      <c r="P65" s="49"/>
      <c r="Q65" s="49"/>
      <c r="R65" s="49"/>
      <c r="S65" s="49"/>
      <c r="T65" s="49"/>
      <c r="U65" s="49"/>
      <c r="V65" s="44"/>
    </row>
    <row r="66" spans="2:22" x14ac:dyDescent="0.3">
      <c r="B66" s="52"/>
      <c r="C66" s="43"/>
      <c r="D66" s="43"/>
      <c r="E66" s="43"/>
      <c r="F66" s="43"/>
      <c r="G66" s="49"/>
      <c r="H66" s="49"/>
      <c r="I66" s="49"/>
      <c r="J66" s="49"/>
      <c r="K66" s="49"/>
      <c r="L66" s="49"/>
      <c r="M66" s="49"/>
      <c r="N66" s="49"/>
      <c r="O66" s="49"/>
      <c r="P66" s="49"/>
      <c r="Q66" s="49"/>
      <c r="R66" s="49"/>
      <c r="S66" s="49"/>
      <c r="T66" s="49"/>
      <c r="U66" s="49"/>
      <c r="V66" s="44"/>
    </row>
    <row r="67" spans="2:22" x14ac:dyDescent="0.3">
      <c r="B67" s="52"/>
      <c r="C67" s="43"/>
      <c r="D67" s="43"/>
      <c r="E67" s="43"/>
      <c r="F67" s="43"/>
      <c r="G67" s="49"/>
      <c r="H67" s="49"/>
      <c r="I67" s="49"/>
      <c r="J67" s="49"/>
      <c r="K67" s="49"/>
      <c r="L67" s="49"/>
      <c r="M67" s="49"/>
      <c r="N67" s="49"/>
      <c r="O67" s="49"/>
      <c r="P67" s="49"/>
      <c r="Q67" s="49"/>
      <c r="R67" s="49"/>
      <c r="S67" s="49"/>
      <c r="T67" s="49"/>
      <c r="U67" s="49"/>
      <c r="V67" s="44"/>
    </row>
    <row r="68" spans="2:22" x14ac:dyDescent="0.3">
      <c r="B68" s="52"/>
      <c r="C68" s="43"/>
      <c r="D68" s="43"/>
      <c r="E68" s="43"/>
      <c r="F68" s="43"/>
      <c r="G68" s="49"/>
      <c r="H68" s="49"/>
      <c r="I68" s="49"/>
      <c r="J68" s="49"/>
      <c r="K68" s="49"/>
      <c r="L68" s="49"/>
      <c r="M68" s="49"/>
      <c r="N68" s="49"/>
      <c r="O68" s="49"/>
      <c r="P68" s="49"/>
      <c r="Q68" s="49"/>
      <c r="R68" s="49"/>
      <c r="S68" s="49"/>
      <c r="T68" s="49"/>
      <c r="U68" s="49"/>
      <c r="V68" s="44"/>
    </row>
    <row r="69" spans="2:22" x14ac:dyDescent="0.3">
      <c r="B69" s="52"/>
      <c r="C69" s="43"/>
      <c r="D69" s="43"/>
      <c r="E69" s="43"/>
      <c r="F69" s="43"/>
      <c r="G69" s="49"/>
      <c r="H69" s="49"/>
      <c r="I69" s="49"/>
      <c r="J69" s="49"/>
      <c r="K69" s="49"/>
      <c r="L69" s="49"/>
      <c r="M69" s="49"/>
      <c r="N69" s="49"/>
      <c r="O69" s="49"/>
      <c r="P69" s="49"/>
      <c r="Q69" s="49"/>
      <c r="R69" s="49"/>
      <c r="S69" s="49"/>
      <c r="T69" s="49"/>
      <c r="U69" s="49"/>
      <c r="V69" s="44"/>
    </row>
    <row r="70" spans="2:22" x14ac:dyDescent="0.3">
      <c r="B70" s="52"/>
      <c r="C70" s="43"/>
      <c r="D70" s="43"/>
      <c r="E70" s="43"/>
      <c r="F70" s="43"/>
      <c r="G70" s="49"/>
      <c r="H70" s="49"/>
      <c r="I70" s="49"/>
      <c r="J70" s="49"/>
      <c r="K70" s="49"/>
      <c r="L70" s="49"/>
      <c r="M70" s="49"/>
      <c r="N70" s="49"/>
      <c r="O70" s="49"/>
      <c r="P70" s="49"/>
      <c r="Q70" s="49"/>
      <c r="R70" s="49"/>
      <c r="S70" s="49"/>
      <c r="T70" s="49"/>
      <c r="U70" s="49"/>
      <c r="V70" s="44"/>
    </row>
    <row r="71" spans="2:22" x14ac:dyDescent="0.3">
      <c r="B71" s="52"/>
      <c r="C71" s="43"/>
      <c r="D71" s="43"/>
      <c r="E71" s="43"/>
      <c r="F71" s="43"/>
      <c r="G71" s="49"/>
      <c r="H71" s="49"/>
      <c r="I71" s="49"/>
      <c r="J71" s="49"/>
      <c r="K71" s="49"/>
      <c r="L71" s="49"/>
      <c r="M71" s="49"/>
      <c r="N71" s="49"/>
      <c r="O71" s="49"/>
      <c r="P71" s="49"/>
      <c r="Q71" s="49"/>
      <c r="R71" s="49"/>
      <c r="S71" s="49"/>
      <c r="T71" s="49"/>
      <c r="U71" s="49"/>
      <c r="V71" s="44"/>
    </row>
    <row r="72" spans="2:22" x14ac:dyDescent="0.3">
      <c r="B72" s="52"/>
      <c r="C72" s="43"/>
      <c r="D72" s="43"/>
      <c r="E72" s="43"/>
      <c r="F72" s="43"/>
      <c r="G72" s="49"/>
      <c r="H72" s="49"/>
      <c r="I72" s="49"/>
      <c r="J72" s="49"/>
      <c r="K72" s="49"/>
      <c r="L72" s="49"/>
      <c r="M72" s="49"/>
      <c r="N72" s="49"/>
      <c r="O72" s="49"/>
      <c r="P72" s="49"/>
      <c r="Q72" s="49"/>
      <c r="R72" s="49"/>
      <c r="S72" s="49"/>
      <c r="T72" s="49"/>
      <c r="U72" s="49"/>
      <c r="V72" s="44"/>
    </row>
    <row r="73" spans="2:22" x14ac:dyDescent="0.3">
      <c r="B73" s="52"/>
      <c r="C73" s="43"/>
      <c r="D73" s="43"/>
      <c r="E73" s="43"/>
      <c r="F73" s="43"/>
      <c r="G73" s="49"/>
      <c r="H73" s="49"/>
      <c r="I73" s="49"/>
      <c r="J73" s="49"/>
      <c r="K73" s="49"/>
      <c r="L73" s="49"/>
      <c r="M73" s="49"/>
      <c r="N73" s="49"/>
      <c r="O73" s="49"/>
      <c r="P73" s="49"/>
      <c r="Q73" s="49"/>
      <c r="R73" s="49"/>
      <c r="S73" s="49"/>
      <c r="T73" s="49"/>
      <c r="U73" s="49"/>
      <c r="V73" s="44"/>
    </row>
    <row r="74" spans="2:22" x14ac:dyDescent="0.3">
      <c r="B74" s="52"/>
      <c r="C74" s="43"/>
      <c r="D74" s="43"/>
      <c r="E74" s="43"/>
      <c r="F74" s="43"/>
      <c r="G74" s="49"/>
      <c r="H74" s="49"/>
      <c r="I74" s="49"/>
      <c r="J74" s="49"/>
      <c r="K74" s="49"/>
      <c r="L74" s="49"/>
      <c r="M74" s="49"/>
      <c r="N74" s="49"/>
      <c r="O74" s="49"/>
      <c r="P74" s="49"/>
      <c r="Q74" s="49"/>
      <c r="R74" s="49"/>
      <c r="S74" s="49"/>
      <c r="T74" s="49"/>
      <c r="U74" s="49"/>
      <c r="V74" s="44"/>
    </row>
    <row r="75" spans="2:22" x14ac:dyDescent="0.3">
      <c r="B75" s="52"/>
      <c r="C75" s="43"/>
      <c r="D75" s="43"/>
      <c r="E75" s="43"/>
      <c r="F75" s="43"/>
      <c r="G75" s="49"/>
      <c r="H75" s="49"/>
      <c r="I75" s="49"/>
      <c r="J75" s="49"/>
      <c r="K75" s="49"/>
      <c r="L75" s="49"/>
      <c r="M75" s="49"/>
      <c r="N75" s="49"/>
      <c r="O75" s="49"/>
      <c r="P75" s="49"/>
      <c r="Q75" s="49"/>
      <c r="R75" s="49"/>
      <c r="S75" s="49"/>
      <c r="T75" s="49"/>
      <c r="U75" s="49"/>
      <c r="V75" s="44"/>
    </row>
    <row r="76" spans="2:22" x14ac:dyDescent="0.3">
      <c r="B76" s="52"/>
      <c r="C76" s="43"/>
      <c r="D76" s="43"/>
      <c r="E76" s="43"/>
      <c r="F76" s="43"/>
      <c r="G76" s="49"/>
      <c r="H76" s="49"/>
      <c r="I76" s="49"/>
      <c r="J76" s="49"/>
      <c r="K76" s="49"/>
      <c r="L76" s="49"/>
      <c r="M76" s="49"/>
      <c r="N76" s="49"/>
      <c r="O76" s="49"/>
      <c r="P76" s="49"/>
      <c r="Q76" s="49"/>
      <c r="R76" s="49"/>
      <c r="S76" s="49"/>
      <c r="T76" s="49"/>
      <c r="U76" s="49"/>
      <c r="V76" s="44"/>
    </row>
    <row r="77" spans="2:22" x14ac:dyDescent="0.3">
      <c r="B77" s="52"/>
      <c r="C77" s="43"/>
      <c r="D77" s="43"/>
      <c r="E77" s="43"/>
      <c r="F77" s="43"/>
      <c r="G77" s="49"/>
      <c r="H77" s="49"/>
      <c r="I77" s="49"/>
      <c r="J77" s="49"/>
      <c r="K77" s="49"/>
      <c r="L77" s="49"/>
      <c r="M77" s="49"/>
      <c r="N77" s="49"/>
      <c r="O77" s="49"/>
      <c r="P77" s="49"/>
      <c r="Q77" s="49"/>
      <c r="R77" s="49"/>
      <c r="S77" s="49"/>
      <c r="T77" s="49"/>
      <c r="U77" s="49"/>
      <c r="V77" s="44"/>
    </row>
    <row r="78" spans="2:22" x14ac:dyDescent="0.3">
      <c r="B78" s="52"/>
      <c r="C78" s="43"/>
      <c r="D78" s="43"/>
      <c r="E78" s="43"/>
      <c r="F78" s="43"/>
      <c r="G78" s="49"/>
      <c r="H78" s="49"/>
      <c r="I78" s="49"/>
      <c r="J78" s="49"/>
      <c r="K78" s="49"/>
      <c r="L78" s="49"/>
      <c r="M78" s="49"/>
      <c r="N78" s="49"/>
      <c r="O78" s="49"/>
      <c r="P78" s="49"/>
      <c r="Q78" s="49"/>
      <c r="R78" s="49"/>
      <c r="S78" s="49"/>
      <c r="T78" s="49"/>
      <c r="U78" s="49"/>
      <c r="V78" s="44"/>
    </row>
    <row r="79" spans="2:22" x14ac:dyDescent="0.3">
      <c r="B79" s="52"/>
      <c r="C79" s="43"/>
      <c r="D79" s="43"/>
      <c r="E79" s="43"/>
      <c r="F79" s="43"/>
      <c r="G79" s="49"/>
      <c r="H79" s="49"/>
      <c r="I79" s="49"/>
      <c r="J79" s="49"/>
      <c r="K79" s="49"/>
      <c r="L79" s="49"/>
      <c r="M79" s="49"/>
      <c r="N79" s="49"/>
      <c r="O79" s="49"/>
      <c r="P79" s="49"/>
      <c r="Q79" s="49"/>
      <c r="R79" s="49"/>
      <c r="S79" s="49"/>
      <c r="T79" s="49"/>
      <c r="U79" s="49"/>
      <c r="V79" s="44"/>
    </row>
    <row r="80" spans="2:22" x14ac:dyDescent="0.3">
      <c r="B80" s="52"/>
      <c r="C80" s="43"/>
      <c r="D80" s="43"/>
      <c r="E80" s="43"/>
      <c r="F80" s="43"/>
      <c r="G80" s="49"/>
      <c r="H80" s="49"/>
      <c r="I80" s="49"/>
      <c r="J80" s="49"/>
      <c r="K80" s="49"/>
      <c r="L80" s="49"/>
      <c r="M80" s="49"/>
      <c r="N80" s="49"/>
      <c r="O80" s="49"/>
      <c r="P80" s="49"/>
      <c r="Q80" s="49"/>
      <c r="R80" s="49"/>
      <c r="S80" s="49"/>
      <c r="T80" s="49"/>
      <c r="U80" s="49"/>
      <c r="V80" s="44"/>
    </row>
    <row r="81" spans="2:22" x14ac:dyDescent="0.3">
      <c r="B81" s="52"/>
      <c r="C81" s="43"/>
      <c r="D81" s="43"/>
      <c r="E81" s="43"/>
      <c r="F81" s="43"/>
      <c r="G81" s="49"/>
      <c r="H81" s="49"/>
      <c r="I81" s="49"/>
      <c r="J81" s="49"/>
      <c r="K81" s="49"/>
      <c r="L81" s="49"/>
      <c r="M81" s="49"/>
      <c r="N81" s="49"/>
      <c r="O81" s="49"/>
      <c r="P81" s="49"/>
      <c r="Q81" s="49"/>
      <c r="R81" s="49"/>
      <c r="S81" s="49"/>
      <c r="T81" s="49"/>
      <c r="U81" s="49"/>
      <c r="V81" s="44"/>
    </row>
    <row r="82" spans="2:22" x14ac:dyDescent="0.3">
      <c r="B82" s="52"/>
      <c r="C82" s="43"/>
      <c r="D82" s="43"/>
      <c r="E82" s="43"/>
      <c r="F82" s="43"/>
      <c r="G82" s="49"/>
      <c r="H82" s="49"/>
      <c r="I82" s="49"/>
      <c r="J82" s="49"/>
      <c r="K82" s="49"/>
      <c r="L82" s="49"/>
      <c r="M82" s="49"/>
      <c r="N82" s="49"/>
      <c r="O82" s="49"/>
      <c r="P82" s="49"/>
      <c r="Q82" s="49"/>
      <c r="R82" s="49"/>
      <c r="S82" s="49"/>
      <c r="T82" s="49"/>
      <c r="U82" s="49"/>
      <c r="V82" s="44"/>
    </row>
    <row r="83" spans="2:22" x14ac:dyDescent="0.3">
      <c r="B83" s="52"/>
      <c r="C83" s="43"/>
      <c r="D83" s="43"/>
      <c r="E83" s="43"/>
      <c r="F83" s="43"/>
      <c r="G83" s="49"/>
      <c r="H83" s="49"/>
      <c r="I83" s="49"/>
      <c r="J83" s="49"/>
      <c r="K83" s="49"/>
      <c r="L83" s="49"/>
      <c r="M83" s="49"/>
      <c r="N83" s="49"/>
      <c r="O83" s="49"/>
      <c r="P83" s="49"/>
      <c r="Q83" s="49"/>
      <c r="R83" s="49"/>
      <c r="S83" s="49"/>
      <c r="T83" s="49"/>
      <c r="U83" s="49"/>
      <c r="V83" s="44"/>
    </row>
    <row r="84" spans="2:22" x14ac:dyDescent="0.3">
      <c r="B84" s="52"/>
      <c r="C84" s="43"/>
      <c r="D84" s="43"/>
      <c r="E84" s="43"/>
      <c r="F84" s="43"/>
      <c r="G84" s="49"/>
      <c r="H84" s="49"/>
      <c r="I84" s="49"/>
      <c r="J84" s="49"/>
      <c r="K84" s="49"/>
      <c r="L84" s="49"/>
      <c r="M84" s="49"/>
      <c r="N84" s="49"/>
      <c r="O84" s="49"/>
      <c r="P84" s="49"/>
      <c r="Q84" s="49"/>
      <c r="R84" s="49"/>
      <c r="S84" s="49"/>
      <c r="T84" s="49"/>
      <c r="U84" s="49"/>
      <c r="V84" s="44"/>
    </row>
    <row r="85" spans="2:22" x14ac:dyDescent="0.3">
      <c r="B85" s="52"/>
      <c r="C85" s="43"/>
      <c r="D85" s="43"/>
      <c r="E85" s="43"/>
      <c r="F85" s="43"/>
      <c r="G85" s="49"/>
      <c r="H85" s="49"/>
      <c r="I85" s="49"/>
      <c r="J85" s="49"/>
      <c r="K85" s="49"/>
      <c r="L85" s="49"/>
      <c r="M85" s="49"/>
      <c r="N85" s="49"/>
      <c r="O85" s="49"/>
      <c r="P85" s="49"/>
      <c r="Q85" s="49"/>
      <c r="R85" s="49"/>
      <c r="S85" s="49"/>
      <c r="T85" s="49"/>
      <c r="U85" s="49"/>
      <c r="V85" s="44"/>
    </row>
    <row r="86" spans="2:22" x14ac:dyDescent="0.3">
      <c r="B86" s="52"/>
      <c r="C86" s="43"/>
      <c r="D86" s="43"/>
      <c r="E86" s="43"/>
      <c r="F86" s="43"/>
      <c r="G86" s="49"/>
      <c r="H86" s="49"/>
      <c r="I86" s="49"/>
      <c r="J86" s="49"/>
      <c r="K86" s="49"/>
      <c r="L86" s="49"/>
      <c r="M86" s="49"/>
      <c r="N86" s="49"/>
      <c r="O86" s="49"/>
      <c r="P86" s="49"/>
      <c r="Q86" s="49"/>
      <c r="R86" s="49"/>
      <c r="S86" s="49"/>
      <c r="T86" s="49"/>
      <c r="U86" s="49"/>
      <c r="V86" s="44"/>
    </row>
    <row r="87" spans="2:22" x14ac:dyDescent="0.3">
      <c r="B87" s="52"/>
      <c r="C87" s="43"/>
      <c r="D87" s="43"/>
      <c r="E87" s="43"/>
      <c r="F87" s="43"/>
      <c r="G87" s="49"/>
      <c r="H87" s="49"/>
      <c r="I87" s="49"/>
      <c r="J87" s="49"/>
      <c r="K87" s="49"/>
      <c r="L87" s="49"/>
      <c r="M87" s="49"/>
      <c r="N87" s="49"/>
      <c r="O87" s="49"/>
      <c r="P87" s="49"/>
      <c r="Q87" s="49"/>
      <c r="R87" s="49"/>
      <c r="S87" s="49"/>
      <c r="T87" s="49"/>
      <c r="U87" s="49"/>
      <c r="V87" s="44"/>
    </row>
    <row r="88" spans="2:22" x14ac:dyDescent="0.3">
      <c r="B88" s="52"/>
      <c r="C88" s="43"/>
      <c r="D88" s="43"/>
      <c r="E88" s="43"/>
      <c r="F88" s="43"/>
      <c r="G88" s="49"/>
      <c r="H88" s="49"/>
      <c r="I88" s="49"/>
      <c r="J88" s="49"/>
      <c r="K88" s="49"/>
      <c r="L88" s="49"/>
      <c r="M88" s="49"/>
      <c r="N88" s="49"/>
      <c r="O88" s="49"/>
      <c r="P88" s="49"/>
      <c r="Q88" s="49"/>
      <c r="R88" s="49"/>
      <c r="S88" s="49"/>
      <c r="T88" s="49"/>
      <c r="U88" s="49"/>
      <c r="V88" s="44"/>
    </row>
    <row r="89" spans="2:22" x14ac:dyDescent="0.3">
      <c r="B89" s="52"/>
      <c r="C89" s="43"/>
      <c r="D89" s="43"/>
      <c r="E89" s="43"/>
      <c r="F89" s="43"/>
      <c r="G89" s="49"/>
      <c r="H89" s="49"/>
      <c r="I89" s="49"/>
      <c r="J89" s="49"/>
      <c r="K89" s="49"/>
      <c r="L89" s="49"/>
      <c r="M89" s="49"/>
      <c r="N89" s="49"/>
      <c r="O89" s="49"/>
      <c r="P89" s="49"/>
      <c r="Q89" s="49"/>
      <c r="R89" s="49"/>
      <c r="S89" s="49"/>
      <c r="T89" s="49"/>
      <c r="U89" s="49"/>
      <c r="V89" s="44"/>
    </row>
    <row r="90" spans="2:22" x14ac:dyDescent="0.3">
      <c r="B90" s="52"/>
      <c r="C90" s="43"/>
      <c r="D90" s="43"/>
      <c r="E90" s="43"/>
      <c r="F90" s="43"/>
      <c r="G90" s="49"/>
      <c r="H90" s="49"/>
      <c r="I90" s="49"/>
      <c r="J90" s="49"/>
      <c r="K90" s="49"/>
      <c r="L90" s="49"/>
      <c r="M90" s="49"/>
      <c r="N90" s="49"/>
      <c r="O90" s="49"/>
      <c r="P90" s="49"/>
      <c r="Q90" s="49"/>
      <c r="R90" s="49"/>
      <c r="S90" s="49"/>
      <c r="T90" s="49"/>
      <c r="U90" s="49"/>
      <c r="V90" s="44"/>
    </row>
    <row r="91" spans="2:22" x14ac:dyDescent="0.3">
      <c r="B91" s="52"/>
      <c r="C91" s="43"/>
      <c r="D91" s="43"/>
      <c r="E91" s="43"/>
      <c r="F91" s="43"/>
      <c r="G91" s="49"/>
      <c r="H91" s="49"/>
      <c r="I91" s="49"/>
      <c r="J91" s="49"/>
      <c r="K91" s="49"/>
      <c r="L91" s="49"/>
      <c r="M91" s="49"/>
      <c r="N91" s="49"/>
      <c r="O91" s="49"/>
      <c r="P91" s="49"/>
      <c r="Q91" s="49"/>
      <c r="R91" s="49"/>
      <c r="S91" s="49"/>
      <c r="T91" s="49"/>
      <c r="U91" s="49"/>
      <c r="V91" s="44"/>
    </row>
    <row r="92" spans="2:22" x14ac:dyDescent="0.3">
      <c r="B92" s="52"/>
      <c r="C92" s="43"/>
      <c r="D92" s="43"/>
      <c r="E92" s="43"/>
      <c r="F92" s="43"/>
      <c r="G92" s="49"/>
      <c r="H92" s="49"/>
      <c r="I92" s="49"/>
      <c r="J92" s="49"/>
      <c r="K92" s="49"/>
      <c r="L92" s="49"/>
      <c r="M92" s="49"/>
      <c r="N92" s="49"/>
      <c r="O92" s="49"/>
      <c r="P92" s="49"/>
      <c r="Q92" s="49"/>
      <c r="R92" s="49"/>
      <c r="S92" s="49"/>
      <c r="T92" s="49"/>
      <c r="U92" s="49"/>
      <c r="V92" s="44"/>
    </row>
    <row r="93" spans="2:22" x14ac:dyDescent="0.3">
      <c r="B93" s="52"/>
      <c r="C93" s="43"/>
      <c r="D93" s="43"/>
      <c r="E93" s="43"/>
      <c r="F93" s="43"/>
      <c r="G93" s="49"/>
      <c r="H93" s="49"/>
      <c r="I93" s="49"/>
      <c r="J93" s="49"/>
      <c r="K93" s="49"/>
      <c r="L93" s="49"/>
      <c r="M93" s="49"/>
      <c r="N93" s="49"/>
      <c r="O93" s="49"/>
      <c r="P93" s="49"/>
      <c r="Q93" s="49"/>
      <c r="R93" s="49"/>
      <c r="S93" s="49"/>
      <c r="T93" s="49"/>
      <c r="U93" s="49"/>
      <c r="V93" s="44"/>
    </row>
    <row r="94" spans="2:22" x14ac:dyDescent="0.3">
      <c r="B94" s="52"/>
      <c r="C94" s="43"/>
      <c r="D94" s="43"/>
      <c r="E94" s="43"/>
      <c r="F94" s="43"/>
      <c r="G94" s="49"/>
      <c r="H94" s="49"/>
      <c r="I94" s="49"/>
      <c r="J94" s="49"/>
      <c r="K94" s="49"/>
      <c r="L94" s="49"/>
      <c r="M94" s="49"/>
      <c r="N94" s="49"/>
      <c r="O94" s="49"/>
      <c r="P94" s="49"/>
      <c r="Q94" s="49"/>
      <c r="R94" s="49"/>
      <c r="S94" s="49"/>
      <c r="T94" s="49"/>
      <c r="U94" s="49"/>
      <c r="V94" s="44"/>
    </row>
    <row r="95" spans="2:22" x14ac:dyDescent="0.3">
      <c r="B95" s="52"/>
      <c r="C95" s="43"/>
      <c r="D95" s="43"/>
      <c r="E95" s="43"/>
      <c r="F95" s="43"/>
      <c r="G95" s="49"/>
      <c r="H95" s="49"/>
      <c r="I95" s="49"/>
      <c r="J95" s="49"/>
      <c r="K95" s="49"/>
      <c r="L95" s="49"/>
      <c r="M95" s="49"/>
      <c r="N95" s="49"/>
      <c r="O95" s="49"/>
      <c r="P95" s="49"/>
      <c r="Q95" s="49"/>
      <c r="R95" s="49"/>
      <c r="S95" s="49"/>
      <c r="T95" s="49"/>
      <c r="U95" s="49"/>
      <c r="V95" s="44"/>
    </row>
    <row r="96" spans="2:22" x14ac:dyDescent="0.3">
      <c r="B96" s="52"/>
      <c r="C96" s="43"/>
      <c r="D96" s="43"/>
      <c r="E96" s="43"/>
      <c r="F96" s="43"/>
      <c r="G96" s="49"/>
      <c r="H96" s="49"/>
      <c r="I96" s="49"/>
      <c r="J96" s="49"/>
      <c r="K96" s="49"/>
      <c r="L96" s="49"/>
      <c r="M96" s="49"/>
      <c r="N96" s="49"/>
      <c r="O96" s="49"/>
      <c r="P96" s="49"/>
      <c r="Q96" s="49"/>
      <c r="R96" s="49"/>
      <c r="S96" s="49"/>
      <c r="T96" s="49"/>
      <c r="U96" s="49"/>
      <c r="V96" s="44"/>
    </row>
    <row r="97" spans="2:22" x14ac:dyDescent="0.3">
      <c r="B97" s="52"/>
      <c r="C97" s="43"/>
      <c r="D97" s="43"/>
      <c r="E97" s="43"/>
      <c r="F97" s="43"/>
      <c r="G97" s="49"/>
      <c r="H97" s="49"/>
      <c r="I97" s="49"/>
      <c r="J97" s="49"/>
      <c r="K97" s="49"/>
      <c r="L97" s="49"/>
      <c r="M97" s="49"/>
      <c r="N97" s="49"/>
      <c r="O97" s="49"/>
      <c r="P97" s="49"/>
      <c r="Q97" s="49"/>
      <c r="R97" s="49"/>
      <c r="S97" s="49"/>
      <c r="T97" s="49"/>
      <c r="U97" s="49"/>
      <c r="V97" s="44"/>
    </row>
    <row r="98" spans="2:22" x14ac:dyDescent="0.3">
      <c r="B98" s="52"/>
      <c r="C98" s="43"/>
      <c r="D98" s="43"/>
      <c r="E98" s="43"/>
      <c r="F98" s="43"/>
      <c r="G98" s="49"/>
      <c r="H98" s="49"/>
      <c r="I98" s="49"/>
      <c r="J98" s="49"/>
      <c r="K98" s="49"/>
      <c r="L98" s="49"/>
      <c r="M98" s="49"/>
      <c r="N98" s="49"/>
      <c r="O98" s="49"/>
      <c r="P98" s="49"/>
      <c r="Q98" s="49"/>
      <c r="R98" s="49"/>
      <c r="S98" s="49"/>
      <c r="T98" s="49"/>
      <c r="U98" s="49"/>
      <c r="V98" s="44"/>
    </row>
    <row r="99" spans="2:22" x14ac:dyDescent="0.3">
      <c r="B99" s="52"/>
      <c r="C99" s="43"/>
      <c r="D99" s="43"/>
      <c r="E99" s="43"/>
      <c r="F99" s="43"/>
      <c r="G99" s="49"/>
      <c r="H99" s="49"/>
      <c r="I99" s="49"/>
      <c r="J99" s="49"/>
      <c r="K99" s="49"/>
      <c r="L99" s="49"/>
      <c r="M99" s="49"/>
      <c r="N99" s="49"/>
      <c r="O99" s="49"/>
      <c r="P99" s="49"/>
      <c r="Q99" s="49"/>
      <c r="R99" s="49"/>
      <c r="S99" s="49"/>
      <c r="T99" s="49"/>
      <c r="U99" s="49"/>
      <c r="V99" s="44"/>
    </row>
    <row r="100" spans="2:22" x14ac:dyDescent="0.3">
      <c r="B100" s="52"/>
      <c r="C100" s="43"/>
      <c r="D100" s="43"/>
      <c r="E100" s="43"/>
      <c r="F100" s="43"/>
      <c r="G100" s="49"/>
      <c r="H100" s="49"/>
      <c r="I100" s="49"/>
      <c r="J100" s="49"/>
      <c r="K100" s="49"/>
      <c r="L100" s="49"/>
      <c r="M100" s="49"/>
      <c r="N100" s="49"/>
      <c r="O100" s="49"/>
      <c r="P100" s="49"/>
      <c r="Q100" s="49"/>
      <c r="R100" s="49"/>
      <c r="S100" s="49"/>
      <c r="T100" s="49"/>
      <c r="U100" s="49"/>
      <c r="V100" s="44"/>
    </row>
    <row r="101" spans="2:22" x14ac:dyDescent="0.3">
      <c r="B101" s="52"/>
      <c r="C101" s="43"/>
      <c r="D101" s="43"/>
      <c r="E101" s="43"/>
      <c r="F101" s="43"/>
      <c r="G101" s="49"/>
      <c r="H101" s="49"/>
      <c r="I101" s="49"/>
      <c r="J101" s="49"/>
      <c r="K101" s="49"/>
      <c r="L101" s="49"/>
      <c r="M101" s="49"/>
      <c r="N101" s="49"/>
      <c r="O101" s="49"/>
      <c r="P101" s="49"/>
      <c r="Q101" s="49"/>
      <c r="R101" s="49"/>
      <c r="S101" s="49"/>
      <c r="T101" s="49"/>
      <c r="U101" s="49"/>
      <c r="V101" s="44"/>
    </row>
    <row r="102" spans="2:22" x14ac:dyDescent="0.3">
      <c r="B102" s="52"/>
      <c r="C102" s="43"/>
      <c r="D102" s="43"/>
      <c r="E102" s="43"/>
      <c r="F102" s="43"/>
      <c r="G102" s="49"/>
      <c r="H102" s="49"/>
      <c r="I102" s="49"/>
      <c r="J102" s="49"/>
      <c r="K102" s="49"/>
      <c r="L102" s="49"/>
      <c r="M102" s="49"/>
      <c r="N102" s="49"/>
      <c r="O102" s="49"/>
      <c r="P102" s="49"/>
      <c r="Q102" s="49"/>
      <c r="R102" s="49"/>
      <c r="S102" s="49"/>
      <c r="T102" s="49"/>
      <c r="U102" s="49"/>
      <c r="V102" s="44"/>
    </row>
    <row r="103" spans="2:22" x14ac:dyDescent="0.3">
      <c r="B103" s="52"/>
      <c r="C103" s="43"/>
      <c r="D103" s="43"/>
      <c r="E103" s="43"/>
      <c r="F103" s="43"/>
      <c r="G103" s="49"/>
      <c r="H103" s="49"/>
      <c r="I103" s="49"/>
      <c r="J103" s="49"/>
      <c r="K103" s="49"/>
      <c r="L103" s="49"/>
      <c r="M103" s="49"/>
      <c r="N103" s="49"/>
      <c r="O103" s="49"/>
      <c r="P103" s="49"/>
      <c r="Q103" s="49"/>
      <c r="R103" s="49"/>
      <c r="S103" s="49"/>
      <c r="T103" s="49"/>
      <c r="U103" s="49"/>
      <c r="V103" s="44"/>
    </row>
    <row r="104" spans="2:22" x14ac:dyDescent="0.3">
      <c r="B104" s="52"/>
      <c r="C104" s="43"/>
      <c r="D104" s="43"/>
      <c r="E104" s="43"/>
      <c r="F104" s="43"/>
      <c r="G104" s="49"/>
      <c r="H104" s="49"/>
      <c r="I104" s="49"/>
      <c r="J104" s="49"/>
      <c r="K104" s="49"/>
      <c r="L104" s="49"/>
      <c r="M104" s="49"/>
      <c r="N104" s="49"/>
      <c r="O104" s="49"/>
      <c r="P104" s="49"/>
      <c r="Q104" s="49"/>
      <c r="R104" s="49"/>
      <c r="S104" s="49"/>
      <c r="T104" s="49"/>
      <c r="U104" s="49"/>
      <c r="V104" s="44"/>
    </row>
    <row r="105" spans="2:22" x14ac:dyDescent="0.3">
      <c r="B105" s="52"/>
      <c r="C105" s="43"/>
      <c r="D105" s="43"/>
      <c r="E105" s="43"/>
      <c r="F105" s="43"/>
      <c r="G105" s="49"/>
      <c r="H105" s="49"/>
      <c r="I105" s="49"/>
      <c r="J105" s="49"/>
      <c r="K105" s="49"/>
      <c r="L105" s="49"/>
      <c r="M105" s="49"/>
      <c r="N105" s="49"/>
      <c r="O105" s="49"/>
      <c r="P105" s="49"/>
      <c r="Q105" s="49"/>
      <c r="R105" s="49"/>
      <c r="S105" s="49"/>
      <c r="T105" s="49"/>
      <c r="U105" s="49"/>
      <c r="V105" s="44"/>
    </row>
    <row r="106" spans="2:22" x14ac:dyDescent="0.3">
      <c r="B106" s="52"/>
      <c r="C106" s="43"/>
      <c r="D106" s="43"/>
      <c r="E106" s="43"/>
      <c r="F106" s="43"/>
      <c r="G106" s="49"/>
      <c r="H106" s="49"/>
      <c r="I106" s="49"/>
      <c r="J106" s="49"/>
      <c r="K106" s="49"/>
      <c r="L106" s="49"/>
      <c r="M106" s="49"/>
      <c r="N106" s="49"/>
      <c r="O106" s="49"/>
      <c r="P106" s="49"/>
      <c r="Q106" s="49"/>
      <c r="R106" s="49"/>
      <c r="S106" s="49"/>
      <c r="T106" s="49"/>
      <c r="U106" s="49"/>
      <c r="V106" s="44"/>
    </row>
    <row r="107" spans="2:22" x14ac:dyDescent="0.3">
      <c r="B107" s="52"/>
      <c r="C107" s="43"/>
      <c r="D107" s="43"/>
      <c r="E107" s="43"/>
      <c r="F107" s="43"/>
      <c r="G107" s="49"/>
      <c r="H107" s="49"/>
      <c r="I107" s="49"/>
      <c r="J107" s="49"/>
      <c r="K107" s="49"/>
      <c r="L107" s="49"/>
      <c r="M107" s="49"/>
      <c r="N107" s="49"/>
      <c r="O107" s="49"/>
      <c r="P107" s="49"/>
      <c r="Q107" s="49"/>
      <c r="R107" s="49"/>
      <c r="S107" s="49"/>
      <c r="T107" s="49"/>
      <c r="U107" s="49"/>
      <c r="V107" s="44"/>
    </row>
    <row r="108" spans="2:22" x14ac:dyDescent="0.3">
      <c r="B108" s="52"/>
      <c r="C108" s="43"/>
      <c r="D108" s="43"/>
      <c r="E108" s="43"/>
      <c r="F108" s="43"/>
      <c r="G108" s="49"/>
      <c r="H108" s="49"/>
      <c r="I108" s="49"/>
      <c r="J108" s="49"/>
      <c r="K108" s="49"/>
      <c r="L108" s="49"/>
      <c r="M108" s="49"/>
      <c r="N108" s="49"/>
      <c r="O108" s="49"/>
      <c r="P108" s="49"/>
      <c r="Q108" s="49"/>
      <c r="R108" s="49"/>
      <c r="S108" s="49"/>
      <c r="T108" s="49"/>
      <c r="U108" s="49"/>
      <c r="V108" s="44"/>
    </row>
    <row r="109" spans="2:22" x14ac:dyDescent="0.3">
      <c r="B109" s="52"/>
      <c r="C109" s="43"/>
      <c r="D109" s="43"/>
      <c r="E109" s="43"/>
      <c r="F109" s="43"/>
      <c r="G109" s="49"/>
      <c r="H109" s="49"/>
      <c r="I109" s="49"/>
      <c r="J109" s="49"/>
      <c r="K109" s="49"/>
      <c r="L109" s="49"/>
      <c r="M109" s="49"/>
      <c r="N109" s="49"/>
      <c r="O109" s="49"/>
      <c r="P109" s="49"/>
      <c r="Q109" s="49"/>
      <c r="R109" s="49"/>
      <c r="S109" s="49"/>
      <c r="T109" s="49"/>
      <c r="U109" s="49"/>
      <c r="V109" s="44"/>
    </row>
    <row r="110" spans="2:22" x14ac:dyDescent="0.3">
      <c r="B110" s="52"/>
      <c r="C110" s="43"/>
      <c r="D110" s="43"/>
      <c r="E110" s="43"/>
      <c r="F110" s="43"/>
      <c r="G110" s="49"/>
      <c r="H110" s="49"/>
      <c r="I110" s="49"/>
      <c r="J110" s="49"/>
      <c r="K110" s="49"/>
      <c r="L110" s="49"/>
      <c r="M110" s="49"/>
      <c r="N110" s="49"/>
      <c r="O110" s="49"/>
      <c r="P110" s="49"/>
      <c r="Q110" s="49"/>
      <c r="R110" s="49"/>
      <c r="S110" s="49"/>
      <c r="T110" s="49"/>
      <c r="U110" s="49"/>
      <c r="V110" s="44"/>
    </row>
    <row r="111" spans="2:22" x14ac:dyDescent="0.3">
      <c r="B111" s="52"/>
      <c r="C111" s="43"/>
      <c r="D111" s="43"/>
      <c r="E111" s="43"/>
      <c r="F111" s="43"/>
      <c r="G111" s="49"/>
      <c r="H111" s="49"/>
      <c r="I111" s="49"/>
      <c r="J111" s="49"/>
      <c r="K111" s="49"/>
      <c r="L111" s="49"/>
      <c r="M111" s="49"/>
      <c r="N111" s="49"/>
      <c r="O111" s="49"/>
      <c r="P111" s="49"/>
      <c r="Q111" s="49"/>
      <c r="R111" s="49"/>
      <c r="S111" s="49"/>
      <c r="T111" s="49"/>
      <c r="U111" s="49"/>
      <c r="V111" s="44"/>
    </row>
    <row r="112" spans="2:22" x14ac:dyDescent="0.3">
      <c r="B112" s="52"/>
      <c r="C112" s="43"/>
      <c r="D112" s="43"/>
      <c r="E112" s="43"/>
      <c r="F112" s="43"/>
      <c r="G112" s="49"/>
      <c r="H112" s="49"/>
      <c r="I112" s="49"/>
      <c r="J112" s="49"/>
      <c r="K112" s="49"/>
      <c r="L112" s="49"/>
      <c r="M112" s="49"/>
      <c r="N112" s="49"/>
      <c r="O112" s="49"/>
      <c r="P112" s="49"/>
      <c r="Q112" s="49"/>
      <c r="R112" s="49"/>
      <c r="S112" s="49"/>
      <c r="T112" s="49"/>
      <c r="U112" s="49"/>
      <c r="V112" s="44"/>
    </row>
    <row r="113" spans="2:22" x14ac:dyDescent="0.3">
      <c r="B113" s="52"/>
      <c r="C113" s="43"/>
      <c r="D113" s="43"/>
      <c r="E113" s="43"/>
      <c r="F113" s="43"/>
      <c r="G113" s="49"/>
      <c r="H113" s="49"/>
      <c r="I113" s="49"/>
      <c r="J113" s="49"/>
      <c r="K113" s="49"/>
      <c r="L113" s="49"/>
      <c r="M113" s="49"/>
      <c r="N113" s="49"/>
      <c r="O113" s="49"/>
      <c r="P113" s="49"/>
      <c r="Q113" s="49"/>
      <c r="R113" s="49"/>
      <c r="S113" s="49"/>
      <c r="T113" s="49"/>
      <c r="U113" s="49"/>
      <c r="V113" s="44"/>
    </row>
    <row r="114" spans="2:22" x14ac:dyDescent="0.3">
      <c r="B114" s="52"/>
      <c r="C114" s="43"/>
      <c r="D114" s="43"/>
      <c r="E114" s="43"/>
      <c r="F114" s="43"/>
      <c r="G114" s="49"/>
      <c r="H114" s="49"/>
      <c r="I114" s="49"/>
      <c r="J114" s="49"/>
      <c r="K114" s="49"/>
      <c r="L114" s="49"/>
      <c r="M114" s="49"/>
      <c r="N114" s="49"/>
      <c r="O114" s="49"/>
      <c r="P114" s="49"/>
      <c r="Q114" s="49"/>
      <c r="R114" s="49"/>
      <c r="S114" s="49"/>
      <c r="T114" s="49"/>
      <c r="U114" s="49"/>
      <c r="V114" s="44"/>
    </row>
    <row r="115" spans="2:22" x14ac:dyDescent="0.3">
      <c r="B115" s="52"/>
      <c r="C115" s="43"/>
      <c r="D115" s="43"/>
      <c r="E115" s="43"/>
      <c r="F115" s="43"/>
      <c r="G115" s="49"/>
      <c r="H115" s="49"/>
      <c r="I115" s="49"/>
      <c r="J115" s="49"/>
      <c r="K115" s="49"/>
      <c r="L115" s="49"/>
      <c r="M115" s="49"/>
      <c r="N115" s="49"/>
      <c r="O115" s="49"/>
      <c r="P115" s="49"/>
      <c r="Q115" s="49"/>
      <c r="R115" s="49"/>
      <c r="S115" s="49"/>
      <c r="T115" s="49"/>
      <c r="U115" s="49"/>
      <c r="V115" s="44"/>
    </row>
    <row r="116" spans="2:22" x14ac:dyDescent="0.3">
      <c r="B116" s="52"/>
      <c r="C116" s="43"/>
      <c r="D116" s="43"/>
      <c r="E116" s="43"/>
      <c r="F116" s="43"/>
      <c r="G116" s="49"/>
      <c r="H116" s="49"/>
      <c r="I116" s="49"/>
      <c r="J116" s="49"/>
      <c r="K116" s="49"/>
      <c r="L116" s="49"/>
      <c r="M116" s="49"/>
      <c r="N116" s="49"/>
      <c r="O116" s="49"/>
      <c r="P116" s="49"/>
      <c r="Q116" s="49"/>
      <c r="R116" s="49"/>
      <c r="S116" s="49"/>
      <c r="T116" s="49"/>
      <c r="U116" s="49"/>
      <c r="V116" s="44"/>
    </row>
    <row r="117" spans="2:22" x14ac:dyDescent="0.3">
      <c r="B117" s="52"/>
      <c r="C117" s="43"/>
      <c r="D117" s="43"/>
      <c r="E117" s="43"/>
      <c r="F117" s="43"/>
      <c r="G117" s="49"/>
      <c r="H117" s="49"/>
      <c r="I117" s="49"/>
      <c r="J117" s="49"/>
      <c r="K117" s="49"/>
      <c r="L117" s="49"/>
      <c r="M117" s="49"/>
      <c r="N117" s="49"/>
      <c r="O117" s="49"/>
      <c r="P117" s="49"/>
      <c r="Q117" s="49"/>
      <c r="R117" s="49"/>
      <c r="S117" s="49"/>
      <c r="T117" s="49"/>
      <c r="U117" s="49"/>
      <c r="V117" s="44"/>
    </row>
    <row r="118" spans="2:22" x14ac:dyDescent="0.3">
      <c r="B118" s="52"/>
      <c r="C118" s="43"/>
      <c r="D118" s="43"/>
      <c r="E118" s="43"/>
      <c r="F118" s="43"/>
      <c r="G118" s="49"/>
      <c r="H118" s="49"/>
      <c r="I118" s="49"/>
      <c r="J118" s="49"/>
      <c r="K118" s="49"/>
      <c r="L118" s="49"/>
      <c r="M118" s="49"/>
      <c r="N118" s="49"/>
      <c r="O118" s="49"/>
      <c r="P118" s="49"/>
      <c r="Q118" s="49"/>
      <c r="R118" s="49"/>
      <c r="S118" s="49"/>
      <c r="T118" s="49"/>
      <c r="U118" s="49"/>
      <c r="V118" s="44"/>
    </row>
    <row r="119" spans="2:22" x14ac:dyDescent="0.3">
      <c r="B119" s="52"/>
      <c r="C119" s="43"/>
      <c r="D119" s="43"/>
      <c r="E119" s="43"/>
      <c r="F119" s="43"/>
      <c r="G119" s="49"/>
      <c r="H119" s="49"/>
      <c r="I119" s="49"/>
      <c r="J119" s="49"/>
      <c r="K119" s="49"/>
      <c r="L119" s="49"/>
      <c r="M119" s="49"/>
      <c r="N119" s="49"/>
      <c r="O119" s="49"/>
      <c r="P119" s="49"/>
      <c r="Q119" s="49"/>
      <c r="R119" s="49"/>
      <c r="S119" s="49"/>
      <c r="T119" s="49"/>
      <c r="U119" s="49"/>
      <c r="V119" s="44"/>
    </row>
    <row r="120" spans="2:22" x14ac:dyDescent="0.3">
      <c r="B120" s="52"/>
      <c r="C120" s="43"/>
      <c r="D120" s="43"/>
      <c r="E120" s="43"/>
      <c r="F120" s="43"/>
      <c r="G120" s="49"/>
      <c r="H120" s="49"/>
      <c r="I120" s="49"/>
      <c r="J120" s="49"/>
      <c r="K120" s="49"/>
      <c r="L120" s="49"/>
      <c r="M120" s="49"/>
      <c r="N120" s="49"/>
      <c r="O120" s="49"/>
      <c r="P120" s="49"/>
      <c r="Q120" s="49"/>
      <c r="R120" s="49"/>
      <c r="S120" s="49"/>
      <c r="T120" s="49"/>
      <c r="U120" s="49"/>
      <c r="V120" s="44"/>
    </row>
    <row r="121" spans="2:22" x14ac:dyDescent="0.3">
      <c r="B121" s="52"/>
      <c r="C121" s="43"/>
      <c r="D121" s="43"/>
      <c r="E121" s="43"/>
      <c r="F121" s="43"/>
      <c r="G121" s="49"/>
      <c r="H121" s="49"/>
      <c r="I121" s="49"/>
      <c r="J121" s="49"/>
      <c r="K121" s="49"/>
      <c r="L121" s="49"/>
      <c r="M121" s="49"/>
      <c r="N121" s="49"/>
      <c r="O121" s="49"/>
      <c r="P121" s="49"/>
      <c r="Q121" s="49"/>
      <c r="R121" s="49"/>
      <c r="S121" s="49"/>
      <c r="T121" s="49"/>
      <c r="U121" s="49"/>
      <c r="V121" s="44"/>
    </row>
    <row r="122" spans="2:22" x14ac:dyDescent="0.3">
      <c r="B122" s="52"/>
      <c r="C122" s="43"/>
      <c r="D122" s="43"/>
      <c r="E122" s="43"/>
      <c r="F122" s="43"/>
      <c r="G122" s="49"/>
      <c r="H122" s="49"/>
      <c r="I122" s="49"/>
      <c r="J122" s="49"/>
      <c r="K122" s="49"/>
      <c r="L122" s="49"/>
      <c r="M122" s="49"/>
      <c r="N122" s="49"/>
      <c r="O122" s="49"/>
      <c r="P122" s="49"/>
      <c r="Q122" s="49"/>
      <c r="R122" s="49"/>
      <c r="S122" s="49"/>
      <c r="T122" s="49"/>
      <c r="U122" s="49"/>
      <c r="V122" s="44"/>
    </row>
    <row r="123" spans="2:22" x14ac:dyDescent="0.3">
      <c r="B123" s="52"/>
      <c r="C123" s="43"/>
      <c r="D123" s="43"/>
      <c r="E123" s="43"/>
      <c r="F123" s="43"/>
      <c r="G123" s="49"/>
      <c r="H123" s="49"/>
      <c r="I123" s="49"/>
      <c r="J123" s="49"/>
      <c r="K123" s="49"/>
      <c r="L123" s="49"/>
      <c r="M123" s="49"/>
      <c r="N123" s="49"/>
      <c r="O123" s="49"/>
      <c r="P123" s="49"/>
      <c r="Q123" s="49"/>
      <c r="R123" s="49"/>
      <c r="S123" s="49"/>
      <c r="T123" s="49"/>
      <c r="U123" s="49"/>
      <c r="V123" s="44"/>
    </row>
    <row r="124" spans="2:22" x14ac:dyDescent="0.3">
      <c r="B124" s="52"/>
      <c r="C124" s="43"/>
      <c r="D124" s="43"/>
      <c r="E124" s="43"/>
      <c r="F124" s="43"/>
      <c r="G124" s="49"/>
      <c r="H124" s="49"/>
      <c r="I124" s="49"/>
      <c r="J124" s="49"/>
      <c r="K124" s="49"/>
      <c r="L124" s="49"/>
      <c r="M124" s="49"/>
      <c r="N124" s="49"/>
      <c r="O124" s="49"/>
      <c r="P124" s="49"/>
      <c r="Q124" s="49"/>
      <c r="R124" s="49"/>
      <c r="S124" s="49"/>
      <c r="T124" s="49"/>
      <c r="U124" s="49"/>
      <c r="V124" s="44"/>
    </row>
    <row r="125" spans="2:22" x14ac:dyDescent="0.3">
      <c r="B125" s="52"/>
      <c r="C125" s="43"/>
      <c r="D125" s="43"/>
      <c r="E125" s="43"/>
      <c r="F125" s="43"/>
      <c r="G125" s="49"/>
      <c r="H125" s="49"/>
      <c r="I125" s="49"/>
      <c r="J125" s="49"/>
      <c r="K125" s="49"/>
      <c r="L125" s="49"/>
      <c r="M125" s="49"/>
      <c r="N125" s="49"/>
      <c r="O125" s="49"/>
      <c r="P125" s="49"/>
      <c r="Q125" s="49"/>
      <c r="R125" s="49"/>
      <c r="S125" s="49"/>
      <c r="T125" s="49"/>
      <c r="U125" s="49"/>
      <c r="V125" s="44"/>
    </row>
    <row r="126" spans="2:22" x14ac:dyDescent="0.3">
      <c r="B126" s="52"/>
      <c r="C126" s="43"/>
      <c r="D126" s="43"/>
      <c r="E126" s="43"/>
      <c r="F126" s="43"/>
      <c r="G126" s="49"/>
      <c r="H126" s="49"/>
      <c r="I126" s="49"/>
      <c r="J126" s="49"/>
      <c r="K126" s="49"/>
      <c r="L126" s="49"/>
      <c r="M126" s="49"/>
      <c r="N126" s="49"/>
      <c r="O126" s="49"/>
      <c r="P126" s="49"/>
      <c r="Q126" s="49"/>
      <c r="R126" s="49"/>
      <c r="S126" s="49"/>
      <c r="T126" s="49"/>
      <c r="U126" s="49"/>
      <c r="V126" s="44"/>
    </row>
    <row r="127" spans="2:22" x14ac:dyDescent="0.3">
      <c r="B127" s="52"/>
      <c r="C127" s="43"/>
      <c r="D127" s="43"/>
      <c r="E127" s="43"/>
      <c r="F127" s="43"/>
      <c r="G127" s="49"/>
      <c r="H127" s="49"/>
      <c r="I127" s="49"/>
      <c r="J127" s="49"/>
      <c r="K127" s="49"/>
      <c r="L127" s="49"/>
      <c r="M127" s="49"/>
      <c r="N127" s="49"/>
      <c r="O127" s="49"/>
      <c r="P127" s="49"/>
      <c r="Q127" s="49"/>
      <c r="R127" s="49"/>
      <c r="S127" s="49"/>
      <c r="T127" s="49"/>
      <c r="U127" s="49"/>
      <c r="V127" s="44"/>
    </row>
    <row r="128" spans="2:22" x14ac:dyDescent="0.3">
      <c r="B128" s="52"/>
      <c r="C128" s="43"/>
      <c r="D128" s="43"/>
      <c r="E128" s="43"/>
      <c r="F128" s="43"/>
      <c r="G128" s="49"/>
      <c r="H128" s="49"/>
      <c r="I128" s="49"/>
      <c r="J128" s="49"/>
      <c r="K128" s="49"/>
      <c r="L128" s="49"/>
      <c r="M128" s="49"/>
      <c r="N128" s="49"/>
      <c r="O128" s="49"/>
      <c r="P128" s="49"/>
      <c r="Q128" s="49"/>
      <c r="R128" s="49"/>
      <c r="S128" s="49"/>
      <c r="T128" s="49"/>
      <c r="U128" s="49"/>
      <c r="V128" s="44"/>
    </row>
    <row r="129" spans="2:22" x14ac:dyDescent="0.3">
      <c r="B129" s="52"/>
      <c r="C129" s="43"/>
      <c r="D129" s="43"/>
      <c r="E129" s="43"/>
      <c r="F129" s="43"/>
      <c r="G129" s="49"/>
      <c r="H129" s="49"/>
      <c r="I129" s="49"/>
      <c r="J129" s="49"/>
      <c r="K129" s="49"/>
      <c r="L129" s="49"/>
      <c r="M129" s="49"/>
      <c r="N129" s="49"/>
      <c r="O129" s="49"/>
      <c r="P129" s="49"/>
      <c r="Q129" s="49"/>
      <c r="R129" s="49"/>
      <c r="S129" s="49"/>
      <c r="T129" s="49"/>
      <c r="U129" s="49"/>
      <c r="V129" s="44"/>
    </row>
    <row r="130" spans="2:22" x14ac:dyDescent="0.3">
      <c r="B130" s="52"/>
      <c r="C130" s="43"/>
      <c r="D130" s="43"/>
      <c r="E130" s="43"/>
      <c r="F130" s="43"/>
      <c r="G130" s="49"/>
      <c r="H130" s="49"/>
      <c r="I130" s="49"/>
      <c r="J130" s="49"/>
      <c r="K130" s="49"/>
      <c r="L130" s="49"/>
      <c r="M130" s="49"/>
      <c r="N130" s="49"/>
      <c r="O130" s="49"/>
      <c r="P130" s="49"/>
      <c r="Q130" s="49"/>
      <c r="R130" s="49"/>
      <c r="S130" s="49"/>
      <c r="T130" s="49"/>
      <c r="U130" s="49"/>
      <c r="V130" s="44"/>
    </row>
    <row r="131" spans="2:22" x14ac:dyDescent="0.3">
      <c r="B131" s="52"/>
      <c r="C131" s="43"/>
      <c r="D131" s="43"/>
      <c r="E131" s="43"/>
      <c r="F131" s="43"/>
      <c r="G131" s="49"/>
      <c r="H131" s="49"/>
      <c r="I131" s="49"/>
      <c r="J131" s="49"/>
      <c r="K131" s="49"/>
      <c r="L131" s="49"/>
      <c r="M131" s="49"/>
      <c r="N131" s="49"/>
      <c r="O131" s="49"/>
      <c r="P131" s="49"/>
      <c r="Q131" s="49"/>
      <c r="R131" s="49"/>
      <c r="S131" s="49"/>
      <c r="T131" s="49"/>
      <c r="U131" s="49"/>
      <c r="V131" s="44"/>
    </row>
    <row r="132" spans="2:22" x14ac:dyDescent="0.3">
      <c r="B132" s="52"/>
      <c r="C132" s="43"/>
      <c r="D132" s="43"/>
      <c r="E132" s="43"/>
      <c r="F132" s="43"/>
      <c r="G132" s="49"/>
      <c r="H132" s="49"/>
      <c r="I132" s="49"/>
      <c r="J132" s="49"/>
      <c r="K132" s="49"/>
      <c r="L132" s="49"/>
      <c r="M132" s="49"/>
      <c r="N132" s="49"/>
      <c r="O132" s="49"/>
      <c r="P132" s="49"/>
      <c r="Q132" s="49"/>
      <c r="R132" s="49"/>
      <c r="S132" s="49"/>
      <c r="T132" s="49"/>
      <c r="U132" s="49"/>
      <c r="V132" s="44"/>
    </row>
    <row r="133" spans="2:22" x14ac:dyDescent="0.3">
      <c r="B133" s="52"/>
      <c r="C133" s="43"/>
      <c r="D133" s="43"/>
      <c r="E133" s="43"/>
      <c r="F133" s="43"/>
      <c r="G133" s="49"/>
      <c r="H133" s="49"/>
      <c r="I133" s="49"/>
      <c r="J133" s="49"/>
      <c r="K133" s="49"/>
      <c r="L133" s="49"/>
      <c r="M133" s="49"/>
      <c r="N133" s="49"/>
      <c r="O133" s="49"/>
      <c r="P133" s="49"/>
      <c r="Q133" s="49"/>
      <c r="R133" s="49"/>
      <c r="S133" s="49"/>
      <c r="T133" s="49"/>
      <c r="U133" s="49"/>
      <c r="V133" s="44"/>
    </row>
    <row r="134" spans="2:22" x14ac:dyDescent="0.3">
      <c r="B134" s="52"/>
      <c r="C134" s="43"/>
      <c r="D134" s="43"/>
      <c r="E134" s="43"/>
      <c r="F134" s="43"/>
      <c r="G134" s="49"/>
      <c r="H134" s="49"/>
      <c r="I134" s="49"/>
      <c r="J134" s="49"/>
      <c r="K134" s="49"/>
      <c r="L134" s="49"/>
      <c r="M134" s="49"/>
      <c r="N134" s="49"/>
      <c r="O134" s="49"/>
      <c r="P134" s="49"/>
      <c r="Q134" s="49"/>
      <c r="R134" s="49"/>
      <c r="S134" s="49"/>
      <c r="T134" s="49"/>
      <c r="U134" s="49"/>
      <c r="V134" s="44"/>
    </row>
    <row r="135" spans="2:22" x14ac:dyDescent="0.3">
      <c r="B135" s="52"/>
      <c r="C135" s="43"/>
      <c r="D135" s="43"/>
      <c r="E135" s="43"/>
      <c r="F135" s="43"/>
      <c r="G135" s="49"/>
      <c r="H135" s="49"/>
      <c r="I135" s="49"/>
      <c r="J135" s="49"/>
      <c r="K135" s="49"/>
      <c r="L135" s="49"/>
      <c r="M135" s="49"/>
      <c r="N135" s="49"/>
      <c r="O135" s="49"/>
      <c r="P135" s="49"/>
      <c r="Q135" s="49"/>
      <c r="R135" s="49"/>
      <c r="S135" s="49"/>
      <c r="T135" s="49"/>
      <c r="U135" s="49"/>
      <c r="V135" s="44"/>
    </row>
    <row r="136" spans="2:22" x14ac:dyDescent="0.3">
      <c r="B136" s="52"/>
      <c r="C136" s="43"/>
      <c r="D136" s="43"/>
      <c r="E136" s="43"/>
      <c r="F136" s="43"/>
      <c r="G136" s="49"/>
      <c r="H136" s="49"/>
      <c r="I136" s="49"/>
      <c r="J136" s="49"/>
      <c r="K136" s="49"/>
      <c r="L136" s="49"/>
      <c r="M136" s="49"/>
      <c r="N136" s="49"/>
      <c r="O136" s="49"/>
      <c r="P136" s="49"/>
      <c r="Q136" s="49"/>
      <c r="R136" s="49"/>
      <c r="S136" s="49"/>
      <c r="T136" s="49"/>
      <c r="U136" s="49"/>
      <c r="V136" s="44"/>
    </row>
    <row r="137" spans="2:22" x14ac:dyDescent="0.3">
      <c r="B137" s="52"/>
      <c r="C137" s="43"/>
      <c r="D137" s="43"/>
      <c r="E137" s="43"/>
      <c r="F137" s="43"/>
      <c r="G137" s="49"/>
      <c r="H137" s="49"/>
      <c r="I137" s="49"/>
      <c r="J137" s="49"/>
      <c r="K137" s="49"/>
      <c r="L137" s="49"/>
      <c r="M137" s="49"/>
      <c r="N137" s="49"/>
      <c r="O137" s="49"/>
      <c r="P137" s="49"/>
      <c r="Q137" s="49"/>
      <c r="R137" s="49"/>
      <c r="S137" s="49"/>
      <c r="T137" s="49"/>
      <c r="U137" s="49"/>
      <c r="V137" s="44"/>
    </row>
    <row r="138" spans="2:22" x14ac:dyDescent="0.3">
      <c r="B138" s="52"/>
      <c r="C138" s="43"/>
      <c r="D138" s="43"/>
      <c r="E138" s="43"/>
      <c r="F138" s="43"/>
      <c r="G138" s="49"/>
      <c r="H138" s="49"/>
      <c r="I138" s="49"/>
      <c r="J138" s="49"/>
      <c r="K138" s="49"/>
      <c r="L138" s="49"/>
      <c r="M138" s="49"/>
      <c r="N138" s="49"/>
      <c r="O138" s="49"/>
      <c r="P138" s="49"/>
      <c r="Q138" s="49"/>
      <c r="R138" s="49"/>
      <c r="S138" s="49"/>
      <c r="T138" s="49"/>
      <c r="U138" s="49"/>
      <c r="V138" s="44"/>
    </row>
    <row r="139" spans="2:22" x14ac:dyDescent="0.3">
      <c r="B139" s="52"/>
      <c r="C139" s="43"/>
      <c r="D139" s="43"/>
      <c r="E139" s="43"/>
      <c r="F139" s="43"/>
      <c r="G139" s="49"/>
      <c r="H139" s="49"/>
      <c r="I139" s="49"/>
      <c r="J139" s="49"/>
      <c r="K139" s="49"/>
      <c r="L139" s="49"/>
      <c r="M139" s="49"/>
      <c r="N139" s="49"/>
      <c r="O139" s="49"/>
      <c r="P139" s="49"/>
      <c r="Q139" s="49"/>
      <c r="R139" s="49"/>
      <c r="S139" s="49"/>
      <c r="T139" s="49"/>
      <c r="U139" s="49"/>
      <c r="V139" s="44"/>
    </row>
    <row r="140" spans="2:22" x14ac:dyDescent="0.3">
      <c r="B140" s="52"/>
      <c r="C140" s="43"/>
      <c r="D140" s="43"/>
      <c r="E140" s="43"/>
      <c r="F140" s="43"/>
      <c r="G140" s="49"/>
      <c r="H140" s="49"/>
      <c r="I140" s="49"/>
      <c r="J140" s="49"/>
      <c r="K140" s="49"/>
      <c r="L140" s="49"/>
      <c r="M140" s="49"/>
      <c r="N140" s="49"/>
      <c r="O140" s="49"/>
      <c r="P140" s="49"/>
      <c r="Q140" s="49"/>
      <c r="R140" s="49"/>
      <c r="S140" s="49"/>
      <c r="T140" s="49"/>
      <c r="U140" s="49"/>
      <c r="V140" s="44"/>
    </row>
    <row r="141" spans="2:22" x14ac:dyDescent="0.3">
      <c r="B141" s="52"/>
      <c r="C141" s="43"/>
      <c r="D141" s="43"/>
      <c r="E141" s="43"/>
      <c r="F141" s="43"/>
      <c r="G141" s="49"/>
      <c r="H141" s="49"/>
      <c r="I141" s="49"/>
      <c r="J141" s="49"/>
      <c r="K141" s="49"/>
      <c r="L141" s="49"/>
      <c r="M141" s="49"/>
      <c r="N141" s="49"/>
      <c r="O141" s="49"/>
      <c r="P141" s="49"/>
      <c r="Q141" s="49"/>
      <c r="R141" s="49"/>
      <c r="S141" s="49"/>
      <c r="T141" s="49"/>
      <c r="U141" s="49"/>
      <c r="V141" s="44"/>
    </row>
    <row r="142" spans="2:22" x14ac:dyDescent="0.3">
      <c r="B142" s="52"/>
      <c r="C142" s="43"/>
      <c r="D142" s="43"/>
      <c r="E142" s="43"/>
      <c r="F142" s="43"/>
      <c r="G142" s="49"/>
      <c r="H142" s="49"/>
      <c r="I142" s="49"/>
      <c r="J142" s="49"/>
      <c r="K142" s="49"/>
      <c r="L142" s="49"/>
      <c r="M142" s="49"/>
      <c r="N142" s="49"/>
      <c r="O142" s="49"/>
      <c r="P142" s="49"/>
      <c r="Q142" s="49"/>
      <c r="R142" s="49"/>
      <c r="S142" s="49"/>
      <c r="T142" s="49"/>
      <c r="U142" s="49"/>
      <c r="V142" s="44"/>
    </row>
    <row r="143" spans="2:22" x14ac:dyDescent="0.3">
      <c r="B143" s="52"/>
      <c r="C143" s="43"/>
      <c r="D143" s="43"/>
      <c r="E143" s="43"/>
      <c r="F143" s="43"/>
      <c r="G143" s="49"/>
      <c r="H143" s="49"/>
      <c r="I143" s="49"/>
      <c r="J143" s="49"/>
      <c r="K143" s="49"/>
      <c r="L143" s="49"/>
      <c r="M143" s="49"/>
      <c r="N143" s="49"/>
      <c r="O143" s="49"/>
      <c r="P143" s="49"/>
      <c r="Q143" s="49"/>
      <c r="R143" s="49"/>
      <c r="S143" s="49"/>
      <c r="T143" s="49"/>
      <c r="U143" s="49"/>
      <c r="V143" s="44"/>
    </row>
    <row r="144" spans="2:22" x14ac:dyDescent="0.3">
      <c r="B144" s="52"/>
      <c r="C144" s="43"/>
      <c r="D144" s="43"/>
      <c r="E144" s="43"/>
      <c r="F144" s="43"/>
      <c r="G144" s="49"/>
      <c r="H144" s="49"/>
      <c r="I144" s="49"/>
      <c r="J144" s="49"/>
      <c r="K144" s="49"/>
      <c r="L144" s="49"/>
      <c r="M144" s="49"/>
      <c r="N144" s="49"/>
      <c r="O144" s="49"/>
      <c r="P144" s="49"/>
      <c r="Q144" s="49"/>
      <c r="R144" s="49"/>
      <c r="S144" s="49"/>
      <c r="T144" s="49"/>
      <c r="U144" s="49"/>
      <c r="V144" s="44"/>
    </row>
    <row r="145" spans="2:22" x14ac:dyDescent="0.3">
      <c r="B145" s="52"/>
      <c r="C145" s="43"/>
      <c r="D145" s="43"/>
      <c r="E145" s="43"/>
      <c r="F145" s="43"/>
      <c r="G145" s="49"/>
      <c r="H145" s="49"/>
      <c r="I145" s="49"/>
      <c r="J145" s="49"/>
      <c r="K145" s="49"/>
      <c r="L145" s="49"/>
      <c r="M145" s="49"/>
      <c r="N145" s="49"/>
      <c r="O145" s="49"/>
      <c r="P145" s="49"/>
      <c r="Q145" s="49"/>
      <c r="R145" s="49"/>
      <c r="S145" s="49"/>
      <c r="T145" s="49"/>
      <c r="U145" s="49"/>
      <c r="V145" s="44"/>
    </row>
    <row r="146" spans="2:22" x14ac:dyDescent="0.3">
      <c r="B146" s="52"/>
      <c r="C146" s="43"/>
      <c r="D146" s="43"/>
      <c r="E146" s="43"/>
      <c r="F146" s="43"/>
      <c r="G146" s="49"/>
      <c r="H146" s="49"/>
      <c r="I146" s="49"/>
      <c r="J146" s="49"/>
      <c r="K146" s="49"/>
      <c r="L146" s="49"/>
      <c r="M146" s="49"/>
      <c r="N146" s="49"/>
      <c r="O146" s="49"/>
      <c r="P146" s="49"/>
      <c r="Q146" s="49"/>
      <c r="R146" s="49"/>
      <c r="S146" s="49"/>
      <c r="T146" s="49"/>
      <c r="U146" s="49"/>
      <c r="V146" s="44"/>
    </row>
    <row r="147" spans="2:22" x14ac:dyDescent="0.3">
      <c r="B147" s="52"/>
      <c r="C147" s="43"/>
      <c r="D147" s="43"/>
      <c r="E147" s="43"/>
      <c r="F147" s="43"/>
      <c r="G147" s="49"/>
      <c r="H147" s="49"/>
      <c r="I147" s="49"/>
      <c r="J147" s="49"/>
      <c r="K147" s="49"/>
      <c r="L147" s="49"/>
      <c r="M147" s="49"/>
      <c r="N147" s="49"/>
      <c r="O147" s="49"/>
      <c r="P147" s="49"/>
      <c r="Q147" s="49"/>
      <c r="R147" s="49"/>
      <c r="S147" s="49"/>
      <c r="T147" s="49"/>
      <c r="U147" s="49"/>
      <c r="V147" s="44"/>
    </row>
    <row r="148" spans="2:22" x14ac:dyDescent="0.3">
      <c r="B148" s="52"/>
      <c r="C148" s="43"/>
      <c r="D148" s="43"/>
      <c r="E148" s="43"/>
      <c r="F148" s="43"/>
      <c r="G148" s="49"/>
      <c r="H148" s="49"/>
      <c r="I148" s="49"/>
      <c r="J148" s="49"/>
      <c r="K148" s="49"/>
      <c r="L148" s="49"/>
      <c r="M148" s="49"/>
      <c r="N148" s="49"/>
      <c r="O148" s="49"/>
      <c r="P148" s="49"/>
      <c r="Q148" s="49"/>
      <c r="R148" s="49"/>
      <c r="S148" s="49"/>
      <c r="T148" s="49"/>
      <c r="U148" s="49"/>
      <c r="V148" s="44"/>
    </row>
    <row r="149" spans="2:22" x14ac:dyDescent="0.3">
      <c r="B149" s="52"/>
      <c r="C149" s="43"/>
      <c r="D149" s="43"/>
      <c r="E149" s="43"/>
      <c r="F149" s="43"/>
      <c r="G149" s="49"/>
      <c r="H149" s="49"/>
      <c r="I149" s="49"/>
      <c r="J149" s="49"/>
      <c r="K149" s="49"/>
      <c r="L149" s="49"/>
      <c r="M149" s="49"/>
      <c r="N149" s="49"/>
      <c r="O149" s="49"/>
      <c r="P149" s="49"/>
      <c r="Q149" s="49"/>
      <c r="R149" s="49"/>
      <c r="S149" s="49"/>
      <c r="T149" s="49"/>
      <c r="U149" s="49"/>
      <c r="V149" s="44"/>
    </row>
    <row r="150" spans="2:22" x14ac:dyDescent="0.3">
      <c r="B150" s="52"/>
      <c r="C150" s="43"/>
      <c r="D150" s="43"/>
      <c r="E150" s="43"/>
      <c r="F150" s="43"/>
      <c r="G150" s="49"/>
      <c r="H150" s="49"/>
      <c r="I150" s="49"/>
      <c r="J150" s="49"/>
      <c r="K150" s="49"/>
      <c r="L150" s="49"/>
      <c r="M150" s="49"/>
      <c r="N150" s="49"/>
      <c r="O150" s="49"/>
      <c r="P150" s="49"/>
      <c r="Q150" s="49"/>
      <c r="R150" s="49"/>
      <c r="S150" s="49"/>
      <c r="T150" s="49"/>
      <c r="U150" s="49"/>
      <c r="V150" s="44"/>
    </row>
    <row r="151" spans="2:22" x14ac:dyDescent="0.3">
      <c r="B151" s="52"/>
      <c r="C151" s="43"/>
      <c r="D151" s="43"/>
      <c r="E151" s="43"/>
      <c r="F151" s="43"/>
      <c r="G151" s="49"/>
      <c r="H151" s="49"/>
      <c r="I151" s="49"/>
      <c r="J151" s="49"/>
      <c r="K151" s="49"/>
      <c r="L151" s="49"/>
      <c r="M151" s="49"/>
      <c r="N151" s="49"/>
      <c r="O151" s="49"/>
      <c r="P151" s="49"/>
      <c r="Q151" s="49"/>
      <c r="R151" s="49"/>
      <c r="S151" s="49"/>
      <c r="T151" s="49"/>
      <c r="U151" s="49"/>
      <c r="V151" s="44"/>
    </row>
    <row r="152" spans="2:22" x14ac:dyDescent="0.3">
      <c r="B152" s="52"/>
      <c r="C152" s="43"/>
      <c r="D152" s="43"/>
      <c r="E152" s="43"/>
      <c r="F152" s="43"/>
      <c r="G152" s="49"/>
      <c r="H152" s="49"/>
      <c r="I152" s="49"/>
      <c r="J152" s="49"/>
      <c r="K152" s="49"/>
      <c r="L152" s="49"/>
      <c r="M152" s="49"/>
      <c r="N152" s="49"/>
      <c r="O152" s="49"/>
      <c r="P152" s="49"/>
      <c r="Q152" s="49"/>
      <c r="R152" s="49"/>
      <c r="S152" s="49"/>
      <c r="T152" s="49"/>
      <c r="U152" s="49"/>
      <c r="V152" s="44"/>
    </row>
    <row r="153" spans="2:22" x14ac:dyDescent="0.3">
      <c r="B153" s="52"/>
      <c r="C153" s="43"/>
      <c r="D153" s="43"/>
      <c r="E153" s="43"/>
      <c r="F153" s="43"/>
      <c r="G153" s="49"/>
      <c r="H153" s="49"/>
      <c r="I153" s="49"/>
      <c r="J153" s="49"/>
      <c r="K153" s="49"/>
      <c r="L153" s="49"/>
      <c r="M153" s="49"/>
      <c r="N153" s="49"/>
      <c r="O153" s="49"/>
      <c r="P153" s="49"/>
      <c r="Q153" s="49"/>
      <c r="R153" s="49"/>
      <c r="S153" s="49"/>
      <c r="T153" s="49"/>
      <c r="U153" s="49"/>
      <c r="V153" s="44"/>
    </row>
    <row r="154" spans="2:22" x14ac:dyDescent="0.3">
      <c r="B154" s="52"/>
      <c r="C154" s="43"/>
      <c r="D154" s="43"/>
      <c r="E154" s="43"/>
      <c r="F154" s="43"/>
      <c r="G154" s="49"/>
      <c r="H154" s="49"/>
      <c r="I154" s="49"/>
      <c r="J154" s="49"/>
      <c r="K154" s="49"/>
      <c r="L154" s="49"/>
      <c r="M154" s="49"/>
      <c r="N154" s="49"/>
      <c r="O154" s="49"/>
      <c r="P154" s="49"/>
      <c r="Q154" s="49"/>
      <c r="R154" s="49"/>
      <c r="S154" s="49"/>
      <c r="T154" s="49"/>
      <c r="U154" s="49"/>
      <c r="V154" s="44"/>
    </row>
    <row r="155" spans="2:22" x14ac:dyDescent="0.3">
      <c r="B155" s="52"/>
      <c r="C155" s="43"/>
      <c r="D155" s="43"/>
      <c r="E155" s="43"/>
      <c r="F155" s="43"/>
      <c r="G155" s="49"/>
      <c r="H155" s="49"/>
      <c r="I155" s="49"/>
      <c r="J155" s="49"/>
      <c r="K155" s="49"/>
      <c r="L155" s="49"/>
      <c r="M155" s="49"/>
      <c r="N155" s="49"/>
      <c r="O155" s="49"/>
      <c r="P155" s="49"/>
      <c r="Q155" s="49"/>
      <c r="R155" s="49"/>
      <c r="S155" s="49"/>
      <c r="T155" s="49"/>
      <c r="U155" s="49"/>
      <c r="V155" s="44"/>
    </row>
    <row r="156" spans="2:22" x14ac:dyDescent="0.3">
      <c r="B156" s="52"/>
      <c r="C156" s="43"/>
      <c r="D156" s="43"/>
      <c r="E156" s="43"/>
      <c r="F156" s="43"/>
      <c r="G156" s="49"/>
      <c r="H156" s="49"/>
      <c r="I156" s="49"/>
      <c r="J156" s="49"/>
      <c r="K156" s="49"/>
      <c r="L156" s="49"/>
      <c r="M156" s="49"/>
      <c r="N156" s="49"/>
      <c r="O156" s="49"/>
      <c r="P156" s="49"/>
      <c r="Q156" s="49"/>
      <c r="R156" s="49"/>
      <c r="S156" s="49"/>
      <c r="T156" s="49"/>
      <c r="U156" s="49"/>
      <c r="V156" s="44"/>
    </row>
    <row r="157" spans="2:22" x14ac:dyDescent="0.3">
      <c r="B157" s="52"/>
      <c r="C157" s="43"/>
      <c r="D157" s="43"/>
      <c r="E157" s="43"/>
      <c r="F157" s="43"/>
      <c r="G157" s="49"/>
      <c r="H157" s="49"/>
      <c r="I157" s="49"/>
      <c r="J157" s="49"/>
      <c r="K157" s="49"/>
      <c r="L157" s="49"/>
      <c r="M157" s="49"/>
      <c r="N157" s="49"/>
      <c r="O157" s="49"/>
      <c r="P157" s="49"/>
      <c r="Q157" s="49"/>
      <c r="R157" s="49"/>
      <c r="S157" s="49"/>
      <c r="T157" s="49"/>
      <c r="U157" s="49"/>
      <c r="V157" s="44"/>
    </row>
    <row r="158" spans="2:22" x14ac:dyDescent="0.3">
      <c r="B158" s="52"/>
      <c r="C158" s="43"/>
      <c r="D158" s="43"/>
      <c r="E158" s="43"/>
      <c r="F158" s="43"/>
      <c r="G158" s="49"/>
      <c r="H158" s="49"/>
      <c r="I158" s="49"/>
      <c r="J158" s="49"/>
      <c r="K158" s="49"/>
      <c r="L158" s="49"/>
      <c r="M158" s="49"/>
      <c r="N158" s="49"/>
      <c r="O158" s="49"/>
      <c r="P158" s="49"/>
      <c r="Q158" s="49"/>
      <c r="R158" s="49"/>
      <c r="S158" s="49"/>
      <c r="T158" s="49"/>
      <c r="U158" s="49"/>
      <c r="V158" s="44"/>
    </row>
    <row r="159" spans="2:22" x14ac:dyDescent="0.3">
      <c r="B159" s="52"/>
      <c r="C159" s="43"/>
      <c r="D159" s="43"/>
      <c r="E159" s="43"/>
      <c r="F159" s="43"/>
      <c r="G159" s="49"/>
      <c r="H159" s="49"/>
      <c r="I159" s="49"/>
      <c r="J159" s="49"/>
      <c r="K159" s="49"/>
      <c r="L159" s="49"/>
      <c r="M159" s="49"/>
      <c r="N159" s="49"/>
      <c r="O159" s="49"/>
      <c r="P159" s="49"/>
      <c r="Q159" s="49"/>
      <c r="R159" s="49"/>
      <c r="S159" s="49"/>
      <c r="T159" s="49"/>
      <c r="U159" s="49"/>
      <c r="V159" s="44"/>
    </row>
    <row r="160" spans="2:22" x14ac:dyDescent="0.3">
      <c r="B160" s="52"/>
      <c r="C160" s="43"/>
      <c r="D160" s="43"/>
      <c r="E160" s="43"/>
      <c r="F160" s="43"/>
      <c r="G160" s="49"/>
      <c r="H160" s="49"/>
      <c r="I160" s="49"/>
      <c r="J160" s="49"/>
      <c r="K160" s="49"/>
      <c r="L160" s="49"/>
      <c r="M160" s="49"/>
      <c r="N160" s="49"/>
      <c r="O160" s="49"/>
      <c r="P160" s="49"/>
      <c r="Q160" s="49"/>
      <c r="R160" s="49"/>
      <c r="S160" s="49"/>
      <c r="T160" s="49"/>
      <c r="U160" s="49"/>
      <c r="V160" s="44"/>
    </row>
    <row r="161" spans="2:22" x14ac:dyDescent="0.3">
      <c r="B161" s="52"/>
      <c r="C161" s="43"/>
      <c r="D161" s="43"/>
      <c r="E161" s="43"/>
      <c r="F161" s="43"/>
      <c r="G161" s="49"/>
      <c r="H161" s="49"/>
      <c r="I161" s="49"/>
      <c r="J161" s="49"/>
      <c r="K161" s="49"/>
      <c r="L161" s="49"/>
      <c r="M161" s="49"/>
      <c r="N161" s="49"/>
      <c r="O161" s="49"/>
      <c r="P161" s="49"/>
      <c r="Q161" s="49"/>
      <c r="R161" s="49"/>
      <c r="S161" s="49"/>
      <c r="T161" s="49"/>
      <c r="U161" s="49"/>
      <c r="V161" s="44"/>
    </row>
    <row r="162" spans="2:22" x14ac:dyDescent="0.3">
      <c r="B162" s="52"/>
      <c r="C162" s="43"/>
      <c r="D162" s="43"/>
      <c r="E162" s="43"/>
      <c r="F162" s="43"/>
      <c r="G162" s="49"/>
      <c r="H162" s="49"/>
      <c r="I162" s="49"/>
      <c r="J162" s="49"/>
      <c r="K162" s="49"/>
      <c r="L162" s="49"/>
      <c r="M162" s="49"/>
      <c r="N162" s="49"/>
      <c r="O162" s="49"/>
      <c r="P162" s="49"/>
      <c r="Q162" s="49"/>
      <c r="R162" s="49"/>
      <c r="S162" s="49"/>
      <c r="T162" s="49"/>
      <c r="U162" s="49"/>
      <c r="V162" s="44"/>
    </row>
    <row r="163" spans="2:22" x14ac:dyDescent="0.3">
      <c r="B163" s="52"/>
      <c r="C163" s="43"/>
      <c r="D163" s="43"/>
      <c r="E163" s="43"/>
      <c r="F163" s="43"/>
      <c r="G163" s="49"/>
      <c r="H163" s="49"/>
      <c r="I163" s="49"/>
      <c r="J163" s="49"/>
      <c r="K163" s="49"/>
      <c r="L163" s="49"/>
      <c r="M163" s="49"/>
      <c r="N163" s="49"/>
      <c r="O163" s="49"/>
      <c r="P163" s="49"/>
      <c r="Q163" s="49"/>
      <c r="R163" s="49"/>
      <c r="S163" s="49"/>
      <c r="T163" s="49"/>
      <c r="U163" s="49"/>
      <c r="V163" s="44"/>
    </row>
    <row r="164" spans="2:22" x14ac:dyDescent="0.3">
      <c r="B164" s="52"/>
      <c r="C164" s="43"/>
      <c r="D164" s="43"/>
      <c r="E164" s="43"/>
      <c r="F164" s="43"/>
      <c r="G164" s="49"/>
      <c r="H164" s="49"/>
      <c r="I164" s="49"/>
      <c r="J164" s="49"/>
      <c r="K164" s="49"/>
      <c r="L164" s="49"/>
      <c r="M164" s="49"/>
      <c r="N164" s="49"/>
      <c r="O164" s="49"/>
      <c r="P164" s="49"/>
      <c r="Q164" s="49"/>
      <c r="R164" s="49"/>
      <c r="S164" s="49"/>
      <c r="T164" s="49"/>
      <c r="U164" s="49"/>
      <c r="V164" s="44"/>
    </row>
    <row r="165" spans="2:22" x14ac:dyDescent="0.3">
      <c r="B165" s="52"/>
      <c r="C165" s="43"/>
      <c r="D165" s="43"/>
      <c r="E165" s="43"/>
      <c r="F165" s="43"/>
      <c r="G165" s="49"/>
      <c r="H165" s="49"/>
      <c r="I165" s="49"/>
      <c r="J165" s="49"/>
      <c r="K165" s="49"/>
      <c r="L165" s="49"/>
      <c r="M165" s="49"/>
      <c r="N165" s="49"/>
      <c r="O165" s="49"/>
      <c r="P165" s="49"/>
      <c r="Q165" s="49"/>
      <c r="R165" s="49"/>
      <c r="S165" s="49"/>
      <c r="T165" s="49"/>
      <c r="U165" s="49"/>
      <c r="V165" s="44"/>
    </row>
    <row r="166" spans="2:22" x14ac:dyDescent="0.3">
      <c r="B166" s="52"/>
      <c r="C166" s="43"/>
      <c r="D166" s="43"/>
      <c r="E166" s="43"/>
      <c r="F166" s="43"/>
      <c r="G166" s="49"/>
      <c r="H166" s="49"/>
      <c r="I166" s="49"/>
      <c r="J166" s="49"/>
      <c r="K166" s="49"/>
      <c r="L166" s="49"/>
      <c r="M166" s="49"/>
      <c r="N166" s="49"/>
      <c r="O166" s="49"/>
      <c r="P166" s="49"/>
      <c r="Q166" s="49"/>
      <c r="R166" s="49"/>
      <c r="S166" s="49"/>
      <c r="T166" s="49"/>
      <c r="U166" s="49"/>
      <c r="V166" s="44"/>
    </row>
    <row r="167" spans="2:22" x14ac:dyDescent="0.3">
      <c r="B167" s="52"/>
      <c r="C167" s="43"/>
      <c r="D167" s="43"/>
      <c r="E167" s="43"/>
      <c r="F167" s="43"/>
      <c r="G167" s="49"/>
      <c r="H167" s="49"/>
      <c r="I167" s="49"/>
      <c r="J167" s="49"/>
      <c r="K167" s="49"/>
      <c r="L167" s="49"/>
      <c r="M167" s="49"/>
      <c r="N167" s="49"/>
      <c r="O167" s="49"/>
      <c r="P167" s="49"/>
      <c r="Q167" s="49"/>
      <c r="R167" s="49"/>
      <c r="S167" s="49"/>
      <c r="T167" s="49"/>
      <c r="U167" s="49"/>
      <c r="V167" s="44"/>
    </row>
    <row r="168" spans="2:22" x14ac:dyDescent="0.3">
      <c r="B168" s="52"/>
      <c r="C168" s="43"/>
      <c r="D168" s="43"/>
      <c r="E168" s="43"/>
      <c r="F168" s="43"/>
      <c r="G168" s="49"/>
      <c r="H168" s="49"/>
      <c r="I168" s="49"/>
      <c r="J168" s="49"/>
      <c r="K168" s="49"/>
      <c r="L168" s="49"/>
      <c r="M168" s="49"/>
      <c r="N168" s="49"/>
      <c r="O168" s="49"/>
      <c r="P168" s="49"/>
      <c r="Q168" s="49"/>
      <c r="R168" s="49"/>
      <c r="S168" s="49"/>
      <c r="T168" s="49"/>
      <c r="U168" s="49"/>
      <c r="V168" s="44"/>
    </row>
    <row r="169" spans="2:22" x14ac:dyDescent="0.3">
      <c r="B169" s="52"/>
      <c r="C169" s="43"/>
      <c r="D169" s="43"/>
      <c r="E169" s="43"/>
      <c r="F169" s="43"/>
      <c r="G169" s="49"/>
      <c r="H169" s="49"/>
      <c r="I169" s="49"/>
      <c r="J169" s="49"/>
      <c r="K169" s="49"/>
      <c r="L169" s="49"/>
      <c r="M169" s="49"/>
      <c r="N169" s="49"/>
      <c r="O169" s="49"/>
      <c r="P169" s="49"/>
      <c r="Q169" s="49"/>
      <c r="R169" s="49"/>
      <c r="S169" s="49"/>
      <c r="T169" s="49"/>
      <c r="U169" s="49"/>
      <c r="V169" s="44"/>
    </row>
    <row r="170" spans="2:22" x14ac:dyDescent="0.3">
      <c r="B170" s="52"/>
      <c r="C170" s="43"/>
      <c r="D170" s="43"/>
      <c r="E170" s="43"/>
      <c r="F170" s="43"/>
      <c r="G170" s="49"/>
      <c r="H170" s="49"/>
      <c r="I170" s="49"/>
      <c r="J170" s="49"/>
      <c r="K170" s="49"/>
      <c r="L170" s="49"/>
      <c r="M170" s="49"/>
      <c r="N170" s="49"/>
      <c r="O170" s="49"/>
      <c r="P170" s="49"/>
      <c r="Q170" s="49"/>
      <c r="R170" s="49"/>
      <c r="S170" s="49"/>
      <c r="T170" s="49"/>
      <c r="U170" s="49"/>
      <c r="V170" s="44"/>
    </row>
    <row r="171" spans="2:22" x14ac:dyDescent="0.3">
      <c r="B171" s="52"/>
      <c r="C171" s="43"/>
      <c r="D171" s="43"/>
      <c r="E171" s="43"/>
      <c r="F171" s="43"/>
      <c r="G171" s="49"/>
      <c r="H171" s="49"/>
      <c r="I171" s="49"/>
      <c r="J171" s="49"/>
      <c r="K171" s="49"/>
      <c r="L171" s="49"/>
      <c r="M171" s="49"/>
      <c r="N171" s="49"/>
      <c r="O171" s="49"/>
      <c r="P171" s="49"/>
      <c r="Q171" s="49"/>
      <c r="R171" s="49"/>
      <c r="S171" s="49"/>
      <c r="T171" s="49"/>
      <c r="U171" s="49"/>
      <c r="V171" s="44"/>
    </row>
    <row r="172" spans="2:22" x14ac:dyDescent="0.3">
      <c r="B172" s="52"/>
      <c r="C172" s="43"/>
      <c r="D172" s="43"/>
      <c r="E172" s="43"/>
      <c r="F172" s="43"/>
      <c r="G172" s="49"/>
      <c r="H172" s="49"/>
      <c r="I172" s="49"/>
      <c r="J172" s="49"/>
      <c r="K172" s="49"/>
      <c r="L172" s="49"/>
      <c r="M172" s="49"/>
      <c r="N172" s="49"/>
      <c r="O172" s="49"/>
      <c r="P172" s="49"/>
      <c r="Q172" s="49"/>
      <c r="R172" s="49"/>
      <c r="S172" s="49"/>
      <c r="T172" s="49"/>
      <c r="U172" s="49"/>
      <c r="V172" s="44"/>
    </row>
    <row r="173" spans="2:22" x14ac:dyDescent="0.3">
      <c r="B173" s="52"/>
      <c r="C173" s="43"/>
      <c r="D173" s="43"/>
      <c r="E173" s="43"/>
      <c r="F173" s="43"/>
      <c r="G173" s="49"/>
      <c r="H173" s="49"/>
      <c r="I173" s="49"/>
      <c r="J173" s="49"/>
      <c r="K173" s="49"/>
      <c r="L173" s="49"/>
      <c r="M173" s="49"/>
      <c r="N173" s="49"/>
      <c r="O173" s="49"/>
      <c r="P173" s="49"/>
      <c r="Q173" s="49"/>
      <c r="R173" s="49"/>
      <c r="S173" s="49"/>
      <c r="T173" s="49"/>
      <c r="U173" s="49"/>
      <c r="V173" s="44"/>
    </row>
    <row r="174" spans="2:22" x14ac:dyDescent="0.3">
      <c r="B174" s="52"/>
      <c r="C174" s="43"/>
      <c r="D174" s="43"/>
      <c r="E174" s="43"/>
      <c r="F174" s="43"/>
      <c r="G174" s="49"/>
      <c r="H174" s="49"/>
      <c r="I174" s="49"/>
      <c r="J174" s="49"/>
      <c r="K174" s="49"/>
      <c r="L174" s="49"/>
      <c r="M174" s="49"/>
      <c r="N174" s="49"/>
      <c r="O174" s="49"/>
      <c r="P174" s="49"/>
      <c r="Q174" s="49"/>
      <c r="R174" s="49"/>
      <c r="S174" s="49"/>
      <c r="T174" s="49"/>
      <c r="U174" s="49"/>
      <c r="V174" s="44"/>
    </row>
    <row r="175" spans="2:22" x14ac:dyDescent="0.3">
      <c r="B175" s="52"/>
      <c r="C175" s="43"/>
      <c r="D175" s="43"/>
      <c r="E175" s="43"/>
      <c r="F175" s="43"/>
      <c r="G175" s="49"/>
      <c r="H175" s="49"/>
      <c r="I175" s="49"/>
      <c r="J175" s="49"/>
      <c r="K175" s="49"/>
      <c r="L175" s="49"/>
      <c r="M175" s="49"/>
      <c r="N175" s="49"/>
      <c r="O175" s="49"/>
      <c r="P175" s="49"/>
      <c r="Q175" s="49"/>
      <c r="R175" s="49"/>
      <c r="S175" s="49"/>
      <c r="T175" s="49"/>
      <c r="U175" s="49"/>
      <c r="V175" s="44"/>
    </row>
    <row r="176" spans="2:22" x14ac:dyDescent="0.3">
      <c r="B176" s="52"/>
      <c r="C176" s="43"/>
      <c r="D176" s="43"/>
      <c r="E176" s="43"/>
      <c r="F176" s="43"/>
      <c r="G176" s="49"/>
      <c r="H176" s="49"/>
      <c r="I176" s="49"/>
      <c r="J176" s="49"/>
      <c r="K176" s="49"/>
      <c r="L176" s="49"/>
      <c r="M176" s="49"/>
      <c r="N176" s="49"/>
      <c r="O176" s="49"/>
      <c r="P176" s="49"/>
      <c r="Q176" s="49"/>
      <c r="R176" s="49"/>
      <c r="S176" s="49"/>
      <c r="T176" s="49"/>
      <c r="U176" s="49"/>
      <c r="V176" s="44"/>
    </row>
    <row r="177" spans="2:22" x14ac:dyDescent="0.3">
      <c r="B177" s="52"/>
      <c r="C177" s="43"/>
      <c r="D177" s="43"/>
      <c r="E177" s="43"/>
      <c r="F177" s="43"/>
      <c r="G177" s="49"/>
      <c r="H177" s="49"/>
      <c r="I177" s="49"/>
      <c r="J177" s="49"/>
      <c r="K177" s="49"/>
      <c r="L177" s="49"/>
      <c r="M177" s="49"/>
      <c r="N177" s="49"/>
      <c r="O177" s="49"/>
      <c r="P177" s="49"/>
      <c r="Q177" s="49"/>
      <c r="R177" s="49"/>
      <c r="S177" s="49"/>
      <c r="T177" s="49"/>
      <c r="U177" s="49"/>
      <c r="V177" s="44"/>
    </row>
    <row r="178" spans="2:22" x14ac:dyDescent="0.3">
      <c r="B178" s="52"/>
      <c r="C178" s="43"/>
      <c r="D178" s="43"/>
      <c r="E178" s="43"/>
      <c r="F178" s="43"/>
      <c r="G178" s="49"/>
      <c r="H178" s="49"/>
      <c r="I178" s="49"/>
      <c r="J178" s="49"/>
      <c r="K178" s="49"/>
      <c r="L178" s="49"/>
      <c r="M178" s="49"/>
      <c r="N178" s="49"/>
      <c r="O178" s="49"/>
      <c r="P178" s="49"/>
      <c r="Q178" s="49"/>
      <c r="R178" s="49"/>
      <c r="S178" s="49"/>
      <c r="T178" s="49"/>
      <c r="U178" s="49"/>
      <c r="V178" s="44"/>
    </row>
    <row r="179" spans="2:22" x14ac:dyDescent="0.3">
      <c r="B179" s="52"/>
      <c r="C179" s="43"/>
      <c r="D179" s="43"/>
      <c r="E179" s="43"/>
      <c r="F179" s="43"/>
      <c r="G179" s="49"/>
      <c r="H179" s="49"/>
      <c r="I179" s="49"/>
      <c r="J179" s="49"/>
      <c r="K179" s="49"/>
      <c r="L179" s="49"/>
      <c r="M179" s="49"/>
      <c r="N179" s="49"/>
      <c r="O179" s="49"/>
      <c r="P179" s="49"/>
      <c r="Q179" s="49"/>
      <c r="R179" s="49"/>
      <c r="S179" s="49"/>
      <c r="T179" s="49"/>
      <c r="U179" s="49"/>
      <c r="V179" s="44"/>
    </row>
    <row r="180" spans="2:22" x14ac:dyDescent="0.3">
      <c r="B180" s="52"/>
      <c r="C180" s="43"/>
      <c r="D180" s="43"/>
      <c r="E180" s="43"/>
      <c r="F180" s="43"/>
      <c r="G180" s="49"/>
      <c r="H180" s="49"/>
      <c r="I180" s="49"/>
      <c r="J180" s="49"/>
      <c r="K180" s="49"/>
      <c r="L180" s="49"/>
      <c r="M180" s="49"/>
      <c r="N180" s="49"/>
      <c r="O180" s="49"/>
      <c r="P180" s="49"/>
      <c r="Q180" s="49"/>
      <c r="R180" s="49"/>
      <c r="S180" s="49"/>
      <c r="T180" s="49"/>
      <c r="U180" s="49"/>
      <c r="V180" s="44"/>
    </row>
    <row r="181" spans="2:22" x14ac:dyDescent="0.3">
      <c r="B181" s="52"/>
      <c r="C181" s="43"/>
      <c r="D181" s="43"/>
      <c r="E181" s="43"/>
      <c r="F181" s="43"/>
      <c r="G181" s="49"/>
      <c r="H181" s="49"/>
      <c r="I181" s="49"/>
      <c r="J181" s="49"/>
      <c r="K181" s="49"/>
      <c r="L181" s="49"/>
      <c r="M181" s="49"/>
      <c r="N181" s="49"/>
      <c r="O181" s="49"/>
      <c r="P181" s="49"/>
      <c r="Q181" s="49"/>
      <c r="R181" s="49"/>
      <c r="S181" s="49"/>
      <c r="T181" s="49"/>
      <c r="U181" s="49"/>
      <c r="V181" s="44"/>
    </row>
    <row r="182" spans="2:22" x14ac:dyDescent="0.3">
      <c r="B182" s="52"/>
      <c r="C182" s="43"/>
      <c r="D182" s="43"/>
      <c r="E182" s="43"/>
      <c r="F182" s="43"/>
      <c r="G182" s="49"/>
      <c r="H182" s="49"/>
      <c r="I182" s="49"/>
      <c r="J182" s="49"/>
      <c r="K182" s="49"/>
      <c r="L182" s="49"/>
      <c r="M182" s="49"/>
      <c r="N182" s="49"/>
      <c r="O182" s="49"/>
      <c r="P182" s="49"/>
      <c r="Q182" s="49"/>
      <c r="R182" s="49"/>
      <c r="S182" s="49"/>
      <c r="T182" s="49"/>
      <c r="U182" s="49"/>
      <c r="V182" s="44"/>
    </row>
    <row r="183" spans="2:22" x14ac:dyDescent="0.3">
      <c r="B183" s="52"/>
      <c r="C183" s="43"/>
      <c r="D183" s="43"/>
      <c r="E183" s="43"/>
      <c r="F183" s="43"/>
      <c r="G183" s="49"/>
      <c r="H183" s="49"/>
      <c r="I183" s="49"/>
      <c r="J183" s="49"/>
      <c r="K183" s="49"/>
      <c r="L183" s="49"/>
      <c r="M183" s="49"/>
      <c r="N183" s="49"/>
      <c r="O183" s="49"/>
      <c r="P183" s="49"/>
      <c r="Q183" s="49"/>
      <c r="R183" s="49"/>
      <c r="S183" s="49"/>
      <c r="T183" s="49"/>
      <c r="U183" s="49"/>
      <c r="V183" s="44"/>
    </row>
    <row r="184" spans="2:22" x14ac:dyDescent="0.3">
      <c r="B184" s="52"/>
      <c r="C184" s="43"/>
      <c r="D184" s="43"/>
      <c r="E184" s="43"/>
      <c r="F184" s="43"/>
      <c r="G184" s="49"/>
      <c r="H184" s="49"/>
      <c r="I184" s="49"/>
      <c r="J184" s="49"/>
      <c r="K184" s="49"/>
      <c r="L184" s="49"/>
      <c r="M184" s="49"/>
      <c r="N184" s="49"/>
      <c r="O184" s="49"/>
      <c r="P184" s="49"/>
      <c r="Q184" s="49"/>
      <c r="R184" s="49"/>
      <c r="S184" s="49"/>
      <c r="T184" s="49"/>
      <c r="U184" s="49"/>
      <c r="V184" s="44"/>
    </row>
    <row r="185" spans="2:22" x14ac:dyDescent="0.3">
      <c r="B185" s="52"/>
      <c r="C185" s="43"/>
      <c r="D185" s="43"/>
      <c r="E185" s="43"/>
      <c r="F185" s="43"/>
      <c r="G185" s="49"/>
      <c r="H185" s="49"/>
      <c r="I185" s="49"/>
      <c r="J185" s="49"/>
      <c r="K185" s="49"/>
      <c r="L185" s="49"/>
      <c r="M185" s="49"/>
      <c r="N185" s="49"/>
      <c r="O185" s="49"/>
      <c r="P185" s="49"/>
      <c r="Q185" s="49"/>
      <c r="R185" s="49"/>
      <c r="S185" s="49"/>
      <c r="T185" s="49"/>
      <c r="U185" s="49"/>
      <c r="V185" s="44"/>
    </row>
    <row r="186" spans="2:22" x14ac:dyDescent="0.3">
      <c r="B186" s="52"/>
      <c r="C186" s="43"/>
      <c r="D186" s="43"/>
      <c r="E186" s="43"/>
      <c r="F186" s="43"/>
      <c r="G186" s="49"/>
      <c r="H186" s="49"/>
      <c r="I186" s="49"/>
      <c r="J186" s="49"/>
      <c r="K186" s="49"/>
      <c r="L186" s="49"/>
      <c r="M186" s="49"/>
      <c r="N186" s="49"/>
      <c r="O186" s="49"/>
      <c r="P186" s="49"/>
      <c r="Q186" s="49"/>
      <c r="R186" s="49"/>
      <c r="S186" s="49"/>
      <c r="T186" s="49"/>
      <c r="U186" s="49"/>
      <c r="V186" s="44"/>
    </row>
    <row r="187" spans="2:22" x14ac:dyDescent="0.3">
      <c r="B187" s="52"/>
      <c r="C187" s="43"/>
      <c r="D187" s="43"/>
      <c r="E187" s="43"/>
      <c r="F187" s="43"/>
      <c r="G187" s="49"/>
      <c r="H187" s="49"/>
      <c r="I187" s="49"/>
      <c r="J187" s="49"/>
      <c r="K187" s="49"/>
      <c r="L187" s="49"/>
      <c r="M187" s="49"/>
      <c r="N187" s="49"/>
      <c r="O187" s="49"/>
      <c r="P187" s="49"/>
      <c r="Q187" s="49"/>
      <c r="R187" s="49"/>
      <c r="S187" s="49"/>
      <c r="T187" s="49"/>
      <c r="U187" s="49"/>
      <c r="V187" s="44"/>
    </row>
    <row r="188" spans="2:22" x14ac:dyDescent="0.3">
      <c r="B188" s="52"/>
      <c r="C188" s="43"/>
      <c r="D188" s="43"/>
      <c r="E188" s="43"/>
      <c r="F188" s="43"/>
      <c r="G188" s="49"/>
      <c r="H188" s="49"/>
      <c r="I188" s="49"/>
      <c r="J188" s="49"/>
      <c r="K188" s="49"/>
      <c r="L188" s="49"/>
      <c r="M188" s="49"/>
      <c r="N188" s="49"/>
      <c r="O188" s="49"/>
      <c r="P188" s="49"/>
      <c r="Q188" s="49"/>
      <c r="R188" s="49"/>
      <c r="S188" s="49"/>
      <c r="T188" s="49"/>
      <c r="U188" s="49"/>
      <c r="V188" s="44"/>
    </row>
    <row r="189" spans="2:22" x14ac:dyDescent="0.3">
      <c r="B189" s="52"/>
      <c r="C189" s="43"/>
      <c r="D189" s="43"/>
      <c r="E189" s="43"/>
      <c r="F189" s="43"/>
      <c r="G189" s="49"/>
      <c r="H189" s="49"/>
      <c r="I189" s="49"/>
      <c r="J189" s="49"/>
      <c r="K189" s="49"/>
      <c r="L189" s="49"/>
      <c r="M189" s="49"/>
      <c r="N189" s="49"/>
      <c r="O189" s="49"/>
      <c r="P189" s="49"/>
      <c r="Q189" s="49"/>
      <c r="R189" s="49"/>
      <c r="S189" s="49"/>
      <c r="T189" s="49"/>
      <c r="U189" s="49"/>
      <c r="V189" s="44"/>
    </row>
    <row r="190" spans="2:22" x14ac:dyDescent="0.3">
      <c r="B190" s="52"/>
      <c r="C190" s="43"/>
      <c r="D190" s="43"/>
      <c r="E190" s="43"/>
      <c r="F190" s="43"/>
      <c r="G190" s="49"/>
      <c r="H190" s="49"/>
      <c r="I190" s="49"/>
      <c r="J190" s="49"/>
      <c r="K190" s="49"/>
      <c r="L190" s="49"/>
      <c r="M190" s="49"/>
      <c r="N190" s="49"/>
      <c r="O190" s="49"/>
      <c r="P190" s="49"/>
      <c r="Q190" s="49"/>
      <c r="R190" s="49"/>
      <c r="S190" s="49"/>
      <c r="T190" s="49"/>
      <c r="U190" s="49"/>
      <c r="V190" s="44"/>
    </row>
    <row r="191" spans="2:22" x14ac:dyDescent="0.3">
      <c r="B191" s="52"/>
      <c r="C191" s="43"/>
      <c r="D191" s="43"/>
      <c r="E191" s="43"/>
      <c r="F191" s="43"/>
      <c r="G191" s="49"/>
      <c r="H191" s="49"/>
      <c r="I191" s="49"/>
      <c r="J191" s="49"/>
      <c r="K191" s="49"/>
      <c r="L191" s="49"/>
      <c r="M191" s="49"/>
      <c r="N191" s="49"/>
      <c r="O191" s="49"/>
      <c r="P191" s="49"/>
      <c r="Q191" s="49"/>
      <c r="R191" s="49"/>
      <c r="S191" s="49"/>
      <c r="T191" s="49"/>
      <c r="U191" s="49"/>
      <c r="V191" s="44"/>
    </row>
    <row r="192" spans="2:22" x14ac:dyDescent="0.3">
      <c r="B192" s="52"/>
      <c r="C192" s="43"/>
      <c r="D192" s="43"/>
      <c r="E192" s="43"/>
      <c r="F192" s="43"/>
      <c r="G192" s="49"/>
      <c r="H192" s="49"/>
      <c r="I192" s="49"/>
      <c r="J192" s="49"/>
      <c r="K192" s="49"/>
      <c r="L192" s="49"/>
      <c r="M192" s="49"/>
      <c r="N192" s="49"/>
      <c r="O192" s="49"/>
      <c r="P192" s="49"/>
      <c r="Q192" s="49"/>
      <c r="R192" s="49"/>
      <c r="S192" s="49"/>
      <c r="T192" s="49"/>
      <c r="U192" s="49"/>
      <c r="V192" s="44"/>
    </row>
    <row r="193" spans="2:22" x14ac:dyDescent="0.3">
      <c r="B193" s="52"/>
      <c r="C193" s="43"/>
      <c r="D193" s="43"/>
      <c r="E193" s="43"/>
      <c r="F193" s="43"/>
      <c r="G193" s="49"/>
      <c r="H193" s="49"/>
      <c r="I193" s="49"/>
      <c r="J193" s="49"/>
      <c r="K193" s="49"/>
      <c r="L193" s="49"/>
      <c r="M193" s="49"/>
      <c r="N193" s="49"/>
      <c r="O193" s="49"/>
      <c r="P193" s="49"/>
      <c r="Q193" s="49"/>
      <c r="R193" s="49"/>
      <c r="S193" s="49"/>
      <c r="T193" s="49"/>
      <c r="U193" s="49"/>
      <c r="V193" s="44"/>
    </row>
    <row r="194" spans="2:22" x14ac:dyDescent="0.3">
      <c r="B194" s="52"/>
      <c r="C194" s="43"/>
      <c r="D194" s="43"/>
      <c r="E194" s="43"/>
      <c r="F194" s="43"/>
      <c r="G194" s="49"/>
      <c r="H194" s="49"/>
      <c r="I194" s="49"/>
      <c r="J194" s="49"/>
      <c r="K194" s="49"/>
      <c r="L194" s="49"/>
      <c r="M194" s="49"/>
      <c r="N194" s="49"/>
      <c r="O194" s="49"/>
      <c r="P194" s="49"/>
      <c r="Q194" s="49"/>
      <c r="R194" s="49"/>
      <c r="S194" s="49"/>
      <c r="T194" s="49"/>
      <c r="U194" s="49"/>
      <c r="V194" s="44"/>
    </row>
    <row r="195" spans="2:22" x14ac:dyDescent="0.3">
      <c r="B195" s="52"/>
      <c r="C195" s="43"/>
      <c r="D195" s="43"/>
      <c r="E195" s="43"/>
      <c r="F195" s="43"/>
      <c r="G195" s="49"/>
      <c r="H195" s="49"/>
      <c r="I195" s="49"/>
      <c r="J195" s="49"/>
      <c r="K195" s="49"/>
      <c r="L195" s="49"/>
      <c r="M195" s="49"/>
      <c r="N195" s="49"/>
      <c r="O195" s="49"/>
      <c r="P195" s="49"/>
      <c r="Q195" s="49"/>
      <c r="R195" s="49"/>
      <c r="S195" s="49"/>
      <c r="T195" s="49"/>
      <c r="U195" s="49"/>
      <c r="V195" s="44"/>
    </row>
    <row r="196" spans="2:22" x14ac:dyDescent="0.3">
      <c r="B196" s="52"/>
      <c r="C196" s="43"/>
      <c r="D196" s="43"/>
      <c r="E196" s="43"/>
      <c r="F196" s="43"/>
      <c r="G196" s="49"/>
      <c r="H196" s="49"/>
      <c r="I196" s="49"/>
      <c r="J196" s="49"/>
      <c r="K196" s="49"/>
      <c r="L196" s="49"/>
      <c r="M196" s="49"/>
      <c r="N196" s="49"/>
      <c r="O196" s="49"/>
      <c r="P196" s="49"/>
      <c r="Q196" s="49"/>
      <c r="R196" s="49"/>
      <c r="S196" s="49"/>
      <c r="T196" s="49"/>
      <c r="U196" s="49"/>
      <c r="V196" s="44"/>
    </row>
    <row r="197" spans="2:22" x14ac:dyDescent="0.3">
      <c r="B197" s="52"/>
      <c r="C197" s="43"/>
      <c r="D197" s="43"/>
      <c r="E197" s="43"/>
      <c r="F197" s="43"/>
      <c r="G197" s="49"/>
      <c r="H197" s="49"/>
      <c r="I197" s="49"/>
      <c r="J197" s="49"/>
      <c r="K197" s="49"/>
      <c r="L197" s="49"/>
      <c r="M197" s="49"/>
      <c r="N197" s="49"/>
      <c r="O197" s="49"/>
      <c r="P197" s="49"/>
      <c r="Q197" s="49"/>
      <c r="R197" s="49"/>
      <c r="S197" s="49"/>
      <c r="T197" s="49"/>
      <c r="U197" s="49"/>
      <c r="V197" s="44"/>
    </row>
    <row r="198" spans="2:22" x14ac:dyDescent="0.3">
      <c r="B198" s="52"/>
      <c r="C198" s="43"/>
      <c r="D198" s="43"/>
      <c r="E198" s="43"/>
      <c r="F198" s="43"/>
      <c r="G198" s="49"/>
      <c r="H198" s="49"/>
      <c r="I198" s="49"/>
      <c r="J198" s="49"/>
      <c r="K198" s="49"/>
      <c r="L198" s="49"/>
      <c r="M198" s="49"/>
      <c r="N198" s="49"/>
      <c r="O198" s="49"/>
      <c r="P198" s="49"/>
      <c r="Q198" s="49"/>
      <c r="R198" s="49"/>
      <c r="S198" s="49"/>
      <c r="T198" s="49"/>
      <c r="U198" s="49"/>
      <c r="V198" s="44"/>
    </row>
    <row r="199" spans="2:22" x14ac:dyDescent="0.3">
      <c r="B199" s="52"/>
      <c r="C199" s="43"/>
      <c r="D199" s="43"/>
      <c r="E199" s="43"/>
      <c r="F199" s="43"/>
      <c r="G199" s="49"/>
      <c r="H199" s="49"/>
      <c r="I199" s="49"/>
      <c r="J199" s="49"/>
      <c r="K199" s="49"/>
      <c r="L199" s="49"/>
      <c r="M199" s="49"/>
      <c r="N199" s="49"/>
      <c r="O199" s="49"/>
      <c r="P199" s="49"/>
      <c r="Q199" s="49"/>
      <c r="R199" s="49"/>
      <c r="S199" s="49"/>
      <c r="T199" s="49"/>
      <c r="U199" s="49"/>
      <c r="V199" s="44"/>
    </row>
    <row r="200" spans="2:22" x14ac:dyDescent="0.3">
      <c r="B200" s="52"/>
      <c r="C200" s="43"/>
      <c r="D200" s="43"/>
      <c r="E200" s="43"/>
      <c r="F200" s="43"/>
      <c r="G200" s="49"/>
      <c r="H200" s="49"/>
      <c r="I200" s="49"/>
      <c r="J200" s="49"/>
      <c r="K200" s="49"/>
      <c r="L200" s="49"/>
      <c r="M200" s="49"/>
      <c r="N200" s="49"/>
      <c r="O200" s="49"/>
      <c r="P200" s="49"/>
      <c r="Q200" s="49"/>
      <c r="R200" s="49"/>
      <c r="S200" s="49"/>
      <c r="T200" s="49"/>
      <c r="U200" s="49"/>
      <c r="V200" s="44"/>
    </row>
    <row r="201" spans="2:22" x14ac:dyDescent="0.3">
      <c r="B201" s="52"/>
      <c r="C201" s="43"/>
      <c r="D201" s="43"/>
      <c r="E201" s="43"/>
      <c r="F201" s="43"/>
      <c r="G201" s="49"/>
      <c r="H201" s="49"/>
      <c r="I201" s="49"/>
      <c r="J201" s="49"/>
      <c r="K201" s="49"/>
      <c r="L201" s="49"/>
      <c r="M201" s="49"/>
      <c r="N201" s="49"/>
      <c r="O201" s="49"/>
      <c r="P201" s="49"/>
      <c r="Q201" s="49"/>
      <c r="R201" s="49"/>
      <c r="S201" s="49"/>
      <c r="T201" s="49"/>
      <c r="U201" s="49"/>
      <c r="V201" s="44"/>
    </row>
    <row r="202" spans="2:22" x14ac:dyDescent="0.3">
      <c r="B202" s="52"/>
      <c r="C202" s="43"/>
      <c r="D202" s="43"/>
      <c r="E202" s="43"/>
      <c r="F202" s="43"/>
      <c r="G202" s="49"/>
      <c r="H202" s="49"/>
      <c r="I202" s="49"/>
      <c r="J202" s="49"/>
      <c r="K202" s="49"/>
      <c r="L202" s="49"/>
      <c r="M202" s="49"/>
      <c r="N202" s="49"/>
      <c r="O202" s="49"/>
      <c r="P202" s="49"/>
      <c r="Q202" s="49"/>
      <c r="R202" s="49"/>
      <c r="S202" s="49"/>
      <c r="T202" s="49"/>
      <c r="U202" s="49"/>
      <c r="V202" s="44"/>
    </row>
    <row r="203" spans="2:22" x14ac:dyDescent="0.3">
      <c r="B203" s="52"/>
      <c r="C203" s="43"/>
      <c r="D203" s="43"/>
      <c r="E203" s="43"/>
      <c r="F203" s="43"/>
      <c r="G203" s="49"/>
      <c r="H203" s="49"/>
      <c r="I203" s="49"/>
      <c r="J203" s="49"/>
      <c r="K203" s="49"/>
      <c r="L203" s="49"/>
      <c r="M203" s="49"/>
      <c r="N203" s="49"/>
      <c r="O203" s="49"/>
      <c r="P203" s="49"/>
      <c r="Q203" s="49"/>
      <c r="R203" s="49"/>
      <c r="S203" s="49"/>
      <c r="T203" s="49"/>
      <c r="U203" s="49"/>
      <c r="V203" s="44"/>
    </row>
    <row r="204" spans="2:22" x14ac:dyDescent="0.3">
      <c r="B204" s="52"/>
      <c r="C204" s="43"/>
      <c r="D204" s="43"/>
      <c r="E204" s="43"/>
      <c r="F204" s="43"/>
      <c r="G204" s="49"/>
      <c r="H204" s="49"/>
      <c r="I204" s="49"/>
      <c r="J204" s="49"/>
      <c r="K204" s="49"/>
      <c r="L204" s="49"/>
      <c r="M204" s="49"/>
      <c r="N204" s="49"/>
      <c r="O204" s="49"/>
      <c r="P204" s="49"/>
      <c r="Q204" s="49"/>
      <c r="R204" s="49"/>
      <c r="S204" s="49"/>
      <c r="T204" s="49"/>
      <c r="U204" s="49"/>
      <c r="V204" s="44"/>
    </row>
    <row r="205" spans="2:22" x14ac:dyDescent="0.3">
      <c r="B205" s="52"/>
      <c r="C205" s="43"/>
      <c r="D205" s="43"/>
      <c r="E205" s="43"/>
      <c r="F205" s="43"/>
      <c r="G205" s="49"/>
      <c r="H205" s="49"/>
      <c r="I205" s="49"/>
      <c r="J205" s="49"/>
      <c r="K205" s="49"/>
      <c r="L205" s="49"/>
      <c r="M205" s="49"/>
      <c r="N205" s="49"/>
      <c r="O205" s="49"/>
      <c r="P205" s="49"/>
      <c r="Q205" s="49"/>
      <c r="R205" s="49"/>
      <c r="S205" s="49"/>
      <c r="T205" s="49"/>
      <c r="U205" s="49"/>
      <c r="V205" s="44"/>
    </row>
    <row r="206" spans="2:22" x14ac:dyDescent="0.3">
      <c r="B206" s="52"/>
      <c r="C206" s="43"/>
      <c r="D206" s="43"/>
      <c r="E206" s="43"/>
      <c r="F206" s="43"/>
      <c r="G206" s="49"/>
      <c r="H206" s="49"/>
      <c r="I206" s="49"/>
      <c r="J206" s="49"/>
      <c r="K206" s="49"/>
      <c r="L206" s="49"/>
      <c r="M206" s="49"/>
      <c r="N206" s="49"/>
      <c r="O206" s="49"/>
      <c r="P206" s="49"/>
      <c r="Q206" s="49"/>
      <c r="R206" s="49"/>
      <c r="S206" s="49"/>
      <c r="T206" s="49"/>
      <c r="U206" s="49"/>
      <c r="V206" s="44"/>
    </row>
    <row r="207" spans="2:22" x14ac:dyDescent="0.3">
      <c r="B207" s="52"/>
      <c r="C207" s="43"/>
      <c r="D207" s="43"/>
      <c r="E207" s="43"/>
      <c r="F207" s="43"/>
      <c r="G207" s="49"/>
      <c r="H207" s="49"/>
      <c r="I207" s="49"/>
      <c r="J207" s="49"/>
      <c r="K207" s="49"/>
      <c r="L207" s="49"/>
      <c r="M207" s="49"/>
      <c r="N207" s="49"/>
      <c r="O207" s="49"/>
      <c r="P207" s="49"/>
      <c r="Q207" s="49"/>
      <c r="R207" s="49"/>
      <c r="S207" s="49"/>
      <c r="T207" s="49"/>
      <c r="U207" s="49"/>
      <c r="V207" s="44"/>
    </row>
    <row r="208" spans="2:22" x14ac:dyDescent="0.3">
      <c r="B208" s="52"/>
      <c r="C208" s="43"/>
      <c r="D208" s="43"/>
      <c r="E208" s="43"/>
      <c r="F208" s="43"/>
      <c r="G208" s="49"/>
      <c r="H208" s="49"/>
      <c r="I208" s="49"/>
      <c r="J208" s="49"/>
      <c r="K208" s="49"/>
      <c r="L208" s="49"/>
      <c r="M208" s="49"/>
      <c r="N208" s="49"/>
      <c r="O208" s="49"/>
      <c r="P208" s="49"/>
      <c r="Q208" s="49"/>
      <c r="R208" s="49"/>
      <c r="S208" s="49"/>
      <c r="T208" s="49"/>
      <c r="U208" s="49"/>
      <c r="V208" s="44"/>
    </row>
    <row r="209" spans="2:22" x14ac:dyDescent="0.3">
      <c r="B209" s="52"/>
      <c r="C209" s="43"/>
      <c r="D209" s="43"/>
      <c r="E209" s="43"/>
      <c r="F209" s="43"/>
      <c r="G209" s="49"/>
      <c r="H209" s="49"/>
      <c r="I209" s="49"/>
      <c r="J209" s="49"/>
      <c r="K209" s="49"/>
      <c r="L209" s="49"/>
      <c r="M209" s="49"/>
      <c r="N209" s="49"/>
      <c r="O209" s="49"/>
      <c r="P209" s="49"/>
      <c r="Q209" s="49"/>
      <c r="R209" s="49"/>
      <c r="S209" s="49"/>
      <c r="T209" s="49"/>
      <c r="U209" s="49"/>
      <c r="V209" s="44"/>
    </row>
    <row r="210" spans="2:22" x14ac:dyDescent="0.3">
      <c r="B210" s="52"/>
      <c r="C210" s="43"/>
      <c r="D210" s="43"/>
      <c r="E210" s="43"/>
      <c r="F210" s="43"/>
      <c r="G210" s="49"/>
      <c r="H210" s="49"/>
      <c r="I210" s="49"/>
      <c r="J210" s="49"/>
      <c r="K210" s="49"/>
      <c r="L210" s="49"/>
      <c r="M210" s="49"/>
      <c r="N210" s="49"/>
      <c r="O210" s="49"/>
      <c r="P210" s="49"/>
      <c r="Q210" s="49"/>
      <c r="R210" s="49"/>
      <c r="S210" s="49"/>
      <c r="T210" s="49"/>
      <c r="U210" s="49"/>
      <c r="V210" s="44"/>
    </row>
    <row r="211" spans="2:22" x14ac:dyDescent="0.3">
      <c r="B211" s="52"/>
      <c r="C211" s="43"/>
      <c r="D211" s="43"/>
      <c r="E211" s="43"/>
      <c r="F211" s="43"/>
      <c r="G211" s="49"/>
      <c r="H211" s="49"/>
      <c r="I211" s="49"/>
      <c r="J211" s="49"/>
      <c r="K211" s="49"/>
      <c r="L211" s="49"/>
      <c r="M211" s="49"/>
      <c r="N211" s="49"/>
      <c r="O211" s="49"/>
      <c r="P211" s="49"/>
      <c r="Q211" s="49"/>
      <c r="R211" s="49"/>
      <c r="S211" s="49"/>
      <c r="T211" s="49"/>
      <c r="U211" s="49"/>
      <c r="V211" s="44"/>
    </row>
    <row r="212" spans="2:22" x14ac:dyDescent="0.3">
      <c r="B212" s="52"/>
      <c r="C212" s="43"/>
      <c r="D212" s="43"/>
      <c r="E212" s="43"/>
      <c r="F212" s="43"/>
      <c r="G212" s="49"/>
      <c r="H212" s="49"/>
      <c r="I212" s="49"/>
      <c r="J212" s="49"/>
      <c r="K212" s="49"/>
      <c r="L212" s="49"/>
      <c r="M212" s="49"/>
      <c r="N212" s="49"/>
      <c r="O212" s="49"/>
      <c r="P212" s="49"/>
      <c r="Q212" s="49"/>
      <c r="R212" s="49"/>
      <c r="S212" s="49"/>
      <c r="T212" s="49"/>
      <c r="U212" s="49"/>
      <c r="V212" s="44"/>
    </row>
    <row r="213" spans="2:22" x14ac:dyDescent="0.3">
      <c r="B213" s="52"/>
      <c r="C213" s="43"/>
      <c r="D213" s="43"/>
      <c r="E213" s="43"/>
      <c r="F213" s="43"/>
      <c r="G213" s="49"/>
      <c r="H213" s="49"/>
      <c r="I213" s="49"/>
      <c r="J213" s="49"/>
      <c r="K213" s="49"/>
      <c r="L213" s="49"/>
      <c r="M213" s="49"/>
      <c r="N213" s="49"/>
      <c r="O213" s="49"/>
      <c r="P213" s="49"/>
      <c r="Q213" s="49"/>
      <c r="R213" s="49"/>
      <c r="S213" s="49"/>
      <c r="T213" s="49"/>
      <c r="U213" s="49"/>
      <c r="V213" s="44"/>
    </row>
    <row r="214" spans="2:22" x14ac:dyDescent="0.3">
      <c r="B214" s="52"/>
      <c r="C214" s="43"/>
      <c r="D214" s="43"/>
      <c r="E214" s="43"/>
      <c r="F214" s="43"/>
      <c r="G214" s="49"/>
      <c r="H214" s="49"/>
      <c r="I214" s="49"/>
      <c r="J214" s="49"/>
      <c r="K214" s="49"/>
      <c r="L214" s="49"/>
      <c r="M214" s="49"/>
      <c r="N214" s="49"/>
      <c r="O214" s="49"/>
      <c r="P214" s="49"/>
      <c r="Q214" s="49"/>
      <c r="R214" s="49"/>
      <c r="S214" s="49"/>
      <c r="T214" s="49"/>
      <c r="U214" s="49"/>
      <c r="V214" s="44"/>
    </row>
    <row r="215" spans="2:22" x14ac:dyDescent="0.3">
      <c r="B215" s="52"/>
      <c r="C215" s="43"/>
      <c r="D215" s="43"/>
      <c r="E215" s="43"/>
      <c r="F215" s="43"/>
      <c r="G215" s="49"/>
      <c r="H215" s="49"/>
      <c r="I215" s="49"/>
      <c r="J215" s="49"/>
      <c r="K215" s="49"/>
      <c r="L215" s="49"/>
      <c r="M215" s="49"/>
      <c r="N215" s="49"/>
      <c r="O215" s="49"/>
      <c r="P215" s="49"/>
      <c r="Q215" s="49"/>
      <c r="R215" s="49"/>
      <c r="S215" s="49"/>
      <c r="T215" s="49"/>
      <c r="U215" s="49"/>
      <c r="V215" s="44"/>
    </row>
    <row r="216" spans="2:22" x14ac:dyDescent="0.3">
      <c r="B216" s="52"/>
      <c r="C216" s="43"/>
      <c r="D216" s="43"/>
      <c r="E216" s="43"/>
      <c r="F216" s="43"/>
      <c r="G216" s="49"/>
      <c r="H216" s="49"/>
      <c r="I216" s="49"/>
      <c r="J216" s="49"/>
      <c r="K216" s="49"/>
      <c r="L216" s="49"/>
      <c r="M216" s="49"/>
      <c r="N216" s="49"/>
      <c r="O216" s="49"/>
      <c r="P216" s="49"/>
      <c r="Q216" s="49"/>
      <c r="R216" s="49"/>
      <c r="S216" s="49"/>
      <c r="T216" s="49"/>
      <c r="U216" s="49"/>
      <c r="V216" s="44"/>
    </row>
    <row r="217" spans="2:22" x14ac:dyDescent="0.3">
      <c r="B217" s="52"/>
      <c r="C217" s="43"/>
      <c r="D217" s="43"/>
      <c r="E217" s="43"/>
      <c r="F217" s="43"/>
      <c r="G217" s="49"/>
      <c r="H217" s="49"/>
      <c r="I217" s="49"/>
      <c r="J217" s="49"/>
      <c r="K217" s="49"/>
      <c r="L217" s="49"/>
      <c r="M217" s="49"/>
      <c r="N217" s="49"/>
      <c r="O217" s="49"/>
      <c r="P217" s="49"/>
      <c r="Q217" s="49"/>
      <c r="R217" s="49"/>
      <c r="S217" s="49"/>
      <c r="T217" s="49"/>
      <c r="U217" s="49"/>
      <c r="V217" s="44"/>
    </row>
    <row r="218" spans="2:22" x14ac:dyDescent="0.3">
      <c r="B218" s="52"/>
      <c r="C218" s="43"/>
      <c r="D218" s="43"/>
      <c r="E218" s="43"/>
      <c r="F218" s="43"/>
      <c r="G218" s="49"/>
      <c r="H218" s="49"/>
      <c r="I218" s="49"/>
      <c r="J218" s="49"/>
      <c r="K218" s="49"/>
      <c r="L218" s="49"/>
      <c r="M218" s="49"/>
      <c r="N218" s="49"/>
      <c r="O218" s="49"/>
      <c r="P218" s="49"/>
      <c r="Q218" s="49"/>
      <c r="R218" s="49"/>
      <c r="S218" s="49"/>
      <c r="T218" s="49"/>
      <c r="U218" s="49"/>
      <c r="V218" s="44"/>
    </row>
    <row r="219" spans="2:22" x14ac:dyDescent="0.3">
      <c r="B219" s="52"/>
      <c r="C219" s="43"/>
      <c r="D219" s="43"/>
      <c r="E219" s="43"/>
      <c r="F219" s="43"/>
      <c r="G219" s="49"/>
      <c r="H219" s="49"/>
      <c r="I219" s="49"/>
      <c r="J219" s="49"/>
      <c r="K219" s="49"/>
      <c r="L219" s="49"/>
      <c r="M219" s="49"/>
      <c r="N219" s="49"/>
      <c r="O219" s="49"/>
      <c r="P219" s="49"/>
      <c r="Q219" s="49"/>
      <c r="R219" s="49"/>
      <c r="S219" s="49"/>
      <c r="T219" s="49"/>
      <c r="U219" s="49"/>
      <c r="V219" s="44"/>
    </row>
    <row r="220" spans="2:22" x14ac:dyDescent="0.3">
      <c r="B220" s="52"/>
      <c r="C220" s="43"/>
      <c r="D220" s="43"/>
      <c r="E220" s="43"/>
      <c r="F220" s="43"/>
      <c r="G220" s="49"/>
      <c r="H220" s="49"/>
      <c r="I220" s="49"/>
      <c r="J220" s="49"/>
      <c r="K220" s="49"/>
      <c r="L220" s="49"/>
      <c r="M220" s="49"/>
      <c r="N220" s="49"/>
      <c r="O220" s="49"/>
      <c r="P220" s="49"/>
      <c r="Q220" s="49"/>
      <c r="R220" s="49"/>
      <c r="S220" s="49"/>
      <c r="T220" s="49"/>
      <c r="U220" s="49"/>
      <c r="V220" s="44"/>
    </row>
    <row r="221" spans="2:22" x14ac:dyDescent="0.3">
      <c r="B221" s="52"/>
      <c r="C221" s="43"/>
      <c r="D221" s="43"/>
      <c r="E221" s="43"/>
      <c r="F221" s="43"/>
      <c r="G221" s="49"/>
      <c r="H221" s="49"/>
      <c r="I221" s="49"/>
      <c r="J221" s="49"/>
      <c r="K221" s="49"/>
      <c r="L221" s="49"/>
      <c r="M221" s="49"/>
      <c r="N221" s="49"/>
      <c r="O221" s="49"/>
      <c r="P221" s="49"/>
      <c r="Q221" s="49"/>
      <c r="R221" s="49"/>
      <c r="S221" s="49"/>
      <c r="T221" s="49"/>
      <c r="U221" s="49"/>
      <c r="V221" s="44"/>
    </row>
    <row r="222" spans="2:22" x14ac:dyDescent="0.3">
      <c r="B222" s="52"/>
      <c r="C222" s="43"/>
      <c r="D222" s="43"/>
      <c r="E222" s="43"/>
      <c r="F222" s="43"/>
      <c r="G222" s="49"/>
      <c r="H222" s="49"/>
      <c r="I222" s="49"/>
      <c r="J222" s="49"/>
      <c r="K222" s="49"/>
      <c r="L222" s="49"/>
      <c r="M222" s="49"/>
      <c r="N222" s="49"/>
      <c r="O222" s="49"/>
      <c r="P222" s="49"/>
      <c r="Q222" s="49"/>
      <c r="R222" s="49"/>
      <c r="S222" s="49"/>
      <c r="T222" s="49"/>
      <c r="U222" s="49"/>
      <c r="V222" s="44"/>
    </row>
    <row r="223" spans="2:22" x14ac:dyDescent="0.3">
      <c r="B223" s="52"/>
      <c r="C223" s="43"/>
      <c r="D223" s="43"/>
      <c r="E223" s="43"/>
      <c r="F223" s="43"/>
      <c r="G223" s="49"/>
      <c r="H223" s="49"/>
      <c r="I223" s="49"/>
      <c r="J223" s="49"/>
      <c r="K223" s="49"/>
      <c r="L223" s="49"/>
      <c r="M223" s="49"/>
      <c r="N223" s="49"/>
      <c r="O223" s="49"/>
      <c r="P223" s="49"/>
      <c r="Q223" s="49"/>
      <c r="R223" s="49"/>
      <c r="S223" s="49"/>
      <c r="T223" s="49"/>
      <c r="U223" s="49"/>
      <c r="V223" s="44"/>
    </row>
    <row r="224" spans="2:22" x14ac:dyDescent="0.3">
      <c r="B224" s="52"/>
      <c r="C224" s="43"/>
      <c r="D224" s="43"/>
      <c r="E224" s="43"/>
      <c r="F224" s="43"/>
      <c r="G224" s="49"/>
      <c r="H224" s="49"/>
      <c r="I224" s="49"/>
      <c r="J224" s="49"/>
      <c r="K224" s="49"/>
      <c r="L224" s="49"/>
      <c r="M224" s="49"/>
      <c r="N224" s="49"/>
      <c r="O224" s="49"/>
      <c r="P224" s="49"/>
      <c r="Q224" s="49"/>
      <c r="R224" s="49"/>
      <c r="S224" s="49"/>
      <c r="T224" s="49"/>
      <c r="U224" s="49"/>
      <c r="V224" s="44"/>
    </row>
    <row r="225" spans="2:22" x14ac:dyDescent="0.3">
      <c r="B225" s="52"/>
      <c r="C225" s="43"/>
      <c r="D225" s="43"/>
      <c r="E225" s="43"/>
      <c r="F225" s="43"/>
      <c r="G225" s="49"/>
      <c r="H225" s="49"/>
      <c r="I225" s="49"/>
      <c r="J225" s="49"/>
      <c r="K225" s="49"/>
      <c r="L225" s="49"/>
      <c r="M225" s="49"/>
      <c r="N225" s="49"/>
      <c r="O225" s="49"/>
      <c r="P225" s="49"/>
      <c r="Q225" s="49"/>
      <c r="R225" s="49"/>
      <c r="S225" s="49"/>
      <c r="T225" s="49"/>
      <c r="U225" s="49"/>
      <c r="V225" s="44"/>
    </row>
    <row r="226" spans="2:22" x14ac:dyDescent="0.3">
      <c r="B226" s="52"/>
      <c r="C226" s="43"/>
      <c r="D226" s="43"/>
      <c r="E226" s="43"/>
      <c r="F226" s="43"/>
      <c r="G226" s="49"/>
      <c r="H226" s="49"/>
      <c r="I226" s="49"/>
      <c r="J226" s="49"/>
      <c r="K226" s="49"/>
      <c r="L226" s="49"/>
      <c r="M226" s="49"/>
      <c r="N226" s="49"/>
      <c r="O226" s="49"/>
      <c r="P226" s="49"/>
      <c r="Q226" s="49"/>
      <c r="R226" s="49"/>
      <c r="S226" s="49"/>
      <c r="T226" s="49"/>
      <c r="U226" s="49"/>
      <c r="V226" s="44"/>
    </row>
    <row r="227" spans="2:22" x14ac:dyDescent="0.3">
      <c r="B227" s="52"/>
      <c r="C227" s="43"/>
      <c r="D227" s="43"/>
      <c r="E227" s="43"/>
      <c r="F227" s="43"/>
      <c r="G227" s="49"/>
      <c r="H227" s="49"/>
      <c r="I227" s="49"/>
      <c r="J227" s="49"/>
      <c r="K227" s="49"/>
      <c r="L227" s="49"/>
      <c r="M227" s="49"/>
      <c r="N227" s="49"/>
      <c r="O227" s="49"/>
      <c r="P227" s="49"/>
      <c r="Q227" s="49"/>
      <c r="R227" s="49"/>
      <c r="S227" s="49"/>
      <c r="T227" s="49"/>
      <c r="U227" s="49"/>
      <c r="V227" s="44"/>
    </row>
    <row r="228" spans="2:22" x14ac:dyDescent="0.3">
      <c r="B228" s="52"/>
      <c r="C228" s="43"/>
      <c r="D228" s="43"/>
      <c r="E228" s="43"/>
      <c r="F228" s="43"/>
      <c r="G228" s="49"/>
      <c r="H228" s="49"/>
      <c r="I228" s="49"/>
      <c r="J228" s="49"/>
      <c r="K228" s="49"/>
      <c r="L228" s="49"/>
      <c r="M228" s="49"/>
      <c r="N228" s="49"/>
      <c r="O228" s="49"/>
      <c r="P228" s="49"/>
      <c r="Q228" s="49"/>
      <c r="R228" s="49"/>
      <c r="S228" s="49"/>
      <c r="T228" s="49"/>
      <c r="U228" s="49"/>
      <c r="V228" s="44"/>
    </row>
    <row r="229" spans="2:22" x14ac:dyDescent="0.3">
      <c r="B229" s="52"/>
      <c r="C229" s="43"/>
      <c r="D229" s="43"/>
      <c r="E229" s="43"/>
      <c r="F229" s="43"/>
      <c r="G229" s="49"/>
      <c r="H229" s="49"/>
      <c r="I229" s="49"/>
      <c r="J229" s="49"/>
      <c r="K229" s="49"/>
      <c r="L229" s="49"/>
      <c r="M229" s="49"/>
      <c r="N229" s="49"/>
      <c r="O229" s="49"/>
      <c r="P229" s="49"/>
      <c r="Q229" s="49"/>
      <c r="R229" s="49"/>
      <c r="S229" s="49"/>
      <c r="T229" s="49"/>
      <c r="U229" s="49"/>
      <c r="V229" s="44"/>
    </row>
    <row r="230" spans="2:22" x14ac:dyDescent="0.3">
      <c r="B230" s="52"/>
      <c r="C230" s="43"/>
      <c r="D230" s="43"/>
      <c r="E230" s="43"/>
      <c r="F230" s="43"/>
      <c r="G230" s="49"/>
      <c r="H230" s="49"/>
      <c r="I230" s="49"/>
      <c r="J230" s="49"/>
      <c r="K230" s="49"/>
      <c r="L230" s="49"/>
      <c r="M230" s="49"/>
      <c r="N230" s="49"/>
      <c r="O230" s="49"/>
      <c r="P230" s="49"/>
      <c r="Q230" s="49"/>
      <c r="R230" s="49"/>
      <c r="S230" s="49"/>
      <c r="T230" s="49"/>
      <c r="U230" s="49"/>
      <c r="V230" s="44"/>
    </row>
    <row r="231" spans="2:22" x14ac:dyDescent="0.3">
      <c r="B231" s="52"/>
      <c r="C231" s="43"/>
      <c r="D231" s="43"/>
      <c r="E231" s="43"/>
      <c r="F231" s="43"/>
      <c r="G231" s="49"/>
      <c r="H231" s="49"/>
      <c r="I231" s="49"/>
      <c r="J231" s="49"/>
      <c r="K231" s="49"/>
      <c r="L231" s="49"/>
      <c r="M231" s="49"/>
      <c r="N231" s="49"/>
      <c r="O231" s="49"/>
      <c r="P231" s="49"/>
      <c r="Q231" s="49"/>
      <c r="R231" s="49"/>
      <c r="S231" s="49"/>
      <c r="T231" s="49"/>
      <c r="U231" s="49"/>
      <c r="V231" s="44"/>
    </row>
    <row r="232" spans="2:22" x14ac:dyDescent="0.3">
      <c r="B232" s="52"/>
      <c r="C232" s="43"/>
      <c r="D232" s="43"/>
      <c r="E232" s="43"/>
      <c r="F232" s="43"/>
      <c r="G232" s="49"/>
      <c r="H232" s="49"/>
      <c r="I232" s="49"/>
      <c r="J232" s="49"/>
      <c r="K232" s="49"/>
      <c r="L232" s="49"/>
      <c r="M232" s="49"/>
      <c r="N232" s="49"/>
      <c r="O232" s="49"/>
      <c r="P232" s="49"/>
      <c r="Q232" s="49"/>
      <c r="R232" s="49"/>
      <c r="S232" s="49"/>
      <c r="T232" s="49"/>
      <c r="U232" s="49"/>
      <c r="V232" s="44"/>
    </row>
    <row r="233" spans="2:22" x14ac:dyDescent="0.3">
      <c r="B233" s="52"/>
      <c r="C233" s="43"/>
      <c r="D233" s="43"/>
      <c r="E233" s="43"/>
      <c r="F233" s="43"/>
      <c r="G233" s="49"/>
      <c r="H233" s="49"/>
      <c r="I233" s="49"/>
      <c r="J233" s="49"/>
      <c r="K233" s="49"/>
      <c r="L233" s="49"/>
      <c r="M233" s="49"/>
      <c r="N233" s="49"/>
      <c r="O233" s="49"/>
      <c r="P233" s="49"/>
      <c r="Q233" s="49"/>
      <c r="R233" s="49"/>
      <c r="S233" s="49"/>
      <c r="T233" s="49"/>
      <c r="U233" s="49"/>
      <c r="V233" s="44"/>
    </row>
    <row r="234" spans="2:22" x14ac:dyDescent="0.3">
      <c r="B234" s="52"/>
      <c r="C234" s="43"/>
      <c r="D234" s="43"/>
      <c r="E234" s="43"/>
      <c r="F234" s="43"/>
      <c r="G234" s="49"/>
      <c r="H234" s="49"/>
      <c r="I234" s="49"/>
      <c r="J234" s="49"/>
      <c r="K234" s="49"/>
      <c r="L234" s="49"/>
      <c r="M234" s="49"/>
      <c r="N234" s="49"/>
      <c r="O234" s="49"/>
      <c r="P234" s="49"/>
      <c r="Q234" s="49"/>
      <c r="R234" s="49"/>
      <c r="S234" s="49"/>
      <c r="T234" s="49"/>
      <c r="U234" s="49"/>
      <c r="V234" s="44"/>
    </row>
    <row r="235" spans="2:22" x14ac:dyDescent="0.3">
      <c r="B235" s="52"/>
      <c r="C235" s="43"/>
      <c r="D235" s="43"/>
      <c r="E235" s="43"/>
      <c r="F235" s="43"/>
      <c r="G235" s="49"/>
      <c r="H235" s="49"/>
      <c r="I235" s="49"/>
      <c r="J235" s="49"/>
      <c r="K235" s="49"/>
      <c r="L235" s="49"/>
      <c r="M235" s="49"/>
      <c r="N235" s="49"/>
      <c r="O235" s="49"/>
      <c r="P235" s="49"/>
      <c r="Q235" s="49"/>
      <c r="R235" s="49"/>
      <c r="S235" s="49"/>
      <c r="T235" s="49"/>
      <c r="U235" s="49"/>
      <c r="V235" s="44"/>
    </row>
    <row r="236" spans="2:22" x14ac:dyDescent="0.3">
      <c r="B236" s="52"/>
      <c r="C236" s="43"/>
      <c r="D236" s="43"/>
      <c r="E236" s="43"/>
      <c r="F236" s="43"/>
      <c r="G236" s="49"/>
      <c r="H236" s="49"/>
      <c r="I236" s="49"/>
      <c r="J236" s="49"/>
      <c r="K236" s="49"/>
      <c r="L236" s="49"/>
      <c r="M236" s="49"/>
      <c r="N236" s="49"/>
      <c r="O236" s="49"/>
      <c r="P236" s="49"/>
      <c r="Q236" s="49"/>
      <c r="R236" s="49"/>
      <c r="S236" s="49"/>
      <c r="T236" s="49"/>
      <c r="U236" s="49"/>
      <c r="V236" s="44"/>
    </row>
    <row r="237" spans="2:22" x14ac:dyDescent="0.3">
      <c r="B237" s="52"/>
      <c r="C237" s="43"/>
      <c r="D237" s="43"/>
      <c r="E237" s="43"/>
      <c r="F237" s="43"/>
      <c r="G237" s="49"/>
      <c r="H237" s="49"/>
      <c r="I237" s="49"/>
      <c r="J237" s="49"/>
      <c r="K237" s="49"/>
      <c r="L237" s="49"/>
      <c r="M237" s="49"/>
      <c r="N237" s="49"/>
      <c r="O237" s="49"/>
      <c r="P237" s="49"/>
      <c r="Q237" s="49"/>
      <c r="R237" s="49"/>
      <c r="S237" s="49"/>
      <c r="T237" s="49"/>
      <c r="U237" s="49"/>
      <c r="V237" s="44"/>
    </row>
    <row r="238" spans="2:22" x14ac:dyDescent="0.3">
      <c r="B238" s="52"/>
      <c r="C238" s="43"/>
      <c r="D238" s="43"/>
      <c r="E238" s="43"/>
      <c r="F238" s="43"/>
      <c r="G238" s="49"/>
      <c r="H238" s="49"/>
      <c r="I238" s="49"/>
      <c r="J238" s="49"/>
      <c r="K238" s="49"/>
      <c r="L238" s="49"/>
      <c r="M238" s="49"/>
      <c r="N238" s="49"/>
      <c r="O238" s="49"/>
      <c r="P238" s="49"/>
      <c r="Q238" s="49"/>
      <c r="R238" s="49"/>
      <c r="S238" s="49"/>
      <c r="T238" s="49"/>
      <c r="U238" s="49"/>
      <c r="V238" s="44"/>
    </row>
    <row r="239" spans="2:22" x14ac:dyDescent="0.3">
      <c r="B239" s="52"/>
      <c r="C239" s="43"/>
      <c r="D239" s="43"/>
      <c r="E239" s="43"/>
      <c r="F239" s="43"/>
      <c r="G239" s="49"/>
      <c r="H239" s="49"/>
      <c r="I239" s="49"/>
      <c r="J239" s="49"/>
      <c r="K239" s="49"/>
      <c r="L239" s="49"/>
      <c r="M239" s="49"/>
      <c r="N239" s="49"/>
      <c r="O239" s="49"/>
      <c r="P239" s="49"/>
      <c r="Q239" s="49"/>
      <c r="R239" s="49"/>
      <c r="S239" s="49"/>
      <c r="T239" s="49"/>
      <c r="U239" s="49"/>
      <c r="V239" s="44"/>
    </row>
    <row r="240" spans="2:22" x14ac:dyDescent="0.3">
      <c r="B240" s="52"/>
      <c r="C240" s="43"/>
      <c r="D240" s="43"/>
      <c r="E240" s="43"/>
      <c r="F240" s="43"/>
      <c r="G240" s="49"/>
      <c r="H240" s="49"/>
      <c r="I240" s="49"/>
      <c r="J240" s="49"/>
      <c r="K240" s="49"/>
      <c r="L240" s="49"/>
      <c r="M240" s="49"/>
      <c r="N240" s="49"/>
      <c r="O240" s="49"/>
      <c r="P240" s="49"/>
      <c r="Q240" s="49"/>
      <c r="R240" s="49"/>
      <c r="S240" s="49"/>
      <c r="T240" s="49"/>
      <c r="U240" s="49"/>
      <c r="V240" s="44"/>
    </row>
    <row r="241" spans="2:22" x14ac:dyDescent="0.3">
      <c r="B241" s="52"/>
      <c r="C241" s="43"/>
      <c r="D241" s="43"/>
      <c r="E241" s="43"/>
      <c r="F241" s="43"/>
      <c r="G241" s="49"/>
      <c r="H241" s="49"/>
      <c r="I241" s="49"/>
      <c r="J241" s="49"/>
      <c r="K241" s="49"/>
      <c r="L241" s="49"/>
      <c r="M241" s="49"/>
      <c r="N241" s="49"/>
      <c r="O241" s="49"/>
      <c r="P241" s="49"/>
      <c r="Q241" s="49"/>
      <c r="R241" s="49"/>
      <c r="S241" s="49"/>
      <c r="T241" s="49"/>
      <c r="U241" s="49"/>
      <c r="V241" s="44"/>
    </row>
    <row r="242" spans="2:22" x14ac:dyDescent="0.3">
      <c r="B242" s="52"/>
      <c r="C242" s="43"/>
      <c r="D242" s="43"/>
      <c r="E242" s="43"/>
      <c r="F242" s="43"/>
      <c r="G242" s="49"/>
      <c r="H242" s="49"/>
      <c r="I242" s="49"/>
      <c r="J242" s="49"/>
      <c r="K242" s="49"/>
      <c r="L242" s="49"/>
      <c r="M242" s="49"/>
      <c r="N242" s="49"/>
      <c r="O242" s="49"/>
      <c r="P242" s="49"/>
      <c r="Q242" s="49"/>
      <c r="R242" s="49"/>
      <c r="S242" s="49"/>
      <c r="T242" s="49"/>
      <c r="U242" s="49"/>
      <c r="V242" s="44"/>
    </row>
    <row r="243" spans="2:22" x14ac:dyDescent="0.3">
      <c r="B243" s="52"/>
      <c r="C243" s="43"/>
      <c r="D243" s="43"/>
      <c r="E243" s="43"/>
      <c r="F243" s="43"/>
      <c r="G243" s="49"/>
      <c r="H243" s="49"/>
      <c r="I243" s="49"/>
      <c r="J243" s="49"/>
      <c r="K243" s="49"/>
      <c r="L243" s="49"/>
      <c r="M243" s="49"/>
      <c r="N243" s="49"/>
      <c r="O243" s="49"/>
      <c r="P243" s="49"/>
      <c r="Q243" s="49"/>
      <c r="R243" s="49"/>
      <c r="S243" s="49"/>
      <c r="T243" s="49"/>
      <c r="U243" s="49"/>
      <c r="V243" s="44"/>
    </row>
    <row r="244" spans="2:22" x14ac:dyDescent="0.3">
      <c r="B244" s="52"/>
      <c r="C244" s="43"/>
      <c r="D244" s="43"/>
      <c r="E244" s="43"/>
      <c r="F244" s="43"/>
      <c r="G244" s="49"/>
      <c r="H244" s="49"/>
      <c r="I244" s="49"/>
      <c r="J244" s="49"/>
      <c r="K244" s="49"/>
      <c r="L244" s="49"/>
      <c r="M244" s="49"/>
      <c r="N244" s="49"/>
      <c r="O244" s="49"/>
      <c r="P244" s="49"/>
      <c r="Q244" s="49"/>
      <c r="R244" s="49"/>
      <c r="S244" s="49"/>
      <c r="T244" s="49"/>
      <c r="U244" s="49"/>
      <c r="V244" s="44"/>
    </row>
    <row r="245" spans="2:22" x14ac:dyDescent="0.3">
      <c r="B245" s="52"/>
      <c r="C245" s="43"/>
      <c r="D245" s="43"/>
      <c r="E245" s="43"/>
      <c r="F245" s="43"/>
      <c r="G245" s="49"/>
      <c r="H245" s="49"/>
      <c r="I245" s="49"/>
      <c r="J245" s="49"/>
      <c r="K245" s="49"/>
      <c r="L245" s="49"/>
      <c r="M245" s="49"/>
      <c r="N245" s="49"/>
      <c r="O245" s="49"/>
      <c r="P245" s="49"/>
      <c r="Q245" s="49"/>
      <c r="R245" s="49"/>
      <c r="S245" s="49"/>
      <c r="T245" s="49"/>
      <c r="U245" s="49"/>
      <c r="V245" s="44"/>
    </row>
    <row r="246" spans="2:22" x14ac:dyDescent="0.3">
      <c r="B246" s="52"/>
      <c r="C246" s="43"/>
      <c r="D246" s="43"/>
      <c r="E246" s="43"/>
      <c r="F246" s="43"/>
      <c r="G246" s="49"/>
      <c r="H246" s="49"/>
      <c r="I246" s="49"/>
      <c r="J246" s="49"/>
      <c r="K246" s="49"/>
      <c r="L246" s="49"/>
      <c r="M246" s="49"/>
      <c r="N246" s="49"/>
      <c r="O246" s="49"/>
      <c r="P246" s="49"/>
      <c r="Q246" s="49"/>
      <c r="R246" s="49"/>
      <c r="S246" s="49"/>
      <c r="T246" s="49"/>
      <c r="U246" s="49"/>
      <c r="V246" s="44"/>
    </row>
    <row r="247" spans="2:22" x14ac:dyDescent="0.3">
      <c r="B247" s="52"/>
      <c r="C247" s="43"/>
      <c r="D247" s="43"/>
      <c r="E247" s="43"/>
      <c r="F247" s="43"/>
      <c r="G247" s="49"/>
      <c r="H247" s="49"/>
      <c r="I247" s="49"/>
      <c r="J247" s="49"/>
      <c r="K247" s="49"/>
      <c r="L247" s="49"/>
      <c r="M247" s="49"/>
      <c r="N247" s="49"/>
      <c r="O247" s="49"/>
      <c r="P247" s="49"/>
      <c r="Q247" s="49"/>
      <c r="R247" s="49"/>
      <c r="S247" s="49"/>
      <c r="T247" s="49"/>
      <c r="U247" s="49"/>
      <c r="V247" s="44"/>
    </row>
    <row r="248" spans="2:22" x14ac:dyDescent="0.3">
      <c r="B248" s="52"/>
      <c r="C248" s="43"/>
      <c r="D248" s="43"/>
      <c r="E248" s="43"/>
      <c r="F248" s="43"/>
      <c r="G248" s="49"/>
      <c r="H248" s="49"/>
      <c r="I248" s="49"/>
      <c r="J248" s="49"/>
      <c r="K248" s="49"/>
      <c r="L248" s="49"/>
      <c r="M248" s="49"/>
      <c r="N248" s="49"/>
      <c r="O248" s="49"/>
      <c r="P248" s="49"/>
      <c r="Q248" s="49"/>
      <c r="R248" s="49"/>
      <c r="S248" s="49"/>
      <c r="T248" s="49"/>
      <c r="U248" s="49"/>
      <c r="V248" s="44"/>
    </row>
    <row r="249" spans="2:22" x14ac:dyDescent="0.3">
      <c r="B249" s="52"/>
      <c r="C249" s="43"/>
      <c r="D249" s="43"/>
      <c r="E249" s="43"/>
      <c r="F249" s="43"/>
      <c r="G249" s="49"/>
      <c r="H249" s="49"/>
      <c r="I249" s="49"/>
      <c r="J249" s="49"/>
      <c r="K249" s="49"/>
      <c r="L249" s="49"/>
      <c r="M249" s="49"/>
      <c r="N249" s="49"/>
      <c r="O249" s="49"/>
      <c r="P249" s="49"/>
      <c r="Q249" s="49"/>
      <c r="R249" s="49"/>
      <c r="S249" s="49"/>
      <c r="T249" s="49"/>
      <c r="U249" s="49"/>
      <c r="V249" s="44"/>
    </row>
    <row r="250" spans="2:22" x14ac:dyDescent="0.3">
      <c r="B250" s="52"/>
      <c r="C250" s="43"/>
      <c r="D250" s="43"/>
      <c r="E250" s="43"/>
      <c r="F250" s="43"/>
      <c r="G250" s="49"/>
      <c r="H250" s="49"/>
      <c r="I250" s="49"/>
      <c r="J250" s="49"/>
      <c r="K250" s="49"/>
      <c r="L250" s="49"/>
      <c r="M250" s="49"/>
      <c r="N250" s="49"/>
      <c r="O250" s="49"/>
      <c r="P250" s="49"/>
      <c r="Q250" s="49"/>
      <c r="R250" s="49"/>
      <c r="S250" s="49"/>
      <c r="T250" s="49"/>
      <c r="U250" s="49"/>
      <c r="V250" s="44"/>
    </row>
    <row r="251" spans="2:22" x14ac:dyDescent="0.3">
      <c r="B251" s="52"/>
      <c r="C251" s="43"/>
      <c r="D251" s="43"/>
      <c r="E251" s="43"/>
      <c r="F251" s="43"/>
      <c r="G251" s="49"/>
      <c r="H251" s="49"/>
      <c r="I251" s="49"/>
      <c r="J251" s="49"/>
      <c r="K251" s="49"/>
      <c r="L251" s="49"/>
      <c r="M251" s="49"/>
      <c r="N251" s="49"/>
      <c r="O251" s="49"/>
      <c r="P251" s="49"/>
      <c r="Q251" s="49"/>
      <c r="R251" s="49"/>
      <c r="S251" s="49"/>
      <c r="T251" s="49"/>
      <c r="U251" s="49"/>
      <c r="V251" s="44"/>
    </row>
    <row r="252" spans="2:22" x14ac:dyDescent="0.3">
      <c r="B252" s="52"/>
      <c r="C252" s="43"/>
      <c r="D252" s="43"/>
      <c r="E252" s="43"/>
      <c r="F252" s="43"/>
      <c r="G252" s="49"/>
      <c r="H252" s="49"/>
      <c r="I252" s="49"/>
      <c r="J252" s="49"/>
      <c r="K252" s="49"/>
      <c r="L252" s="49"/>
      <c r="M252" s="49"/>
      <c r="N252" s="49"/>
      <c r="O252" s="49"/>
      <c r="P252" s="49"/>
      <c r="Q252" s="49"/>
      <c r="R252" s="49"/>
      <c r="S252" s="49"/>
      <c r="T252" s="49"/>
      <c r="U252" s="49"/>
      <c r="V252" s="44"/>
    </row>
    <row r="253" spans="2:22" x14ac:dyDescent="0.3">
      <c r="B253" s="52"/>
      <c r="C253" s="43"/>
      <c r="D253" s="43"/>
      <c r="E253" s="43"/>
      <c r="F253" s="43"/>
      <c r="G253" s="49"/>
      <c r="H253" s="49"/>
      <c r="I253" s="49"/>
      <c r="J253" s="49"/>
      <c r="K253" s="49"/>
      <c r="L253" s="49"/>
      <c r="M253" s="49"/>
      <c r="N253" s="49"/>
      <c r="O253" s="49"/>
      <c r="P253" s="49"/>
      <c r="Q253" s="49"/>
      <c r="R253" s="49"/>
      <c r="S253" s="49"/>
      <c r="T253" s="49"/>
      <c r="U253" s="49"/>
      <c r="V253" s="44"/>
    </row>
    <row r="254" spans="2:22" x14ac:dyDescent="0.3">
      <c r="B254" s="52"/>
      <c r="C254" s="43"/>
      <c r="D254" s="43"/>
      <c r="E254" s="43"/>
      <c r="F254" s="43"/>
      <c r="G254" s="49"/>
      <c r="H254" s="49"/>
      <c r="I254" s="49"/>
      <c r="J254" s="49"/>
      <c r="K254" s="49"/>
      <c r="L254" s="49"/>
      <c r="M254" s="49"/>
      <c r="N254" s="49"/>
      <c r="O254" s="49"/>
      <c r="P254" s="49"/>
      <c r="Q254" s="49"/>
      <c r="R254" s="49"/>
      <c r="S254" s="49"/>
      <c r="T254" s="49"/>
      <c r="U254" s="49"/>
      <c r="V254" s="44"/>
    </row>
    <row r="255" spans="2:22" x14ac:dyDescent="0.3">
      <c r="B255" s="52"/>
      <c r="C255" s="43"/>
      <c r="D255" s="43"/>
      <c r="E255" s="43"/>
      <c r="F255" s="43"/>
      <c r="G255" s="49"/>
      <c r="H255" s="49"/>
      <c r="I255" s="49"/>
      <c r="J255" s="49"/>
      <c r="K255" s="49"/>
      <c r="L255" s="49"/>
      <c r="M255" s="49"/>
      <c r="N255" s="49"/>
      <c r="O255" s="49"/>
      <c r="P255" s="49"/>
      <c r="Q255" s="49"/>
      <c r="R255" s="49"/>
      <c r="S255" s="49"/>
      <c r="T255" s="49"/>
      <c r="U255" s="49"/>
      <c r="V255" s="44"/>
    </row>
    <row r="256" spans="2:22" x14ac:dyDescent="0.3">
      <c r="B256" s="52"/>
      <c r="C256" s="43"/>
      <c r="D256" s="43"/>
      <c r="E256" s="43"/>
      <c r="F256" s="43"/>
      <c r="G256" s="49"/>
      <c r="H256" s="49"/>
      <c r="I256" s="49"/>
      <c r="J256" s="49"/>
      <c r="K256" s="49"/>
      <c r="L256" s="49"/>
      <c r="M256" s="49"/>
      <c r="N256" s="49"/>
      <c r="O256" s="49"/>
      <c r="P256" s="49"/>
      <c r="Q256" s="49"/>
      <c r="R256" s="49"/>
      <c r="S256" s="49"/>
      <c r="T256" s="49"/>
      <c r="U256" s="49"/>
      <c r="V256" s="44"/>
    </row>
    <row r="257" spans="2:22" x14ac:dyDescent="0.3">
      <c r="B257" s="52"/>
      <c r="C257" s="43"/>
      <c r="D257" s="43"/>
      <c r="E257" s="43"/>
      <c r="F257" s="43"/>
      <c r="G257" s="49"/>
      <c r="H257" s="49"/>
      <c r="I257" s="49"/>
      <c r="J257" s="49"/>
      <c r="K257" s="49"/>
      <c r="L257" s="49"/>
      <c r="M257" s="49"/>
      <c r="N257" s="49"/>
      <c r="O257" s="49"/>
      <c r="P257" s="49"/>
      <c r="Q257" s="49"/>
      <c r="R257" s="49"/>
      <c r="S257" s="49"/>
      <c r="T257" s="49"/>
      <c r="U257" s="49"/>
      <c r="V257" s="44"/>
    </row>
    <row r="258" spans="2:22" x14ac:dyDescent="0.3">
      <c r="B258" s="52"/>
      <c r="C258" s="43"/>
      <c r="D258" s="43"/>
      <c r="E258" s="43"/>
      <c r="F258" s="43"/>
      <c r="G258" s="49"/>
      <c r="H258" s="49"/>
      <c r="I258" s="49"/>
      <c r="J258" s="49"/>
      <c r="K258" s="49"/>
      <c r="L258" s="49"/>
      <c r="M258" s="49"/>
      <c r="N258" s="49"/>
      <c r="O258" s="49"/>
      <c r="P258" s="49"/>
      <c r="Q258" s="49"/>
      <c r="R258" s="49"/>
      <c r="S258" s="49"/>
      <c r="T258" s="49"/>
      <c r="U258" s="49"/>
      <c r="V258" s="44"/>
    </row>
    <row r="259" spans="2:22" x14ac:dyDescent="0.3">
      <c r="B259" s="52"/>
      <c r="C259" s="43"/>
      <c r="D259" s="43"/>
      <c r="E259" s="43"/>
      <c r="F259" s="43"/>
      <c r="G259" s="49"/>
      <c r="H259" s="49"/>
      <c r="I259" s="49"/>
      <c r="J259" s="49"/>
      <c r="K259" s="49"/>
      <c r="L259" s="49"/>
      <c r="M259" s="49"/>
      <c r="N259" s="49"/>
      <c r="O259" s="49"/>
      <c r="P259" s="49"/>
      <c r="Q259" s="49"/>
      <c r="R259" s="49"/>
      <c r="S259" s="49"/>
      <c r="T259" s="49"/>
      <c r="U259" s="49"/>
      <c r="V259" s="44"/>
    </row>
    <row r="260" spans="2:22" x14ac:dyDescent="0.3">
      <c r="B260" s="52"/>
      <c r="C260" s="43"/>
      <c r="D260" s="43"/>
      <c r="E260" s="43"/>
      <c r="F260" s="43"/>
      <c r="G260" s="49"/>
      <c r="H260" s="49"/>
      <c r="I260" s="49"/>
      <c r="J260" s="49"/>
      <c r="K260" s="49"/>
      <c r="L260" s="49"/>
      <c r="M260" s="49"/>
      <c r="N260" s="49"/>
      <c r="O260" s="49"/>
      <c r="P260" s="49"/>
      <c r="Q260" s="49"/>
      <c r="R260" s="49"/>
      <c r="S260" s="49"/>
      <c r="T260" s="49"/>
      <c r="U260" s="49"/>
      <c r="V260" s="44"/>
    </row>
    <row r="261" spans="2:22" x14ac:dyDescent="0.3">
      <c r="B261" s="52"/>
      <c r="C261" s="43"/>
      <c r="D261" s="43"/>
      <c r="E261" s="43"/>
      <c r="F261" s="43"/>
      <c r="G261" s="49"/>
      <c r="H261" s="49"/>
      <c r="I261" s="49"/>
      <c r="J261" s="49"/>
      <c r="K261" s="49"/>
      <c r="L261" s="49"/>
      <c r="M261" s="49"/>
      <c r="N261" s="49"/>
      <c r="O261" s="49"/>
      <c r="P261" s="49"/>
      <c r="Q261" s="49"/>
      <c r="R261" s="49"/>
      <c r="S261" s="49"/>
      <c r="T261" s="49"/>
      <c r="U261" s="49"/>
      <c r="V261" s="44"/>
    </row>
    <row r="262" spans="2:22" x14ac:dyDescent="0.3">
      <c r="B262" s="52"/>
      <c r="C262" s="43"/>
      <c r="D262" s="43"/>
      <c r="E262" s="43"/>
      <c r="F262" s="43"/>
      <c r="G262" s="49"/>
      <c r="H262" s="49"/>
      <c r="I262" s="49"/>
      <c r="J262" s="49"/>
      <c r="K262" s="49"/>
      <c r="L262" s="49"/>
      <c r="M262" s="49"/>
      <c r="N262" s="49"/>
      <c r="O262" s="49"/>
      <c r="P262" s="49"/>
      <c r="Q262" s="49"/>
      <c r="R262" s="49"/>
      <c r="S262" s="49"/>
      <c r="T262" s="49"/>
      <c r="U262" s="49"/>
      <c r="V262" s="44"/>
    </row>
    <row r="263" spans="2:22" x14ac:dyDescent="0.3">
      <c r="B263" s="52"/>
      <c r="C263" s="43"/>
      <c r="D263" s="43"/>
      <c r="E263" s="43"/>
      <c r="F263" s="43"/>
      <c r="G263" s="49"/>
      <c r="H263" s="49"/>
      <c r="I263" s="49"/>
      <c r="J263" s="49"/>
      <c r="K263" s="49"/>
      <c r="L263" s="49"/>
      <c r="M263" s="49"/>
      <c r="N263" s="49"/>
      <c r="O263" s="49"/>
      <c r="P263" s="49"/>
      <c r="Q263" s="49"/>
      <c r="R263" s="49"/>
      <c r="S263" s="49"/>
      <c r="T263" s="49"/>
      <c r="U263" s="49"/>
      <c r="V263" s="44"/>
    </row>
    <row r="264" spans="2:22" x14ac:dyDescent="0.3">
      <c r="B264" s="52"/>
      <c r="C264" s="43"/>
      <c r="D264" s="43"/>
      <c r="E264" s="43"/>
      <c r="F264" s="43"/>
      <c r="G264" s="49"/>
      <c r="H264" s="49"/>
      <c r="I264" s="49"/>
      <c r="J264" s="49"/>
      <c r="K264" s="49"/>
      <c r="L264" s="49"/>
      <c r="M264" s="49"/>
      <c r="N264" s="49"/>
      <c r="O264" s="49"/>
      <c r="P264" s="49"/>
      <c r="Q264" s="49"/>
      <c r="R264" s="49"/>
      <c r="S264" s="49"/>
      <c r="T264" s="49"/>
      <c r="U264" s="49"/>
      <c r="V264" s="44"/>
    </row>
    <row r="265" spans="2:22" x14ac:dyDescent="0.3">
      <c r="B265" s="52"/>
      <c r="C265" s="43"/>
      <c r="D265" s="43"/>
      <c r="E265" s="43"/>
      <c r="F265" s="43"/>
      <c r="G265" s="49"/>
      <c r="H265" s="49"/>
      <c r="I265" s="49"/>
      <c r="J265" s="49"/>
      <c r="K265" s="49"/>
      <c r="L265" s="49"/>
      <c r="M265" s="49"/>
      <c r="N265" s="49"/>
      <c r="O265" s="49"/>
      <c r="P265" s="49"/>
      <c r="Q265" s="49"/>
      <c r="R265" s="49"/>
      <c r="S265" s="49"/>
      <c r="T265" s="49"/>
      <c r="U265" s="49"/>
      <c r="V265" s="44"/>
    </row>
    <row r="266" spans="2:22" x14ac:dyDescent="0.3">
      <c r="B266" s="52"/>
      <c r="C266" s="43"/>
      <c r="D266" s="43"/>
      <c r="E266" s="43"/>
      <c r="F266" s="43"/>
      <c r="G266" s="49"/>
      <c r="H266" s="49"/>
      <c r="I266" s="49"/>
      <c r="J266" s="49"/>
      <c r="K266" s="49"/>
      <c r="L266" s="49"/>
      <c r="M266" s="49"/>
      <c r="N266" s="49"/>
      <c r="O266" s="49"/>
      <c r="P266" s="49"/>
      <c r="Q266" s="49"/>
      <c r="R266" s="49"/>
      <c r="S266" s="49"/>
      <c r="T266" s="49"/>
      <c r="U266" s="49"/>
      <c r="V266" s="44"/>
    </row>
    <row r="267" spans="2:22" x14ac:dyDescent="0.3">
      <c r="B267" s="52"/>
      <c r="C267" s="43"/>
      <c r="D267" s="43"/>
      <c r="E267" s="43"/>
      <c r="F267" s="43"/>
      <c r="G267" s="49"/>
      <c r="H267" s="49"/>
      <c r="I267" s="49"/>
      <c r="J267" s="49"/>
      <c r="K267" s="49"/>
      <c r="L267" s="49"/>
      <c r="M267" s="49"/>
      <c r="N267" s="49"/>
      <c r="O267" s="49"/>
      <c r="P267" s="49"/>
      <c r="Q267" s="49"/>
      <c r="R267" s="49"/>
      <c r="S267" s="49"/>
      <c r="T267" s="49"/>
      <c r="U267" s="49"/>
      <c r="V267" s="44"/>
    </row>
    <row r="268" spans="2:22" x14ac:dyDescent="0.3">
      <c r="B268" s="52"/>
      <c r="C268" s="43"/>
      <c r="D268" s="43"/>
      <c r="E268" s="43"/>
      <c r="F268" s="43"/>
      <c r="G268" s="49"/>
      <c r="H268" s="49"/>
      <c r="I268" s="49"/>
      <c r="J268" s="49"/>
      <c r="K268" s="49"/>
      <c r="L268" s="49"/>
      <c r="M268" s="49"/>
      <c r="N268" s="49"/>
      <c r="O268" s="49"/>
      <c r="P268" s="49"/>
      <c r="Q268" s="49"/>
      <c r="R268" s="49"/>
      <c r="S268" s="49"/>
      <c r="T268" s="49"/>
      <c r="U268" s="49"/>
      <c r="V268" s="44"/>
    </row>
    <row r="269" spans="2:22" x14ac:dyDescent="0.3">
      <c r="B269" s="52"/>
      <c r="C269" s="43"/>
      <c r="D269" s="43"/>
      <c r="E269" s="43"/>
      <c r="F269" s="43"/>
      <c r="G269" s="49"/>
      <c r="H269" s="49"/>
      <c r="I269" s="49"/>
      <c r="J269" s="49"/>
      <c r="K269" s="49"/>
      <c r="L269" s="49"/>
      <c r="M269" s="49"/>
      <c r="N269" s="49"/>
      <c r="O269" s="49"/>
      <c r="P269" s="49"/>
      <c r="Q269" s="49"/>
      <c r="R269" s="49"/>
      <c r="S269" s="49"/>
      <c r="T269" s="49"/>
      <c r="U269" s="49"/>
      <c r="V269" s="44"/>
    </row>
    <row r="270" spans="2:22" x14ac:dyDescent="0.3">
      <c r="B270" s="52"/>
      <c r="C270" s="43"/>
      <c r="D270" s="43"/>
      <c r="E270" s="43"/>
      <c r="F270" s="43"/>
      <c r="G270" s="49"/>
      <c r="H270" s="49"/>
      <c r="I270" s="49"/>
      <c r="J270" s="49"/>
      <c r="K270" s="49"/>
      <c r="L270" s="49"/>
      <c r="M270" s="49"/>
      <c r="N270" s="49"/>
      <c r="O270" s="49"/>
      <c r="P270" s="49"/>
      <c r="Q270" s="49"/>
      <c r="R270" s="49"/>
      <c r="S270" s="49"/>
      <c r="T270" s="49"/>
      <c r="U270" s="49"/>
      <c r="V270" s="44"/>
    </row>
    <row r="271" spans="2:22" x14ac:dyDescent="0.3">
      <c r="B271" s="52"/>
      <c r="C271" s="43"/>
      <c r="D271" s="43"/>
      <c r="E271" s="43"/>
      <c r="F271" s="43"/>
      <c r="G271" s="49"/>
      <c r="H271" s="49"/>
      <c r="I271" s="49"/>
      <c r="J271" s="49"/>
      <c r="K271" s="49"/>
      <c r="L271" s="49"/>
      <c r="M271" s="49"/>
      <c r="N271" s="49"/>
      <c r="O271" s="49"/>
      <c r="P271" s="49"/>
      <c r="Q271" s="49"/>
      <c r="R271" s="49"/>
      <c r="S271" s="49"/>
      <c r="T271" s="49"/>
      <c r="U271" s="49"/>
      <c r="V271" s="44"/>
    </row>
    <row r="272" spans="2:22" x14ac:dyDescent="0.3">
      <c r="B272" s="220" t="s">
        <v>193</v>
      </c>
      <c r="C272" s="220"/>
      <c r="D272" s="220"/>
      <c r="E272" s="220"/>
      <c r="F272" s="220"/>
      <c r="G272" s="45">
        <f t="shared" ref="G272:O272" si="0">SUM(G9:G271)</f>
        <v>0</v>
      </c>
      <c r="H272" s="45">
        <f t="shared" si="0"/>
        <v>0</v>
      </c>
      <c r="I272" s="45">
        <f t="shared" si="0"/>
        <v>0</v>
      </c>
      <c r="J272" s="45">
        <f t="shared" si="0"/>
        <v>0</v>
      </c>
      <c r="K272" s="45">
        <f t="shared" si="0"/>
        <v>0</v>
      </c>
      <c r="L272" s="45">
        <f t="shared" si="0"/>
        <v>0</v>
      </c>
      <c r="M272" s="45">
        <f t="shared" si="0"/>
        <v>0</v>
      </c>
      <c r="N272" s="45">
        <f t="shared" si="0"/>
        <v>0</v>
      </c>
      <c r="O272" s="45">
        <f t="shared" si="0"/>
        <v>0</v>
      </c>
      <c r="P272" s="45"/>
      <c r="Q272" s="45"/>
      <c r="R272" s="45">
        <f>SUM(R9:R271)</f>
        <v>0</v>
      </c>
      <c r="S272" s="45">
        <f>SUM(S9:S271)</f>
        <v>0</v>
      </c>
      <c r="T272" s="45">
        <f>SUM(T9:T271)</f>
        <v>0</v>
      </c>
      <c r="U272" s="45">
        <f>SUM(U9:U271)</f>
        <v>0</v>
      </c>
      <c r="V272" s="41"/>
    </row>
    <row r="274" spans="2:22" x14ac:dyDescent="0.3">
      <c r="R274" s="255">
        <f>WORKDAY.INTL(EOMONTH(DATE(M5,K5,1),0)+1,-1,IF(CHE_DO_NGHI=1,1,11),INDEX(DATA_NGHI_LE[],0,1))</f>
        <v>44957</v>
      </c>
      <c r="S274" s="255"/>
      <c r="T274" s="255"/>
      <c r="U274" s="255"/>
      <c r="V274" s="255"/>
    </row>
    <row r="275" spans="2:22" x14ac:dyDescent="0.3">
      <c r="B275" s="247" t="s">
        <v>304</v>
      </c>
      <c r="C275" s="247"/>
      <c r="D275" s="247"/>
      <c r="K275" s="247" t="s">
        <v>305</v>
      </c>
      <c r="L275" s="247"/>
      <c r="M275" s="247"/>
      <c r="R275" s="247" t="s">
        <v>11</v>
      </c>
      <c r="S275" s="247"/>
      <c r="T275" s="247"/>
      <c r="U275" s="247"/>
      <c r="V275" s="247"/>
    </row>
    <row r="276" spans="2:22" x14ac:dyDescent="0.3">
      <c r="B276" s="248" t="s">
        <v>95</v>
      </c>
      <c r="C276" s="248"/>
      <c r="D276" s="248"/>
      <c r="K276" s="248" t="s">
        <v>95</v>
      </c>
      <c r="L276" s="248"/>
      <c r="M276" s="248"/>
      <c r="R276" s="248" t="s">
        <v>97</v>
      </c>
      <c r="S276" s="248"/>
      <c r="T276" s="248"/>
      <c r="U276" s="248"/>
      <c r="V276" s="248"/>
    </row>
  </sheetData>
  <mergeCells count="27">
    <mergeCell ref="R274:V274"/>
    <mergeCell ref="B275:D275"/>
    <mergeCell ref="B276:D276"/>
    <mergeCell ref="K275:M275"/>
    <mergeCell ref="K276:M276"/>
    <mergeCell ref="R275:V275"/>
    <mergeCell ref="R276:V276"/>
    <mergeCell ref="R1:V1"/>
    <mergeCell ref="R2:V2"/>
    <mergeCell ref="R3:V3"/>
    <mergeCell ref="P7:P8"/>
    <mergeCell ref="Q7:Q8"/>
    <mergeCell ref="R7:T7"/>
    <mergeCell ref="U7:U8"/>
    <mergeCell ref="F7:F8"/>
    <mergeCell ref="G7:G8"/>
    <mergeCell ref="V7:V8"/>
    <mergeCell ref="B272:F272"/>
    <mergeCell ref="B4:V4"/>
    <mergeCell ref="H7:H8"/>
    <mergeCell ref="I7:I8"/>
    <mergeCell ref="J7:N7"/>
    <mergeCell ref="O7:O8"/>
    <mergeCell ref="B7:B8"/>
    <mergeCell ref="C7:C8"/>
    <mergeCell ref="D7:D8"/>
    <mergeCell ref="E7:E8"/>
  </mergeCells>
  <pageMargins left="0.7" right="0.7" top="0.75" bottom="0.75" header="0.3" footer="0.3"/>
  <pageSetup paperSize="9" scale="50"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B163-D464-4FE9-BE43-8F49BA1C4D27}">
  <sheetPr codeName="Sheet75">
    <tabColor theme="2" tint="-0.749992370372631"/>
  </sheetPr>
  <dimension ref="A1:I25"/>
  <sheetViews>
    <sheetView workbookViewId="0">
      <selection activeCell="G17" sqref="A10:G17"/>
    </sheetView>
  </sheetViews>
  <sheetFormatPr defaultRowHeight="17.399999999999999" x14ac:dyDescent="0.35"/>
  <cols>
    <col min="1" max="1" width="7.109375" style="103" bestFit="1" customWidth="1"/>
    <col min="2" max="2" width="5.88671875" style="103" bestFit="1" customWidth="1"/>
    <col min="3" max="3" width="11.21875" style="104" bestFit="1" customWidth="1"/>
    <col min="4" max="4" width="19.109375" style="102" bestFit="1" customWidth="1"/>
    <col min="5" max="5" width="18.6640625" style="102" bestFit="1" customWidth="1"/>
    <col min="6" max="6" width="18.88671875" style="102" bestFit="1" customWidth="1"/>
    <col min="7" max="7" width="19.109375" style="102" bestFit="1" customWidth="1"/>
    <col min="8" max="8" width="18.6640625" style="102" bestFit="1" customWidth="1"/>
    <col min="9" max="9" width="18.88671875" style="102" bestFit="1" customWidth="1"/>
    <col min="10" max="16384" width="8.88671875" style="102"/>
  </cols>
  <sheetData>
    <row r="1" spans="1:9" s="101" customFormat="1" ht="18" thickBot="1" x14ac:dyDescent="0.35">
      <c r="A1" s="106" t="s">
        <v>92</v>
      </c>
      <c r="B1" s="107" t="s">
        <v>93</v>
      </c>
      <c r="C1" s="107" t="s">
        <v>8</v>
      </c>
      <c r="D1" s="108" t="s">
        <v>440</v>
      </c>
      <c r="E1" s="108" t="s">
        <v>441</v>
      </c>
      <c r="F1" s="108" t="s">
        <v>442</v>
      </c>
      <c r="G1" s="108" t="s">
        <v>443</v>
      </c>
      <c r="H1" s="108" t="s">
        <v>444</v>
      </c>
      <c r="I1" s="109" t="s">
        <v>445</v>
      </c>
    </row>
    <row r="2" spans="1:9" x14ac:dyDescent="0.35">
      <c r="A2" s="103">
        <v>1</v>
      </c>
      <c r="B2" s="103">
        <v>2023</v>
      </c>
      <c r="C2" s="104" t="s">
        <v>439</v>
      </c>
      <c r="D2" s="105">
        <v>6134310</v>
      </c>
      <c r="E2" s="105">
        <v>1051596</v>
      </c>
      <c r="F2" s="105">
        <v>350532</v>
      </c>
      <c r="G2" s="105">
        <v>2804256</v>
      </c>
      <c r="H2" s="105">
        <v>525798</v>
      </c>
      <c r="I2" s="105">
        <v>350532</v>
      </c>
    </row>
    <row r="3" spans="1:9" x14ac:dyDescent="0.35">
      <c r="A3" s="103">
        <v>1</v>
      </c>
      <c r="B3" s="103">
        <v>2023</v>
      </c>
      <c r="C3" s="104" t="s">
        <v>438</v>
      </c>
      <c r="D3" s="105">
        <v>2628990</v>
      </c>
      <c r="E3" s="105">
        <v>450684</v>
      </c>
      <c r="F3" s="105">
        <v>150228</v>
      </c>
      <c r="G3" s="105">
        <v>1201824</v>
      </c>
      <c r="H3" s="105">
        <v>225342</v>
      </c>
      <c r="I3" s="105">
        <v>150228</v>
      </c>
    </row>
    <row r="4" spans="1:9" x14ac:dyDescent="0.35">
      <c r="A4" s="103">
        <v>2</v>
      </c>
      <c r="B4" s="103">
        <v>2023</v>
      </c>
      <c r="C4" s="104" t="s">
        <v>439</v>
      </c>
      <c r="D4" s="105">
        <v>10553060</v>
      </c>
      <c r="E4" s="105">
        <v>1809096</v>
      </c>
      <c r="F4" s="105">
        <v>603032</v>
      </c>
      <c r="G4" s="105">
        <v>4824256</v>
      </c>
      <c r="H4" s="105">
        <v>904548</v>
      </c>
      <c r="I4" s="105">
        <v>603032</v>
      </c>
    </row>
    <row r="5" spans="1:9" x14ac:dyDescent="0.35">
      <c r="A5" s="103">
        <v>2</v>
      </c>
      <c r="B5" s="103">
        <v>2023</v>
      </c>
      <c r="C5" s="104" t="s">
        <v>438</v>
      </c>
      <c r="D5" s="105">
        <v>2628990</v>
      </c>
      <c r="E5" s="105">
        <v>450684</v>
      </c>
      <c r="F5" s="105">
        <v>150228</v>
      </c>
      <c r="G5" s="105">
        <v>1201824</v>
      </c>
      <c r="H5" s="105">
        <v>225342</v>
      </c>
      <c r="I5" s="105">
        <v>150228</v>
      </c>
    </row>
    <row r="6" spans="1:9" x14ac:dyDescent="0.35">
      <c r="A6" s="103">
        <v>3</v>
      </c>
      <c r="B6" s="103">
        <v>2023</v>
      </c>
      <c r="C6" s="104" t="s">
        <v>439</v>
      </c>
      <c r="D6" s="105">
        <v>10553060</v>
      </c>
      <c r="E6" s="105">
        <v>1809096</v>
      </c>
      <c r="F6" s="105">
        <v>603032</v>
      </c>
      <c r="G6" s="105">
        <v>4824256</v>
      </c>
      <c r="H6" s="105">
        <v>904548</v>
      </c>
      <c r="I6" s="105">
        <v>603032</v>
      </c>
    </row>
    <row r="7" spans="1:9" x14ac:dyDescent="0.35">
      <c r="A7" s="103">
        <v>3</v>
      </c>
      <c r="B7" s="103">
        <v>2023</v>
      </c>
      <c r="C7" s="104" t="s">
        <v>438</v>
      </c>
      <c r="D7" s="105">
        <v>2628990</v>
      </c>
      <c r="E7" s="105">
        <v>450684</v>
      </c>
      <c r="F7" s="105">
        <v>150228</v>
      </c>
      <c r="G7" s="105">
        <v>1201824</v>
      </c>
      <c r="H7" s="105">
        <v>225342</v>
      </c>
      <c r="I7" s="105">
        <v>150228</v>
      </c>
    </row>
    <row r="8" spans="1:9" x14ac:dyDescent="0.35">
      <c r="A8" s="103">
        <v>4</v>
      </c>
      <c r="B8" s="103">
        <v>2023</v>
      </c>
      <c r="C8" s="104" t="s">
        <v>439</v>
      </c>
      <c r="D8" s="105">
        <v>10553060</v>
      </c>
      <c r="E8" s="105">
        <v>1809096</v>
      </c>
      <c r="F8" s="105">
        <v>603032</v>
      </c>
      <c r="G8" s="105">
        <v>4824256</v>
      </c>
      <c r="H8" s="105">
        <v>904548</v>
      </c>
      <c r="I8" s="105">
        <v>603032</v>
      </c>
    </row>
    <row r="9" spans="1:9" x14ac:dyDescent="0.35">
      <c r="A9" s="103">
        <v>4</v>
      </c>
      <c r="B9" s="103">
        <v>2023</v>
      </c>
      <c r="C9" s="104" t="s">
        <v>438</v>
      </c>
      <c r="D9" s="105">
        <v>2628990</v>
      </c>
      <c r="E9" s="105">
        <v>450684</v>
      </c>
      <c r="F9" s="105">
        <v>150228</v>
      </c>
      <c r="G9" s="105">
        <v>1201824</v>
      </c>
      <c r="H9" s="105">
        <v>225342</v>
      </c>
      <c r="I9" s="105">
        <v>150228</v>
      </c>
    </row>
    <row r="10" spans="1:9" x14ac:dyDescent="0.35">
      <c r="A10" s="103">
        <v>5</v>
      </c>
      <c r="B10" s="103">
        <v>2023</v>
      </c>
      <c r="C10" s="104" t="s">
        <v>439</v>
      </c>
      <c r="D10" s="105">
        <v>10553060</v>
      </c>
      <c r="E10" s="105">
        <v>1809096</v>
      </c>
      <c r="F10" s="105">
        <v>603032</v>
      </c>
      <c r="G10" s="105">
        <v>4824256</v>
      </c>
      <c r="H10" s="105">
        <v>904548</v>
      </c>
      <c r="I10" s="105">
        <v>603032</v>
      </c>
    </row>
    <row r="11" spans="1:9" x14ac:dyDescent="0.35">
      <c r="A11" s="103">
        <v>5</v>
      </c>
      <c r="B11" s="103">
        <v>2023</v>
      </c>
      <c r="C11" s="104" t="s">
        <v>438</v>
      </c>
      <c r="D11" s="105">
        <v>2628990</v>
      </c>
      <c r="E11" s="105">
        <v>450684</v>
      </c>
      <c r="F11" s="105">
        <v>150228</v>
      </c>
      <c r="G11" s="105">
        <v>1201824</v>
      </c>
      <c r="H11" s="105">
        <v>225342</v>
      </c>
      <c r="I11" s="105">
        <v>150228</v>
      </c>
    </row>
    <row r="12" spans="1:9" x14ac:dyDescent="0.35">
      <c r="A12" s="103">
        <v>6</v>
      </c>
      <c r="B12" s="103">
        <v>2023</v>
      </c>
      <c r="C12" s="104" t="s">
        <v>439</v>
      </c>
      <c r="D12" s="105">
        <v>10553060</v>
      </c>
      <c r="E12" s="105">
        <v>1809096</v>
      </c>
      <c r="F12" s="105">
        <v>603032</v>
      </c>
      <c r="G12" s="105">
        <v>4824256</v>
      </c>
      <c r="H12" s="105">
        <v>904548</v>
      </c>
      <c r="I12" s="105">
        <v>603032</v>
      </c>
    </row>
    <row r="13" spans="1:9" x14ac:dyDescent="0.35">
      <c r="A13" s="103">
        <v>6</v>
      </c>
      <c r="B13" s="103">
        <v>2023</v>
      </c>
      <c r="C13" s="104" t="s">
        <v>438</v>
      </c>
      <c r="D13" s="105">
        <v>2628990</v>
      </c>
      <c r="E13" s="105">
        <v>450684</v>
      </c>
      <c r="F13" s="105">
        <v>150228</v>
      </c>
      <c r="G13" s="105">
        <v>1201824</v>
      </c>
      <c r="H13" s="105">
        <v>225342</v>
      </c>
      <c r="I13" s="105">
        <v>150228</v>
      </c>
    </row>
    <row r="14" spans="1:9" x14ac:dyDescent="0.35">
      <c r="A14" s="103">
        <v>7</v>
      </c>
      <c r="B14" s="103">
        <v>2023</v>
      </c>
      <c r="C14" s="104" t="s">
        <v>439</v>
      </c>
      <c r="D14" s="105">
        <v>10553060</v>
      </c>
      <c r="E14" s="105">
        <v>1809096</v>
      </c>
      <c r="F14" s="105">
        <v>603032</v>
      </c>
      <c r="G14" s="105">
        <v>4824256</v>
      </c>
      <c r="H14" s="105">
        <v>904548</v>
      </c>
      <c r="I14" s="105">
        <v>603032</v>
      </c>
    </row>
    <row r="15" spans="1:9" x14ac:dyDescent="0.35">
      <c r="A15" s="103">
        <v>7</v>
      </c>
      <c r="B15" s="103">
        <v>2023</v>
      </c>
      <c r="C15" s="104" t="s">
        <v>438</v>
      </c>
      <c r="D15" s="105">
        <v>2628990</v>
      </c>
      <c r="E15" s="105">
        <v>450684</v>
      </c>
      <c r="F15" s="105">
        <v>150228</v>
      </c>
      <c r="G15" s="105">
        <v>1201824</v>
      </c>
      <c r="H15" s="105">
        <v>225342</v>
      </c>
      <c r="I15" s="105">
        <v>150228</v>
      </c>
    </row>
    <row r="16" spans="1:9" x14ac:dyDescent="0.35">
      <c r="A16" s="103">
        <v>8</v>
      </c>
      <c r="B16" s="103">
        <v>2023</v>
      </c>
      <c r="C16" s="104" t="s">
        <v>439</v>
      </c>
      <c r="D16" s="105">
        <v>10553060</v>
      </c>
      <c r="E16" s="105">
        <v>1809096</v>
      </c>
      <c r="F16" s="105">
        <v>603032</v>
      </c>
      <c r="G16" s="105">
        <v>4824256</v>
      </c>
      <c r="H16" s="105">
        <v>904548</v>
      </c>
      <c r="I16" s="105">
        <v>603032</v>
      </c>
    </row>
    <row r="17" spans="1:9" x14ac:dyDescent="0.35">
      <c r="A17" s="103">
        <v>8</v>
      </c>
      <c r="B17" s="103">
        <v>2023</v>
      </c>
      <c r="C17" s="104" t="s">
        <v>438</v>
      </c>
      <c r="D17" s="105">
        <v>2628990</v>
      </c>
      <c r="E17" s="105">
        <v>450684</v>
      </c>
      <c r="F17" s="105">
        <v>150228</v>
      </c>
      <c r="G17" s="105">
        <v>1201824</v>
      </c>
      <c r="H17" s="105">
        <v>225342</v>
      </c>
      <c r="I17" s="105">
        <v>150228</v>
      </c>
    </row>
    <row r="18" spans="1:9" x14ac:dyDescent="0.35">
      <c r="A18" s="103">
        <v>9</v>
      </c>
      <c r="B18" s="103">
        <v>2023</v>
      </c>
      <c r="C18" s="104" t="s">
        <v>439</v>
      </c>
      <c r="D18" s="105">
        <v>10553060</v>
      </c>
      <c r="E18" s="105">
        <v>1809096</v>
      </c>
      <c r="F18" s="105">
        <v>603032</v>
      </c>
      <c r="G18" s="105">
        <v>4824256</v>
      </c>
      <c r="H18" s="105">
        <v>904548</v>
      </c>
      <c r="I18" s="105">
        <v>603032</v>
      </c>
    </row>
    <row r="19" spans="1:9" x14ac:dyDescent="0.35">
      <c r="A19" s="103">
        <v>9</v>
      </c>
      <c r="B19" s="103">
        <v>2023</v>
      </c>
      <c r="C19" s="104" t="s">
        <v>438</v>
      </c>
      <c r="D19" s="105">
        <v>2628990</v>
      </c>
      <c r="E19" s="105">
        <v>450684</v>
      </c>
      <c r="F19" s="105">
        <v>150228</v>
      </c>
      <c r="G19" s="105">
        <v>1201824</v>
      </c>
      <c r="H19" s="105">
        <v>225342</v>
      </c>
      <c r="I19" s="105">
        <v>150228</v>
      </c>
    </row>
    <row r="20" spans="1:9" x14ac:dyDescent="0.35">
      <c r="A20" s="103">
        <v>10</v>
      </c>
      <c r="B20" s="103">
        <v>2023</v>
      </c>
      <c r="C20" s="104" t="s">
        <v>439</v>
      </c>
      <c r="D20" s="105">
        <v>10553060</v>
      </c>
      <c r="E20" s="105">
        <v>1809096</v>
      </c>
      <c r="F20" s="105">
        <v>603032</v>
      </c>
      <c r="G20" s="105">
        <v>4824256</v>
      </c>
      <c r="H20" s="105">
        <v>904548</v>
      </c>
      <c r="I20" s="105">
        <v>603032</v>
      </c>
    </row>
    <row r="21" spans="1:9" x14ac:dyDescent="0.35">
      <c r="A21" s="103">
        <v>10</v>
      </c>
      <c r="B21" s="103">
        <v>2023</v>
      </c>
      <c r="C21" s="104" t="s">
        <v>438</v>
      </c>
      <c r="D21" s="105">
        <v>2628990</v>
      </c>
      <c r="E21" s="105">
        <v>450684</v>
      </c>
      <c r="F21" s="105">
        <v>150228</v>
      </c>
      <c r="G21" s="105">
        <v>1201824</v>
      </c>
      <c r="H21" s="105">
        <v>225342</v>
      </c>
      <c r="I21" s="105">
        <v>150228</v>
      </c>
    </row>
    <row r="22" spans="1:9" x14ac:dyDescent="0.35">
      <c r="A22" s="103">
        <v>11</v>
      </c>
      <c r="B22" s="103">
        <v>2023</v>
      </c>
      <c r="C22" s="104" t="s">
        <v>439</v>
      </c>
      <c r="D22" s="105">
        <v>8785560</v>
      </c>
      <c r="E22" s="105">
        <v>1506096</v>
      </c>
      <c r="F22" s="105">
        <v>502032</v>
      </c>
      <c r="G22" s="105">
        <v>4016256</v>
      </c>
      <c r="H22" s="105">
        <v>753048</v>
      </c>
      <c r="I22" s="105">
        <v>502032</v>
      </c>
    </row>
    <row r="23" spans="1:9" x14ac:dyDescent="0.35">
      <c r="A23" s="103">
        <v>11</v>
      </c>
      <c r="B23" s="103">
        <v>2023</v>
      </c>
      <c r="C23" s="104" t="s">
        <v>438</v>
      </c>
      <c r="D23" s="105">
        <v>2628990</v>
      </c>
      <c r="E23" s="105">
        <v>450684</v>
      </c>
      <c r="F23" s="105">
        <v>150228</v>
      </c>
      <c r="G23" s="105">
        <v>1201824</v>
      </c>
      <c r="H23" s="105">
        <v>225342</v>
      </c>
      <c r="I23" s="105">
        <v>150228</v>
      </c>
    </row>
    <row r="24" spans="1:9" x14ac:dyDescent="0.35">
      <c r="A24" s="103">
        <v>12</v>
      </c>
      <c r="B24" s="103">
        <v>2023</v>
      </c>
      <c r="C24" s="104" t="s">
        <v>439</v>
      </c>
      <c r="D24" s="105">
        <v>8785560</v>
      </c>
      <c r="E24" s="105">
        <v>1506096</v>
      </c>
      <c r="F24" s="105">
        <v>502032</v>
      </c>
      <c r="G24" s="105">
        <v>4016256</v>
      </c>
      <c r="H24" s="105">
        <v>753048</v>
      </c>
      <c r="I24" s="105">
        <v>502032</v>
      </c>
    </row>
    <row r="25" spans="1:9" x14ac:dyDescent="0.35">
      <c r="A25" s="103">
        <v>12</v>
      </c>
      <c r="B25" s="103">
        <v>2023</v>
      </c>
      <c r="C25" s="104" t="s">
        <v>438</v>
      </c>
      <c r="D25" s="105">
        <v>2628990</v>
      </c>
      <c r="E25" s="105">
        <v>450684</v>
      </c>
      <c r="F25" s="105">
        <v>150228</v>
      </c>
      <c r="G25" s="105">
        <v>1201824</v>
      </c>
      <c r="H25" s="105">
        <v>225342</v>
      </c>
      <c r="I25" s="105">
        <v>150228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01C8C-54D7-4F55-88CD-B1BE30BDE83D}">
  <sheetPr codeName="Sheet76">
    <tabColor theme="2" tint="-0.749992370372631"/>
  </sheetPr>
  <dimension ref="A1:R25"/>
  <sheetViews>
    <sheetView zoomScale="130" zoomScaleNormal="130" workbookViewId="0">
      <selection activeCell="F2" sqref="F2"/>
    </sheetView>
  </sheetViews>
  <sheetFormatPr defaultColWidth="17.44140625" defaultRowHeight="14.4" x14ac:dyDescent="0.3"/>
  <cols>
    <col min="1" max="1" width="5.88671875" style="5" bestFit="1" customWidth="1"/>
    <col min="2" max="2" width="5" style="5" bestFit="1" customWidth="1"/>
    <col min="3" max="3" width="9.33203125" style="55" bestFit="1" customWidth="1"/>
    <col min="4" max="4" width="18.6640625" style="112" bestFit="1" customWidth="1"/>
    <col min="5" max="5" width="16" style="112" bestFit="1" customWidth="1"/>
    <col min="6" max="6" width="14.21875" style="112" bestFit="1" customWidth="1"/>
    <col min="7" max="7" width="12.5546875" style="112" bestFit="1" customWidth="1"/>
    <col min="8" max="8" width="14.33203125" style="112" bestFit="1" customWidth="1"/>
    <col min="9" max="9" width="16.5546875" style="112" bestFit="1" customWidth="1"/>
    <col min="10" max="10" width="14.21875" style="112" bestFit="1" customWidth="1"/>
    <col min="11" max="11" width="12" style="112" bestFit="1" customWidth="1"/>
    <col min="12" max="12" width="12.77734375" style="112" bestFit="1" customWidth="1"/>
    <col min="13" max="13" width="16.109375" style="112" bestFit="1" customWidth="1"/>
    <col min="14" max="14" width="12.109375" style="112" bestFit="1" customWidth="1"/>
    <col min="15" max="15" width="17.77734375" style="112" bestFit="1" customWidth="1"/>
    <col min="16" max="16" width="13.44140625" style="112" bestFit="1" customWidth="1"/>
    <col min="17" max="17" width="12.5546875" style="112" bestFit="1" customWidth="1"/>
    <col min="18" max="18" width="14.77734375" style="112" bestFit="1" customWidth="1"/>
  </cols>
  <sheetData>
    <row r="1" spans="1:18" ht="15" thickBot="1" x14ac:dyDescent="0.35">
      <c r="A1" s="111" t="s">
        <v>92</v>
      </c>
      <c r="B1" s="111" t="s">
        <v>93</v>
      </c>
      <c r="C1" s="111" t="s">
        <v>8</v>
      </c>
      <c r="D1" s="110" t="s">
        <v>178</v>
      </c>
      <c r="E1" s="110" t="s">
        <v>179</v>
      </c>
      <c r="F1" s="110" t="s">
        <v>180</v>
      </c>
      <c r="G1" s="110" t="s">
        <v>182</v>
      </c>
      <c r="H1" s="110" t="s">
        <v>446</v>
      </c>
      <c r="I1" s="110" t="s">
        <v>447</v>
      </c>
      <c r="J1" s="110" t="s">
        <v>448</v>
      </c>
      <c r="K1" s="110" t="s">
        <v>449</v>
      </c>
      <c r="L1" s="110" t="s">
        <v>186</v>
      </c>
      <c r="M1" s="110" t="s">
        <v>302</v>
      </c>
      <c r="N1" s="110" t="s">
        <v>450</v>
      </c>
      <c r="O1" s="110" t="s">
        <v>451</v>
      </c>
      <c r="P1" s="110" t="s">
        <v>356</v>
      </c>
      <c r="Q1" s="110" t="s">
        <v>452</v>
      </c>
      <c r="R1" s="110" t="s">
        <v>191</v>
      </c>
    </row>
    <row r="2" spans="1:18" x14ac:dyDescent="0.3">
      <c r="A2" s="5">
        <v>1</v>
      </c>
      <c r="B2" s="5">
        <v>2023</v>
      </c>
      <c r="C2" s="55" t="s">
        <v>439</v>
      </c>
      <c r="D2" s="112">
        <v>60303200</v>
      </c>
      <c r="E2" s="112">
        <v>264</v>
      </c>
      <c r="F2" s="112">
        <v>60303200</v>
      </c>
      <c r="G2" s="112">
        <v>8760000</v>
      </c>
      <c r="H2" s="112">
        <v>6000000</v>
      </c>
      <c r="I2" s="112">
        <v>14400000</v>
      </c>
      <c r="J2" s="112">
        <v>42000000</v>
      </c>
      <c r="K2" s="112">
        <v>71160000</v>
      </c>
      <c r="L2" s="112">
        <v>131463200</v>
      </c>
      <c r="M2" s="112">
        <v>132000000</v>
      </c>
      <c r="N2" s="112">
        <v>25200000</v>
      </c>
      <c r="O2" s="112">
        <v>5490000</v>
      </c>
      <c r="P2" s="112">
        <v>3680586</v>
      </c>
      <c r="Q2" s="112">
        <v>0</v>
      </c>
      <c r="R2" s="112">
        <v>122292614</v>
      </c>
    </row>
    <row r="3" spans="1:18" x14ac:dyDescent="0.3">
      <c r="A3" s="5">
        <v>1</v>
      </c>
      <c r="B3" s="5">
        <v>2023</v>
      </c>
      <c r="C3" s="55" t="s">
        <v>438</v>
      </c>
      <c r="D3" s="112">
        <v>15022800</v>
      </c>
      <c r="E3" s="112">
        <v>66</v>
      </c>
      <c r="F3" s="112">
        <v>15022800</v>
      </c>
      <c r="G3" s="112">
        <v>2190000</v>
      </c>
      <c r="H3" s="112">
        <v>1500000</v>
      </c>
      <c r="I3" s="112">
        <v>3600000</v>
      </c>
      <c r="J3" s="112">
        <v>37000000</v>
      </c>
      <c r="K3" s="112">
        <v>44290000</v>
      </c>
      <c r="L3" s="112">
        <v>59312800</v>
      </c>
      <c r="M3" s="112">
        <v>33000000</v>
      </c>
      <c r="N3" s="112">
        <v>10800000</v>
      </c>
      <c r="O3" s="112">
        <v>2917520</v>
      </c>
      <c r="P3" s="112">
        <v>1577394</v>
      </c>
      <c r="Q3" s="112">
        <v>0</v>
      </c>
      <c r="R3" s="112">
        <v>54817886</v>
      </c>
    </row>
    <row r="4" spans="1:18" x14ac:dyDescent="0.3">
      <c r="A4" s="5">
        <v>2</v>
      </c>
      <c r="B4" s="5">
        <v>2023</v>
      </c>
      <c r="C4" s="55" t="s">
        <v>439</v>
      </c>
      <c r="D4" s="112">
        <v>60303200</v>
      </c>
      <c r="E4" s="112">
        <v>240</v>
      </c>
      <c r="F4" s="112">
        <v>60303200</v>
      </c>
      <c r="G4" s="112">
        <v>8760000</v>
      </c>
      <c r="H4" s="112">
        <v>6000000</v>
      </c>
      <c r="I4" s="112">
        <v>14400000</v>
      </c>
      <c r="J4" s="112">
        <v>42000000</v>
      </c>
      <c r="K4" s="112">
        <v>71160000</v>
      </c>
      <c r="L4" s="112">
        <v>131463200</v>
      </c>
      <c r="M4" s="112">
        <v>132000000</v>
      </c>
      <c r="N4" s="112">
        <v>25200000</v>
      </c>
      <c r="O4" s="112">
        <v>0</v>
      </c>
      <c r="P4" s="112">
        <v>6331836</v>
      </c>
      <c r="Q4" s="112">
        <v>0</v>
      </c>
      <c r="R4" s="112">
        <v>125131364</v>
      </c>
    </row>
    <row r="5" spans="1:18" x14ac:dyDescent="0.3">
      <c r="A5" s="5">
        <v>2</v>
      </c>
      <c r="B5" s="5">
        <v>2023</v>
      </c>
      <c r="C5" s="55" t="s">
        <v>438</v>
      </c>
      <c r="D5" s="112">
        <v>15022800</v>
      </c>
      <c r="E5" s="112">
        <v>60</v>
      </c>
      <c r="F5" s="112">
        <v>15022800</v>
      </c>
      <c r="G5" s="112">
        <v>2190000</v>
      </c>
      <c r="H5" s="112">
        <v>1500000</v>
      </c>
      <c r="I5" s="112">
        <v>3600000</v>
      </c>
      <c r="J5" s="112">
        <v>37000000</v>
      </c>
      <c r="K5" s="112">
        <v>44290000</v>
      </c>
      <c r="L5" s="112">
        <v>59312800</v>
      </c>
      <c r="M5" s="112">
        <v>33000000</v>
      </c>
      <c r="N5" s="112">
        <v>10800000</v>
      </c>
      <c r="O5" s="112">
        <v>2917520</v>
      </c>
      <c r="P5" s="112">
        <v>1577394</v>
      </c>
      <c r="Q5" s="112">
        <v>0</v>
      </c>
      <c r="R5" s="112">
        <v>54817886</v>
      </c>
    </row>
    <row r="6" spans="1:18" x14ac:dyDescent="0.3">
      <c r="A6" s="5">
        <v>3</v>
      </c>
      <c r="B6" s="5">
        <v>2023</v>
      </c>
      <c r="C6" s="55" t="s">
        <v>439</v>
      </c>
      <c r="D6" s="112">
        <v>60303200</v>
      </c>
      <c r="E6" s="112">
        <v>276</v>
      </c>
      <c r="F6" s="112">
        <v>60303200</v>
      </c>
      <c r="G6" s="112">
        <v>8760000</v>
      </c>
      <c r="H6" s="112">
        <v>6000000</v>
      </c>
      <c r="I6" s="112">
        <v>14400000</v>
      </c>
      <c r="J6" s="112">
        <v>42000000</v>
      </c>
      <c r="K6" s="112">
        <v>71160000</v>
      </c>
      <c r="L6" s="112">
        <v>131463200</v>
      </c>
      <c r="M6" s="112">
        <v>132000000</v>
      </c>
      <c r="N6" s="112">
        <v>25200000</v>
      </c>
      <c r="O6" s="112">
        <v>0</v>
      </c>
      <c r="P6" s="112">
        <v>6331836</v>
      </c>
      <c r="Q6" s="112">
        <v>0</v>
      </c>
      <c r="R6" s="112">
        <v>125131364</v>
      </c>
    </row>
    <row r="7" spans="1:18" x14ac:dyDescent="0.3">
      <c r="A7" s="5">
        <v>3</v>
      </c>
      <c r="B7" s="5">
        <v>2023</v>
      </c>
      <c r="C7" s="55" t="s">
        <v>438</v>
      </c>
      <c r="D7" s="112">
        <v>15022800</v>
      </c>
      <c r="E7" s="112">
        <v>69</v>
      </c>
      <c r="F7" s="112">
        <v>15022800</v>
      </c>
      <c r="G7" s="112">
        <v>2190000</v>
      </c>
      <c r="H7" s="112">
        <v>1500000</v>
      </c>
      <c r="I7" s="112">
        <v>3600000</v>
      </c>
      <c r="J7" s="112">
        <v>37000000</v>
      </c>
      <c r="K7" s="112">
        <v>44290000</v>
      </c>
      <c r="L7" s="112">
        <v>59312800</v>
      </c>
      <c r="M7" s="112">
        <v>33000000</v>
      </c>
      <c r="N7" s="112">
        <v>10800000</v>
      </c>
      <c r="O7" s="112">
        <v>2917520</v>
      </c>
      <c r="P7" s="112">
        <v>1577394</v>
      </c>
      <c r="Q7" s="112">
        <v>0</v>
      </c>
      <c r="R7" s="112">
        <v>54817886</v>
      </c>
    </row>
    <row r="8" spans="1:18" x14ac:dyDescent="0.3">
      <c r="A8" s="5">
        <v>4</v>
      </c>
      <c r="B8" s="5">
        <v>2023</v>
      </c>
      <c r="C8" s="55" t="s">
        <v>439</v>
      </c>
      <c r="D8" s="112">
        <v>60303200</v>
      </c>
      <c r="E8" s="112">
        <v>240</v>
      </c>
      <c r="F8" s="112">
        <v>60303200</v>
      </c>
      <c r="G8" s="112">
        <v>8760000</v>
      </c>
      <c r="H8" s="112">
        <v>6000000</v>
      </c>
      <c r="I8" s="112">
        <v>14400000</v>
      </c>
      <c r="J8" s="112">
        <v>42000000</v>
      </c>
      <c r="K8" s="112">
        <v>71160000</v>
      </c>
      <c r="L8" s="112">
        <v>131463200</v>
      </c>
      <c r="M8" s="112">
        <v>132000000</v>
      </c>
      <c r="N8" s="112">
        <v>25200000</v>
      </c>
      <c r="O8" s="112">
        <v>0</v>
      </c>
      <c r="P8" s="112">
        <v>6331836</v>
      </c>
      <c r="Q8" s="112">
        <v>0</v>
      </c>
      <c r="R8" s="112">
        <v>125131364</v>
      </c>
    </row>
    <row r="9" spans="1:18" x14ac:dyDescent="0.3">
      <c r="A9" s="5">
        <v>4</v>
      </c>
      <c r="B9" s="5">
        <v>2023</v>
      </c>
      <c r="C9" s="55" t="s">
        <v>438</v>
      </c>
      <c r="D9" s="112">
        <v>25000000</v>
      </c>
      <c r="E9" s="112">
        <v>60</v>
      </c>
      <c r="F9" s="112">
        <v>25000000</v>
      </c>
      <c r="G9" s="112">
        <v>2190000</v>
      </c>
      <c r="H9" s="112">
        <v>1500000</v>
      </c>
      <c r="I9" s="112">
        <v>3600000</v>
      </c>
      <c r="J9" s="112">
        <v>37000000</v>
      </c>
      <c r="K9" s="112">
        <v>44290000</v>
      </c>
      <c r="L9" s="112">
        <v>69290000</v>
      </c>
      <c r="M9" s="112">
        <v>33000000</v>
      </c>
      <c r="N9" s="112">
        <v>10800000</v>
      </c>
      <c r="O9" s="112">
        <v>3516000</v>
      </c>
      <c r="P9" s="112">
        <v>1577394</v>
      </c>
      <c r="Q9" s="112">
        <v>0</v>
      </c>
      <c r="R9" s="112">
        <v>64196606</v>
      </c>
    </row>
    <row r="10" spans="1:18" x14ac:dyDescent="0.3">
      <c r="A10" s="5">
        <v>5</v>
      </c>
      <c r="B10" s="5">
        <v>2023</v>
      </c>
      <c r="C10" s="55" t="s">
        <v>439</v>
      </c>
      <c r="D10" s="112">
        <v>60303200</v>
      </c>
      <c r="E10" s="112">
        <v>276</v>
      </c>
      <c r="F10" s="112">
        <v>60303200</v>
      </c>
      <c r="G10" s="112">
        <v>8760000</v>
      </c>
      <c r="H10" s="112">
        <v>6000000</v>
      </c>
      <c r="I10" s="112">
        <v>14400000</v>
      </c>
      <c r="J10" s="112">
        <v>42000000</v>
      </c>
      <c r="K10" s="112">
        <v>71160000</v>
      </c>
      <c r="L10" s="112">
        <v>131463200</v>
      </c>
      <c r="M10" s="112">
        <v>132000000</v>
      </c>
      <c r="N10" s="112">
        <v>25200000</v>
      </c>
      <c r="O10" s="112">
        <v>0</v>
      </c>
      <c r="P10" s="112">
        <v>6331836</v>
      </c>
      <c r="Q10" s="112">
        <v>0</v>
      </c>
      <c r="R10" s="112">
        <v>125131364</v>
      </c>
    </row>
    <row r="11" spans="1:18" x14ac:dyDescent="0.3">
      <c r="A11" s="5">
        <v>5</v>
      </c>
      <c r="B11" s="5">
        <v>2023</v>
      </c>
      <c r="C11" s="55" t="s">
        <v>438</v>
      </c>
      <c r="D11" s="112">
        <v>25000000</v>
      </c>
      <c r="E11" s="112">
        <v>69</v>
      </c>
      <c r="F11" s="112">
        <v>25000000</v>
      </c>
      <c r="G11" s="112">
        <v>2190000</v>
      </c>
      <c r="H11" s="112">
        <v>1500000</v>
      </c>
      <c r="I11" s="112">
        <v>3600000</v>
      </c>
      <c r="J11" s="112">
        <v>37000000</v>
      </c>
      <c r="K11" s="112">
        <v>44290000</v>
      </c>
      <c r="L11" s="112">
        <v>69290000</v>
      </c>
      <c r="M11" s="112">
        <v>33000000</v>
      </c>
      <c r="N11" s="112">
        <v>10800000</v>
      </c>
      <c r="O11" s="112">
        <v>3516000</v>
      </c>
      <c r="P11" s="112">
        <v>1577394</v>
      </c>
      <c r="Q11" s="112">
        <v>0</v>
      </c>
      <c r="R11" s="112">
        <v>64196606</v>
      </c>
    </row>
    <row r="12" spans="1:18" x14ac:dyDescent="0.3">
      <c r="A12" s="5">
        <v>6</v>
      </c>
      <c r="B12" s="5">
        <v>2023</v>
      </c>
      <c r="C12" s="55" t="s">
        <v>439</v>
      </c>
      <c r="D12" s="112">
        <v>60303200</v>
      </c>
      <c r="E12" s="112">
        <v>264</v>
      </c>
      <c r="F12" s="112">
        <v>60303200</v>
      </c>
      <c r="G12" s="112">
        <v>8760000</v>
      </c>
      <c r="H12" s="112">
        <v>6000000</v>
      </c>
      <c r="I12" s="112">
        <v>14400000</v>
      </c>
      <c r="J12" s="112">
        <v>42000000</v>
      </c>
      <c r="K12" s="112">
        <v>71160000</v>
      </c>
      <c r="L12" s="112">
        <v>131463200</v>
      </c>
      <c r="M12" s="112">
        <v>132000000</v>
      </c>
      <c r="N12" s="112">
        <v>25200000</v>
      </c>
      <c r="O12" s="112">
        <v>0</v>
      </c>
      <c r="P12" s="112">
        <v>6331836</v>
      </c>
      <c r="Q12" s="112">
        <v>0</v>
      </c>
      <c r="R12" s="112">
        <v>125131364</v>
      </c>
    </row>
    <row r="13" spans="1:18" x14ac:dyDescent="0.3">
      <c r="A13" s="5">
        <v>6</v>
      </c>
      <c r="B13" s="5">
        <v>2023</v>
      </c>
      <c r="C13" s="55" t="s">
        <v>438</v>
      </c>
      <c r="D13" s="112">
        <v>25000000</v>
      </c>
      <c r="E13" s="112">
        <v>66</v>
      </c>
      <c r="F13" s="112">
        <v>25000000</v>
      </c>
      <c r="G13" s="112">
        <v>2190000</v>
      </c>
      <c r="H13" s="112">
        <v>1500000</v>
      </c>
      <c r="I13" s="112">
        <v>3600000</v>
      </c>
      <c r="J13" s="112">
        <v>37000000</v>
      </c>
      <c r="K13" s="112">
        <v>44290000</v>
      </c>
      <c r="L13" s="112">
        <v>69290000</v>
      </c>
      <c r="M13" s="112">
        <v>33000000</v>
      </c>
      <c r="N13" s="112">
        <v>10800000</v>
      </c>
      <c r="O13" s="112">
        <v>3516000</v>
      </c>
      <c r="P13" s="112">
        <v>1577394</v>
      </c>
      <c r="Q13" s="112">
        <v>0</v>
      </c>
      <c r="R13" s="112">
        <v>64196606</v>
      </c>
    </row>
    <row r="14" spans="1:18" x14ac:dyDescent="0.3">
      <c r="A14" s="5">
        <v>7</v>
      </c>
      <c r="B14" s="5">
        <v>2023</v>
      </c>
      <c r="C14" s="55" t="s">
        <v>439</v>
      </c>
      <c r="D14" s="112">
        <v>60303200</v>
      </c>
      <c r="E14" s="112">
        <v>252</v>
      </c>
      <c r="F14" s="112">
        <v>60303200</v>
      </c>
      <c r="G14" s="112">
        <v>8760000</v>
      </c>
      <c r="H14" s="112">
        <v>6000000</v>
      </c>
      <c r="I14" s="112">
        <v>14400000</v>
      </c>
      <c r="J14" s="112">
        <v>42000000</v>
      </c>
      <c r="K14" s="112">
        <v>71160000</v>
      </c>
      <c r="L14" s="112">
        <v>131463200</v>
      </c>
      <c r="M14" s="112">
        <v>132000000</v>
      </c>
      <c r="N14" s="112">
        <v>25200000</v>
      </c>
      <c r="O14" s="112">
        <v>0</v>
      </c>
      <c r="P14" s="112">
        <v>6331836</v>
      </c>
      <c r="Q14" s="112">
        <v>0</v>
      </c>
      <c r="R14" s="112">
        <v>125131364</v>
      </c>
    </row>
    <row r="15" spans="1:18" x14ac:dyDescent="0.3">
      <c r="A15" s="5">
        <v>7</v>
      </c>
      <c r="B15" s="5">
        <v>2023</v>
      </c>
      <c r="C15" s="55" t="s">
        <v>438</v>
      </c>
      <c r="D15" s="112">
        <v>25000000</v>
      </c>
      <c r="E15" s="112">
        <v>63</v>
      </c>
      <c r="F15" s="112">
        <v>25000000</v>
      </c>
      <c r="G15" s="112">
        <v>2190000</v>
      </c>
      <c r="H15" s="112">
        <v>1500000</v>
      </c>
      <c r="I15" s="112">
        <v>3600000</v>
      </c>
      <c r="J15" s="112">
        <v>37000000</v>
      </c>
      <c r="K15" s="112">
        <v>44290000</v>
      </c>
      <c r="L15" s="112">
        <v>69290000</v>
      </c>
      <c r="M15" s="112">
        <v>33000000</v>
      </c>
      <c r="N15" s="112">
        <v>10800000</v>
      </c>
      <c r="O15" s="112">
        <v>3516000</v>
      </c>
      <c r="P15" s="112">
        <v>1577394</v>
      </c>
      <c r="Q15" s="112">
        <v>0</v>
      </c>
      <c r="R15" s="112">
        <v>64196606</v>
      </c>
    </row>
    <row r="16" spans="1:18" x14ac:dyDescent="0.3">
      <c r="A16" s="5">
        <v>8</v>
      </c>
      <c r="B16" s="5">
        <v>2023</v>
      </c>
      <c r="C16" s="55" t="s">
        <v>439</v>
      </c>
      <c r="D16" s="112">
        <v>60303200</v>
      </c>
      <c r="E16" s="112">
        <v>276</v>
      </c>
      <c r="F16" s="112">
        <v>60303200</v>
      </c>
      <c r="G16" s="112">
        <v>8760000</v>
      </c>
      <c r="H16" s="112">
        <v>6000000</v>
      </c>
      <c r="I16" s="112">
        <v>14400000</v>
      </c>
      <c r="J16" s="112">
        <v>42000000</v>
      </c>
      <c r="K16" s="112">
        <v>71160000</v>
      </c>
      <c r="L16" s="112">
        <v>131463200</v>
      </c>
      <c r="M16" s="112">
        <v>132000000</v>
      </c>
      <c r="N16" s="112">
        <v>25200000</v>
      </c>
      <c r="O16" s="112">
        <v>0</v>
      </c>
      <c r="P16" s="112">
        <v>6331836</v>
      </c>
      <c r="Q16" s="112">
        <v>0</v>
      </c>
      <c r="R16" s="112">
        <v>125131364</v>
      </c>
    </row>
    <row r="17" spans="1:18" x14ac:dyDescent="0.3">
      <c r="A17" s="5">
        <v>8</v>
      </c>
      <c r="B17" s="5">
        <v>2023</v>
      </c>
      <c r="C17" s="55" t="s">
        <v>438</v>
      </c>
      <c r="D17" s="112">
        <v>32000000</v>
      </c>
      <c r="E17" s="112">
        <v>69</v>
      </c>
      <c r="F17" s="112">
        <v>32000000</v>
      </c>
      <c r="G17" s="112">
        <v>2190000</v>
      </c>
      <c r="H17" s="112">
        <v>1500000</v>
      </c>
      <c r="I17" s="112">
        <v>3600000</v>
      </c>
      <c r="J17" s="112">
        <v>37000000</v>
      </c>
      <c r="K17" s="112">
        <v>44290000</v>
      </c>
      <c r="L17" s="112">
        <v>76290000</v>
      </c>
      <c r="M17" s="112">
        <v>33000000</v>
      </c>
      <c r="N17" s="112">
        <v>10800000</v>
      </c>
      <c r="O17" s="112">
        <v>4149000</v>
      </c>
      <c r="P17" s="112">
        <v>1577394</v>
      </c>
      <c r="Q17" s="112">
        <v>0</v>
      </c>
      <c r="R17" s="112">
        <v>70563606</v>
      </c>
    </row>
    <row r="18" spans="1:18" x14ac:dyDescent="0.3">
      <c r="A18" s="5">
        <v>9</v>
      </c>
      <c r="B18" s="5">
        <v>2023</v>
      </c>
      <c r="C18" s="55" t="s">
        <v>439</v>
      </c>
      <c r="D18" s="112">
        <v>60303200</v>
      </c>
      <c r="E18" s="112">
        <v>252</v>
      </c>
      <c r="F18" s="112">
        <v>60303200</v>
      </c>
      <c r="G18" s="112">
        <v>8760000</v>
      </c>
      <c r="H18" s="112">
        <v>6000000</v>
      </c>
      <c r="I18" s="112">
        <v>14400000</v>
      </c>
      <c r="J18" s="112">
        <v>42000000</v>
      </c>
      <c r="K18" s="112">
        <v>71160000</v>
      </c>
      <c r="L18" s="112">
        <v>131463200</v>
      </c>
      <c r="M18" s="112">
        <v>132000000</v>
      </c>
      <c r="N18" s="112">
        <v>25200000</v>
      </c>
      <c r="O18" s="112">
        <v>0</v>
      </c>
      <c r="P18" s="112">
        <v>6331836</v>
      </c>
      <c r="Q18" s="112">
        <v>0</v>
      </c>
      <c r="R18" s="112">
        <v>125131364</v>
      </c>
    </row>
    <row r="19" spans="1:18" x14ac:dyDescent="0.3">
      <c r="A19" s="5">
        <v>9</v>
      </c>
      <c r="B19" s="5">
        <v>2023</v>
      </c>
      <c r="C19" s="55" t="s">
        <v>438</v>
      </c>
      <c r="D19" s="112">
        <v>32000000</v>
      </c>
      <c r="E19" s="112">
        <v>63</v>
      </c>
      <c r="F19" s="112">
        <v>32000000</v>
      </c>
      <c r="G19" s="112">
        <v>2190000</v>
      </c>
      <c r="H19" s="112">
        <v>1500000</v>
      </c>
      <c r="I19" s="112">
        <v>3600000</v>
      </c>
      <c r="J19" s="112">
        <v>37000000</v>
      </c>
      <c r="K19" s="112">
        <v>44290000</v>
      </c>
      <c r="L19" s="112">
        <v>76290000</v>
      </c>
      <c r="M19" s="112">
        <v>33000000</v>
      </c>
      <c r="N19" s="112">
        <v>10800000</v>
      </c>
      <c r="O19" s="112">
        <v>4149000</v>
      </c>
      <c r="P19" s="112">
        <v>1577394</v>
      </c>
      <c r="Q19" s="112">
        <v>0</v>
      </c>
      <c r="R19" s="112">
        <v>70563606</v>
      </c>
    </row>
    <row r="20" spans="1:18" x14ac:dyDescent="0.3">
      <c r="A20" s="5">
        <v>10</v>
      </c>
      <c r="B20" s="5">
        <v>2023</v>
      </c>
      <c r="C20" s="55" t="s">
        <v>439</v>
      </c>
      <c r="D20" s="112">
        <v>60303200</v>
      </c>
      <c r="E20" s="112">
        <v>264</v>
      </c>
      <c r="F20" s="112">
        <v>60303200</v>
      </c>
      <c r="G20" s="112">
        <v>8760000</v>
      </c>
      <c r="H20" s="112">
        <v>6000000</v>
      </c>
      <c r="I20" s="112">
        <v>14400000</v>
      </c>
      <c r="J20" s="112">
        <v>42000000</v>
      </c>
      <c r="K20" s="112">
        <v>71160000</v>
      </c>
      <c r="L20" s="112">
        <v>131463200</v>
      </c>
      <c r="M20" s="112">
        <v>132000000</v>
      </c>
      <c r="N20" s="112">
        <v>25200000</v>
      </c>
      <c r="O20" s="112">
        <v>0</v>
      </c>
      <c r="P20" s="112">
        <v>6331836</v>
      </c>
      <c r="Q20" s="112">
        <v>0</v>
      </c>
      <c r="R20" s="112">
        <v>125131364</v>
      </c>
    </row>
    <row r="21" spans="1:18" x14ac:dyDescent="0.3">
      <c r="A21" s="5">
        <v>10</v>
      </c>
      <c r="B21" s="5">
        <v>2023</v>
      </c>
      <c r="C21" s="55" t="s">
        <v>438</v>
      </c>
      <c r="D21" s="112">
        <v>32000000</v>
      </c>
      <c r="E21" s="112">
        <v>66</v>
      </c>
      <c r="F21" s="112">
        <v>32000000</v>
      </c>
      <c r="G21" s="112">
        <v>2190000</v>
      </c>
      <c r="H21" s="112">
        <v>1500000</v>
      </c>
      <c r="I21" s="112">
        <v>3600000</v>
      </c>
      <c r="J21" s="112">
        <v>37000000</v>
      </c>
      <c r="K21" s="112">
        <v>44290000</v>
      </c>
      <c r="L21" s="112">
        <v>76290000</v>
      </c>
      <c r="M21" s="112">
        <v>33000000</v>
      </c>
      <c r="N21" s="112">
        <v>10800000</v>
      </c>
      <c r="O21" s="112">
        <v>4149000</v>
      </c>
      <c r="P21" s="112">
        <v>1577394</v>
      </c>
      <c r="Q21" s="112">
        <v>0</v>
      </c>
      <c r="R21" s="112">
        <v>70563606</v>
      </c>
    </row>
    <row r="22" spans="1:18" x14ac:dyDescent="0.3">
      <c r="A22" s="5">
        <v>11</v>
      </c>
      <c r="B22" s="5">
        <v>2023</v>
      </c>
      <c r="C22" s="55" t="s">
        <v>439</v>
      </c>
      <c r="D22" s="112">
        <v>50203200</v>
      </c>
      <c r="E22" s="112">
        <v>220</v>
      </c>
      <c r="F22" s="112">
        <v>50203200</v>
      </c>
      <c r="G22" s="112">
        <v>7300000</v>
      </c>
      <c r="H22" s="112">
        <v>5000000</v>
      </c>
      <c r="I22" s="112">
        <v>12000000</v>
      </c>
      <c r="J22" s="112">
        <v>35000000</v>
      </c>
      <c r="K22" s="112">
        <v>59300000</v>
      </c>
      <c r="L22" s="112">
        <v>109503200</v>
      </c>
      <c r="M22" s="112">
        <v>110000000</v>
      </c>
      <c r="N22" s="112">
        <v>25200000</v>
      </c>
      <c r="O22" s="112">
        <v>0</v>
      </c>
      <c r="P22" s="112">
        <v>5271336</v>
      </c>
      <c r="Q22" s="112">
        <v>0</v>
      </c>
      <c r="R22" s="112">
        <v>104231864</v>
      </c>
    </row>
    <row r="23" spans="1:18" x14ac:dyDescent="0.3">
      <c r="A23" s="5">
        <v>11</v>
      </c>
      <c r="B23" s="5">
        <v>2023</v>
      </c>
      <c r="C23" s="55" t="s">
        <v>438</v>
      </c>
      <c r="D23" s="112">
        <v>32000000</v>
      </c>
      <c r="E23" s="112">
        <v>66</v>
      </c>
      <c r="F23" s="112">
        <v>32000000</v>
      </c>
      <c r="G23" s="112">
        <v>2190000</v>
      </c>
      <c r="H23" s="112">
        <v>1500000</v>
      </c>
      <c r="I23" s="112">
        <v>3600000</v>
      </c>
      <c r="J23" s="112">
        <v>37000000</v>
      </c>
      <c r="K23" s="112">
        <v>44290000</v>
      </c>
      <c r="L23" s="112">
        <v>76290000</v>
      </c>
      <c r="M23" s="112">
        <v>33000000</v>
      </c>
      <c r="N23" s="112">
        <v>10800000</v>
      </c>
      <c r="O23" s="112">
        <v>4149000</v>
      </c>
      <c r="P23" s="112">
        <v>1577394</v>
      </c>
      <c r="Q23" s="112">
        <v>0</v>
      </c>
      <c r="R23" s="112">
        <v>70563606</v>
      </c>
    </row>
    <row r="24" spans="1:18" x14ac:dyDescent="0.3">
      <c r="A24" s="5">
        <v>12</v>
      </c>
      <c r="B24" s="5">
        <v>2023</v>
      </c>
      <c r="C24" s="55" t="s">
        <v>439</v>
      </c>
      <c r="D24" s="112">
        <v>50203200</v>
      </c>
      <c r="E24" s="112">
        <v>210</v>
      </c>
      <c r="F24" s="112">
        <v>50203200</v>
      </c>
      <c r="G24" s="112">
        <v>7300000</v>
      </c>
      <c r="H24" s="112">
        <v>5000000</v>
      </c>
      <c r="I24" s="112">
        <v>12000000</v>
      </c>
      <c r="J24" s="112">
        <v>35000000</v>
      </c>
      <c r="K24" s="112">
        <v>59300000</v>
      </c>
      <c r="L24" s="112">
        <v>109503200</v>
      </c>
      <c r="M24" s="112">
        <v>110000000</v>
      </c>
      <c r="N24" s="112">
        <v>25200000</v>
      </c>
      <c r="O24" s="112">
        <v>0</v>
      </c>
      <c r="P24" s="112">
        <v>5271336</v>
      </c>
      <c r="Q24" s="112">
        <v>0</v>
      </c>
      <c r="R24" s="112">
        <v>104231864</v>
      </c>
    </row>
    <row r="25" spans="1:18" x14ac:dyDescent="0.3">
      <c r="A25" s="5">
        <v>12</v>
      </c>
      <c r="B25" s="5">
        <v>2023</v>
      </c>
      <c r="C25" s="55" t="s">
        <v>438</v>
      </c>
      <c r="D25" s="112">
        <v>32000000</v>
      </c>
      <c r="E25" s="112">
        <v>63</v>
      </c>
      <c r="F25" s="112">
        <v>32000000</v>
      </c>
      <c r="G25" s="112">
        <v>2190000</v>
      </c>
      <c r="H25" s="112">
        <v>1500000</v>
      </c>
      <c r="I25" s="112">
        <v>3600000</v>
      </c>
      <c r="J25" s="112">
        <v>37000000</v>
      </c>
      <c r="K25" s="112">
        <v>44290000</v>
      </c>
      <c r="L25" s="112">
        <v>76290000</v>
      </c>
      <c r="M25" s="112">
        <v>33000000</v>
      </c>
      <c r="N25" s="112">
        <v>10800000</v>
      </c>
      <c r="O25" s="112">
        <v>4149000</v>
      </c>
      <c r="P25" s="112">
        <v>1577394</v>
      </c>
      <c r="Q25" s="112">
        <v>0</v>
      </c>
      <c r="R25" s="112">
        <v>70563606</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96DEF-475A-4EF0-B72F-BBD31D492F52}">
  <sheetPr codeName="Sheet145">
    <pageSetUpPr fitToPage="1"/>
  </sheetPr>
  <dimension ref="B1:AL36"/>
  <sheetViews>
    <sheetView tabSelected="1"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7" width="3.33203125" style="5"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1</v>
      </c>
      <c r="M5" s="252"/>
      <c r="N5" s="251" t="s">
        <v>93</v>
      </c>
      <c r="O5" s="251"/>
      <c r="P5" s="250">
        <f>Nam_Bang_Luong</f>
        <v>2023</v>
      </c>
      <c r="Q5" s="250"/>
    </row>
    <row r="6" spans="2:38" x14ac:dyDescent="0.3">
      <c r="B6" s="220" t="s">
        <v>5</v>
      </c>
      <c r="C6" s="220" t="s">
        <v>91</v>
      </c>
      <c r="D6" s="220" t="s">
        <v>6</v>
      </c>
      <c r="E6" s="220" t="s">
        <v>8</v>
      </c>
      <c r="F6" s="220" t="s">
        <v>7</v>
      </c>
      <c r="G6" s="20">
        <f>DATE(P5,L5,1)</f>
        <v>44927</v>
      </c>
      <c r="H6" s="20">
        <f>G6+1</f>
        <v>44928</v>
      </c>
      <c r="I6" s="20">
        <f t="shared" ref="I6:AK6" si="0">H6+1</f>
        <v>44929</v>
      </c>
      <c r="J6" s="20">
        <f t="shared" si="0"/>
        <v>44930</v>
      </c>
      <c r="K6" s="20">
        <f t="shared" si="0"/>
        <v>44931</v>
      </c>
      <c r="L6" s="20">
        <f t="shared" si="0"/>
        <v>44932</v>
      </c>
      <c r="M6" s="20">
        <f t="shared" si="0"/>
        <v>44933</v>
      </c>
      <c r="N6" s="20">
        <f t="shared" si="0"/>
        <v>44934</v>
      </c>
      <c r="O6" s="20">
        <f t="shared" si="0"/>
        <v>44935</v>
      </c>
      <c r="P6" s="20">
        <f t="shared" si="0"/>
        <v>44936</v>
      </c>
      <c r="Q6" s="20">
        <f t="shared" si="0"/>
        <v>44937</v>
      </c>
      <c r="R6" s="20">
        <f t="shared" si="0"/>
        <v>44938</v>
      </c>
      <c r="S6" s="20">
        <f t="shared" si="0"/>
        <v>44939</v>
      </c>
      <c r="T6" s="20">
        <f t="shared" si="0"/>
        <v>44940</v>
      </c>
      <c r="U6" s="20">
        <f t="shared" si="0"/>
        <v>44941</v>
      </c>
      <c r="V6" s="20">
        <f t="shared" si="0"/>
        <v>44942</v>
      </c>
      <c r="W6" s="20">
        <f t="shared" si="0"/>
        <v>44943</v>
      </c>
      <c r="X6" s="20">
        <f t="shared" si="0"/>
        <v>44944</v>
      </c>
      <c r="Y6" s="20">
        <f t="shared" si="0"/>
        <v>44945</v>
      </c>
      <c r="Z6" s="20">
        <f t="shared" si="0"/>
        <v>44946</v>
      </c>
      <c r="AA6" s="20">
        <f t="shared" si="0"/>
        <v>44947</v>
      </c>
      <c r="AB6" s="20">
        <f t="shared" si="0"/>
        <v>44948</v>
      </c>
      <c r="AC6" s="20">
        <f t="shared" si="0"/>
        <v>44949</v>
      </c>
      <c r="AD6" s="20">
        <f t="shared" si="0"/>
        <v>44950</v>
      </c>
      <c r="AE6" s="20">
        <f t="shared" si="0"/>
        <v>44951</v>
      </c>
      <c r="AF6" s="20">
        <f t="shared" si="0"/>
        <v>44952</v>
      </c>
      <c r="AG6" s="20">
        <f t="shared" si="0"/>
        <v>44953</v>
      </c>
      <c r="AH6" s="20">
        <f t="shared" si="0"/>
        <v>44954</v>
      </c>
      <c r="AI6" s="20">
        <f t="shared" si="0"/>
        <v>44955</v>
      </c>
      <c r="AJ6" s="20">
        <f t="shared" si="0"/>
        <v>44956</v>
      </c>
      <c r="AK6" s="20">
        <f t="shared" si="0"/>
        <v>44957</v>
      </c>
      <c r="AL6" s="217" t="s">
        <v>107</v>
      </c>
    </row>
    <row r="7" spans="2:38" ht="46.2" x14ac:dyDescent="0.3">
      <c r="B7" s="220"/>
      <c r="C7" s="220"/>
      <c r="D7" s="220"/>
      <c r="E7" s="220"/>
      <c r="F7" s="220"/>
      <c r="G7" s="21" t="str">
        <f>TEXT(G6,"[$-042A]dddd")</f>
        <v>Chủ Nhật</v>
      </c>
      <c r="H7" s="21" t="str">
        <f t="shared" ref="H7:AK7" si="1">TEXT(H6,"[$-042A]dddd")</f>
        <v>Thứ Hai</v>
      </c>
      <c r="I7" s="21" t="str">
        <f t="shared" si="1"/>
        <v>Thứ Ba</v>
      </c>
      <c r="J7" s="21" t="str">
        <f t="shared" si="1"/>
        <v>Thứ Tư</v>
      </c>
      <c r="K7" s="21" t="str">
        <f t="shared" si="1"/>
        <v>Thứ Năm</v>
      </c>
      <c r="L7" s="21" t="str">
        <f t="shared" si="1"/>
        <v>Thứ Sáu</v>
      </c>
      <c r="M7" s="21" t="str">
        <f t="shared" si="1"/>
        <v>Thứ Bảy</v>
      </c>
      <c r="N7" s="21" t="str">
        <f t="shared" si="1"/>
        <v>Chủ Nhật</v>
      </c>
      <c r="O7" s="21" t="str">
        <f t="shared" si="1"/>
        <v>Thứ Hai</v>
      </c>
      <c r="P7" s="21" t="str">
        <f t="shared" si="1"/>
        <v>Thứ Ba</v>
      </c>
      <c r="Q7" s="21" t="str">
        <f t="shared" si="1"/>
        <v>Thứ Tư</v>
      </c>
      <c r="R7" s="21" t="str">
        <f t="shared" si="1"/>
        <v>Thứ Năm</v>
      </c>
      <c r="S7" s="21" t="str">
        <f t="shared" si="1"/>
        <v>Thứ Sáu</v>
      </c>
      <c r="T7" s="21" t="str">
        <f t="shared" si="1"/>
        <v>Thứ Bảy</v>
      </c>
      <c r="U7" s="21" t="str">
        <f t="shared" si="1"/>
        <v>Chủ Nhật</v>
      </c>
      <c r="V7" s="21" t="str">
        <f t="shared" si="1"/>
        <v>Thứ Hai</v>
      </c>
      <c r="W7" s="21" t="str">
        <f t="shared" si="1"/>
        <v>Thứ Ba</v>
      </c>
      <c r="X7" s="21" t="str">
        <f t="shared" si="1"/>
        <v>Thứ Tư</v>
      </c>
      <c r="Y7" s="21" t="str">
        <f t="shared" si="1"/>
        <v>Thứ Năm</v>
      </c>
      <c r="Z7" s="21" t="str">
        <f t="shared" si="1"/>
        <v>Thứ Sáu</v>
      </c>
      <c r="AA7" s="21" t="str">
        <f t="shared" si="1"/>
        <v>Thứ Bảy</v>
      </c>
      <c r="AB7" s="21" t="str">
        <f t="shared" si="1"/>
        <v>Chủ Nhật</v>
      </c>
      <c r="AC7" s="21" t="str">
        <f t="shared" si="1"/>
        <v>Thứ Hai</v>
      </c>
      <c r="AD7" s="21" t="str">
        <f t="shared" si="1"/>
        <v>Thứ Ba</v>
      </c>
      <c r="AE7" s="21" t="str">
        <f t="shared" si="1"/>
        <v>Thứ Tư</v>
      </c>
      <c r="AF7" s="21" t="str">
        <f t="shared" si="1"/>
        <v>Thứ Năm</v>
      </c>
      <c r="AG7" s="21" t="str">
        <f t="shared" si="1"/>
        <v>Thứ Sáu</v>
      </c>
      <c r="AH7" s="21" t="str">
        <f t="shared" si="1"/>
        <v>Thứ Bảy</v>
      </c>
      <c r="AI7" s="21" t="str">
        <f t="shared" si="1"/>
        <v>Chủ Nhật</v>
      </c>
      <c r="AJ7" s="21" t="str">
        <f t="shared" si="1"/>
        <v>Thứ Hai</v>
      </c>
      <c r="AK7" s="21" t="str">
        <f t="shared" si="1"/>
        <v>Thứ Ba</v>
      </c>
      <c r="AL7" s="217"/>
    </row>
    <row r="8" spans="2:38" x14ac:dyDescent="0.3">
      <c r="B8" s="23">
        <v>1</v>
      </c>
      <c r="C8" s="35" t="s">
        <v>9</v>
      </c>
      <c r="D8" s="35" t="s">
        <v>10</v>
      </c>
      <c r="E8" s="35" t="s">
        <v>11</v>
      </c>
      <c r="F8" s="35" t="s">
        <v>438</v>
      </c>
      <c r="G8" s="23"/>
      <c r="H8" s="23" t="s">
        <v>124</v>
      </c>
      <c r="I8" s="23" t="s">
        <v>123</v>
      </c>
      <c r="J8" s="23" t="s">
        <v>123</v>
      </c>
      <c r="K8" s="23" t="s">
        <v>123</v>
      </c>
      <c r="L8" s="24" t="s">
        <v>123</v>
      </c>
      <c r="M8" s="24"/>
      <c r="N8" s="24"/>
      <c r="O8" s="24" t="s">
        <v>123</v>
      </c>
      <c r="P8" s="24" t="s">
        <v>123</v>
      </c>
      <c r="Q8" s="24" t="s">
        <v>123</v>
      </c>
      <c r="R8" s="24" t="s">
        <v>123</v>
      </c>
      <c r="S8" s="24" t="s">
        <v>123</v>
      </c>
      <c r="T8" s="23"/>
      <c r="U8" s="23"/>
      <c r="V8" s="23" t="s">
        <v>123</v>
      </c>
      <c r="W8" s="23" t="s">
        <v>123</v>
      </c>
      <c r="X8" s="23" t="s">
        <v>123</v>
      </c>
      <c r="Y8" s="23" t="s">
        <v>123</v>
      </c>
      <c r="Z8" s="23" t="s">
        <v>123</v>
      </c>
      <c r="AA8" s="23"/>
      <c r="AB8" s="23"/>
      <c r="AC8" s="23" t="s">
        <v>124</v>
      </c>
      <c r="AD8" s="23" t="s">
        <v>124</v>
      </c>
      <c r="AE8" s="23" t="s">
        <v>124</v>
      </c>
      <c r="AF8" s="23" t="s">
        <v>124</v>
      </c>
      <c r="AG8" s="23" t="s">
        <v>123</v>
      </c>
      <c r="AH8" s="23"/>
      <c r="AI8" s="23"/>
      <c r="AJ8" s="23" t="s">
        <v>123</v>
      </c>
      <c r="AK8" s="23" t="s">
        <v>123</v>
      </c>
      <c r="AL8" s="22">
        <f t="shared" ref="AL8:AL22" si="2">COUNTIF(G8:AK8,"X")+0.5*COUNTIF(G8:AK8,"X/2")+COUNTIF(G8:AK8,"NL")</f>
        <v>22</v>
      </c>
    </row>
    <row r="9" spans="2:38" x14ac:dyDescent="0.3">
      <c r="B9" s="23">
        <v>2</v>
      </c>
      <c r="C9" s="35" t="s">
        <v>14</v>
      </c>
      <c r="D9" s="35" t="s">
        <v>15</v>
      </c>
      <c r="E9" s="35" t="s">
        <v>16</v>
      </c>
      <c r="F9" s="35" t="s">
        <v>438</v>
      </c>
      <c r="G9" s="23"/>
      <c r="H9" s="23" t="s">
        <v>124</v>
      </c>
      <c r="I9" s="23" t="s">
        <v>123</v>
      </c>
      <c r="J9" s="23" t="s">
        <v>123</v>
      </c>
      <c r="K9" s="23" t="s">
        <v>123</v>
      </c>
      <c r="L9" s="24" t="s">
        <v>123</v>
      </c>
      <c r="M9" s="24"/>
      <c r="N9" s="24"/>
      <c r="O9" s="24" t="s">
        <v>123</v>
      </c>
      <c r="P9" s="24" t="s">
        <v>123</v>
      </c>
      <c r="Q9" s="24" t="s">
        <v>123</v>
      </c>
      <c r="R9" s="24" t="s">
        <v>123</v>
      </c>
      <c r="S9" s="24" t="s">
        <v>123</v>
      </c>
      <c r="T9" s="23"/>
      <c r="U9" s="23"/>
      <c r="V9" s="23" t="s">
        <v>123</v>
      </c>
      <c r="W9" s="23" t="s">
        <v>123</v>
      </c>
      <c r="X9" s="23" t="s">
        <v>123</v>
      </c>
      <c r="Y9" s="23" t="s">
        <v>123</v>
      </c>
      <c r="Z9" s="23" t="s">
        <v>123</v>
      </c>
      <c r="AA9" s="23"/>
      <c r="AB9" s="23"/>
      <c r="AC9" s="23" t="s">
        <v>124</v>
      </c>
      <c r="AD9" s="23" t="s">
        <v>124</v>
      </c>
      <c r="AE9" s="23" t="s">
        <v>124</v>
      </c>
      <c r="AF9" s="23" t="s">
        <v>124</v>
      </c>
      <c r="AG9" s="23" t="s">
        <v>123</v>
      </c>
      <c r="AH9" s="23"/>
      <c r="AI9" s="23"/>
      <c r="AJ9" s="23" t="s">
        <v>123</v>
      </c>
      <c r="AK9" s="23" t="s">
        <v>123</v>
      </c>
      <c r="AL9" s="22">
        <f t="shared" si="2"/>
        <v>22</v>
      </c>
    </row>
    <row r="10" spans="2:38" x14ac:dyDescent="0.3">
      <c r="B10" s="23">
        <v>3</v>
      </c>
      <c r="C10" s="35" t="s">
        <v>19</v>
      </c>
      <c r="D10" s="35" t="s">
        <v>20</v>
      </c>
      <c r="E10" s="35" t="s">
        <v>21</v>
      </c>
      <c r="F10" s="35" t="s">
        <v>438</v>
      </c>
      <c r="G10" s="23"/>
      <c r="H10" s="23" t="s">
        <v>124</v>
      </c>
      <c r="I10" s="23" t="s">
        <v>123</v>
      </c>
      <c r="J10" s="23" t="s">
        <v>123</v>
      </c>
      <c r="K10" s="23" t="s">
        <v>123</v>
      </c>
      <c r="L10" s="24" t="s">
        <v>123</v>
      </c>
      <c r="M10" s="24"/>
      <c r="N10" s="24"/>
      <c r="O10" s="24" t="s">
        <v>123</v>
      </c>
      <c r="P10" s="24" t="s">
        <v>123</v>
      </c>
      <c r="Q10" s="24" t="s">
        <v>123</v>
      </c>
      <c r="R10" s="24" t="s">
        <v>123</v>
      </c>
      <c r="S10" s="24" t="s">
        <v>123</v>
      </c>
      <c r="T10" s="23"/>
      <c r="U10" s="23"/>
      <c r="V10" s="23" t="s">
        <v>123</v>
      </c>
      <c r="W10" s="23" t="s">
        <v>123</v>
      </c>
      <c r="X10" s="23" t="s">
        <v>123</v>
      </c>
      <c r="Y10" s="23" t="s">
        <v>123</v>
      </c>
      <c r="Z10" s="23" t="s">
        <v>123</v>
      </c>
      <c r="AA10" s="23"/>
      <c r="AB10" s="23"/>
      <c r="AC10" s="23" t="s">
        <v>124</v>
      </c>
      <c r="AD10" s="23" t="s">
        <v>124</v>
      </c>
      <c r="AE10" s="23" t="s">
        <v>124</v>
      </c>
      <c r="AF10" s="23" t="s">
        <v>124</v>
      </c>
      <c r="AG10" s="23" t="s">
        <v>123</v>
      </c>
      <c r="AH10" s="23"/>
      <c r="AI10" s="23"/>
      <c r="AJ10" s="23" t="s">
        <v>123</v>
      </c>
      <c r="AK10" s="23" t="s">
        <v>123</v>
      </c>
      <c r="AL10" s="22">
        <f t="shared" si="2"/>
        <v>22</v>
      </c>
    </row>
    <row r="11" spans="2:38" x14ac:dyDescent="0.3">
      <c r="B11" s="23">
        <v>4</v>
      </c>
      <c r="C11" s="35" t="s">
        <v>24</v>
      </c>
      <c r="D11" s="35" t="s">
        <v>25</v>
      </c>
      <c r="E11" s="35" t="s">
        <v>26</v>
      </c>
      <c r="F11" s="35" t="s">
        <v>439</v>
      </c>
      <c r="G11" s="23"/>
      <c r="H11" s="23" t="s">
        <v>124</v>
      </c>
      <c r="I11" s="23" t="s">
        <v>123</v>
      </c>
      <c r="J11" s="23" t="s">
        <v>123</v>
      </c>
      <c r="K11" s="23" t="s">
        <v>123</v>
      </c>
      <c r="L11" s="24" t="s">
        <v>123</v>
      </c>
      <c r="M11" s="24"/>
      <c r="N11" s="24"/>
      <c r="O11" s="24" t="s">
        <v>123</v>
      </c>
      <c r="P11" s="24" t="s">
        <v>123</v>
      </c>
      <c r="Q11" s="24" t="s">
        <v>123</v>
      </c>
      <c r="R11" s="24" t="s">
        <v>123</v>
      </c>
      <c r="S11" s="24" t="s">
        <v>123</v>
      </c>
      <c r="T11" s="23"/>
      <c r="U11" s="23"/>
      <c r="V11" s="23" t="s">
        <v>123</v>
      </c>
      <c r="W11" s="23" t="s">
        <v>123</v>
      </c>
      <c r="X11" s="23" t="s">
        <v>123</v>
      </c>
      <c r="Y11" s="23" t="s">
        <v>123</v>
      </c>
      <c r="Z11" s="23" t="s">
        <v>123</v>
      </c>
      <c r="AA11" s="23"/>
      <c r="AB11" s="23"/>
      <c r="AC11" s="23" t="s">
        <v>124</v>
      </c>
      <c r="AD11" s="23" t="s">
        <v>124</v>
      </c>
      <c r="AE11" s="23" t="s">
        <v>124</v>
      </c>
      <c r="AF11" s="23" t="s">
        <v>124</v>
      </c>
      <c r="AG11" s="23" t="s">
        <v>123</v>
      </c>
      <c r="AH11" s="23"/>
      <c r="AI11" s="23"/>
      <c r="AJ11" s="23" t="s">
        <v>123</v>
      </c>
      <c r="AK11" s="23" t="s">
        <v>123</v>
      </c>
      <c r="AL11" s="22">
        <f t="shared" si="2"/>
        <v>22</v>
      </c>
    </row>
    <row r="12" spans="2:38" x14ac:dyDescent="0.3">
      <c r="B12" s="23">
        <v>5</v>
      </c>
      <c r="C12" s="35" t="s">
        <v>29</v>
      </c>
      <c r="D12" s="35" t="s">
        <v>30</v>
      </c>
      <c r="E12" s="35" t="s">
        <v>26</v>
      </c>
      <c r="F12" s="35" t="s">
        <v>439</v>
      </c>
      <c r="G12" s="23"/>
      <c r="H12" s="23" t="s">
        <v>124</v>
      </c>
      <c r="I12" s="23" t="s">
        <v>123</v>
      </c>
      <c r="J12" s="23" t="s">
        <v>123</v>
      </c>
      <c r="K12" s="23" t="s">
        <v>123</v>
      </c>
      <c r="L12" s="23" t="s">
        <v>123</v>
      </c>
      <c r="M12" s="23"/>
      <c r="N12" s="23"/>
      <c r="O12" s="23" t="s">
        <v>123</v>
      </c>
      <c r="P12" s="23" t="s">
        <v>123</v>
      </c>
      <c r="Q12" s="23" t="s">
        <v>123</v>
      </c>
      <c r="R12" s="23" t="s">
        <v>123</v>
      </c>
      <c r="S12" s="23" t="s">
        <v>123</v>
      </c>
      <c r="T12" s="23"/>
      <c r="U12" s="23"/>
      <c r="V12" s="23" t="s">
        <v>123</v>
      </c>
      <c r="W12" s="23" t="s">
        <v>123</v>
      </c>
      <c r="X12" s="23" t="s">
        <v>123</v>
      </c>
      <c r="Y12" s="23" t="s">
        <v>123</v>
      </c>
      <c r="Z12" s="23" t="s">
        <v>123</v>
      </c>
      <c r="AA12" s="23"/>
      <c r="AB12" s="23"/>
      <c r="AC12" s="23" t="s">
        <v>124</v>
      </c>
      <c r="AD12" s="23" t="s">
        <v>124</v>
      </c>
      <c r="AE12" s="23" t="s">
        <v>124</v>
      </c>
      <c r="AF12" s="23" t="s">
        <v>124</v>
      </c>
      <c r="AG12" s="23" t="s">
        <v>123</v>
      </c>
      <c r="AH12" s="23"/>
      <c r="AI12" s="23"/>
      <c r="AJ12" s="23" t="s">
        <v>123</v>
      </c>
      <c r="AK12" s="23" t="s">
        <v>123</v>
      </c>
      <c r="AL12" s="22">
        <f t="shared" si="2"/>
        <v>22</v>
      </c>
    </row>
    <row r="13" spans="2:38" x14ac:dyDescent="0.3">
      <c r="B13" s="23">
        <v>6</v>
      </c>
      <c r="C13" s="35" t="s">
        <v>32</v>
      </c>
      <c r="D13" s="35" t="s">
        <v>33</v>
      </c>
      <c r="E13" s="35" t="s">
        <v>26</v>
      </c>
      <c r="F13" s="35" t="s">
        <v>439</v>
      </c>
      <c r="G13" s="23"/>
      <c r="H13" s="23" t="s">
        <v>124</v>
      </c>
      <c r="I13" s="23" t="s">
        <v>123</v>
      </c>
      <c r="J13" s="23" t="s">
        <v>123</v>
      </c>
      <c r="K13" s="23" t="s">
        <v>123</v>
      </c>
      <c r="L13" s="23" t="s">
        <v>123</v>
      </c>
      <c r="M13" s="23"/>
      <c r="N13" s="23"/>
      <c r="O13" s="23" t="s">
        <v>123</v>
      </c>
      <c r="P13" s="23" t="s">
        <v>123</v>
      </c>
      <c r="Q13" s="23" t="s">
        <v>123</v>
      </c>
      <c r="R13" s="23" t="s">
        <v>123</v>
      </c>
      <c r="S13" s="23" t="s">
        <v>123</v>
      </c>
      <c r="T13" s="23"/>
      <c r="U13" s="23"/>
      <c r="V13" s="23" t="s">
        <v>123</v>
      </c>
      <c r="W13" s="23" t="s">
        <v>123</v>
      </c>
      <c r="X13" s="23" t="s">
        <v>123</v>
      </c>
      <c r="Y13" s="23" t="s">
        <v>123</v>
      </c>
      <c r="Z13" s="23" t="s">
        <v>123</v>
      </c>
      <c r="AA13" s="23"/>
      <c r="AB13" s="23"/>
      <c r="AC13" s="23" t="s">
        <v>124</v>
      </c>
      <c r="AD13" s="23" t="s">
        <v>124</v>
      </c>
      <c r="AE13" s="23" t="s">
        <v>124</v>
      </c>
      <c r="AF13" s="23" t="s">
        <v>124</v>
      </c>
      <c r="AG13" s="23" t="s">
        <v>123</v>
      </c>
      <c r="AH13" s="23"/>
      <c r="AI13" s="23"/>
      <c r="AJ13" s="23" t="s">
        <v>123</v>
      </c>
      <c r="AK13" s="23" t="s">
        <v>123</v>
      </c>
      <c r="AL13" s="22">
        <f t="shared" si="2"/>
        <v>22</v>
      </c>
    </row>
    <row r="14" spans="2:38" x14ac:dyDescent="0.3">
      <c r="B14" s="23">
        <v>7</v>
      </c>
      <c r="C14" s="35" t="s">
        <v>35</v>
      </c>
      <c r="D14" s="35" t="s">
        <v>36</v>
      </c>
      <c r="E14" s="35" t="s">
        <v>26</v>
      </c>
      <c r="F14" s="35" t="s">
        <v>439</v>
      </c>
      <c r="G14" s="23"/>
      <c r="H14" s="23" t="s">
        <v>124</v>
      </c>
      <c r="I14" s="23" t="s">
        <v>123</v>
      </c>
      <c r="J14" s="23" t="s">
        <v>123</v>
      </c>
      <c r="K14" s="23" t="s">
        <v>123</v>
      </c>
      <c r="L14" s="23" t="s">
        <v>123</v>
      </c>
      <c r="M14" s="23"/>
      <c r="N14" s="23"/>
      <c r="O14" s="23" t="s">
        <v>123</v>
      </c>
      <c r="P14" s="23" t="s">
        <v>123</v>
      </c>
      <c r="Q14" s="23" t="s">
        <v>123</v>
      </c>
      <c r="R14" s="23" t="s">
        <v>123</v>
      </c>
      <c r="S14" s="23" t="s">
        <v>123</v>
      </c>
      <c r="T14" s="23"/>
      <c r="U14" s="23"/>
      <c r="V14" s="23" t="s">
        <v>123</v>
      </c>
      <c r="W14" s="23" t="s">
        <v>123</v>
      </c>
      <c r="X14" s="23" t="s">
        <v>123</v>
      </c>
      <c r="Y14" s="23" t="s">
        <v>123</v>
      </c>
      <c r="Z14" s="23" t="s">
        <v>123</v>
      </c>
      <c r="AA14" s="23"/>
      <c r="AB14" s="23"/>
      <c r="AC14" s="23" t="s">
        <v>124</v>
      </c>
      <c r="AD14" s="23" t="s">
        <v>124</v>
      </c>
      <c r="AE14" s="23" t="s">
        <v>124</v>
      </c>
      <c r="AF14" s="23" t="s">
        <v>124</v>
      </c>
      <c r="AG14" s="23" t="s">
        <v>123</v>
      </c>
      <c r="AH14" s="23"/>
      <c r="AI14" s="23"/>
      <c r="AJ14" s="23" t="s">
        <v>123</v>
      </c>
      <c r="AK14" s="23" t="s">
        <v>123</v>
      </c>
      <c r="AL14" s="22">
        <f t="shared" si="2"/>
        <v>22</v>
      </c>
    </row>
    <row r="15" spans="2:38" x14ac:dyDescent="0.3">
      <c r="B15" s="23">
        <v>8</v>
      </c>
      <c r="C15" s="35" t="s">
        <v>38</v>
      </c>
      <c r="D15" s="35" t="s">
        <v>39</v>
      </c>
      <c r="E15" s="35" t="s">
        <v>26</v>
      </c>
      <c r="F15" s="35" t="s">
        <v>439</v>
      </c>
      <c r="G15" s="23"/>
      <c r="H15" s="23" t="s">
        <v>124</v>
      </c>
      <c r="I15" s="23" t="s">
        <v>123</v>
      </c>
      <c r="J15" s="23" t="s">
        <v>123</v>
      </c>
      <c r="K15" s="23" t="s">
        <v>123</v>
      </c>
      <c r="L15" s="23" t="s">
        <v>123</v>
      </c>
      <c r="M15" s="23"/>
      <c r="N15" s="23"/>
      <c r="O15" s="23" t="s">
        <v>123</v>
      </c>
      <c r="P15" s="23" t="s">
        <v>123</v>
      </c>
      <c r="Q15" s="23" t="s">
        <v>123</v>
      </c>
      <c r="R15" s="23" t="s">
        <v>123</v>
      </c>
      <c r="S15" s="23" t="s">
        <v>123</v>
      </c>
      <c r="T15" s="23"/>
      <c r="U15" s="23"/>
      <c r="V15" s="23" t="s">
        <v>123</v>
      </c>
      <c r="W15" s="23" t="s">
        <v>123</v>
      </c>
      <c r="X15" s="23" t="s">
        <v>123</v>
      </c>
      <c r="Y15" s="23" t="s">
        <v>123</v>
      </c>
      <c r="Z15" s="23" t="s">
        <v>123</v>
      </c>
      <c r="AA15" s="23"/>
      <c r="AB15" s="23"/>
      <c r="AC15" s="23" t="s">
        <v>124</v>
      </c>
      <c r="AD15" s="23" t="s">
        <v>124</v>
      </c>
      <c r="AE15" s="23" t="s">
        <v>124</v>
      </c>
      <c r="AF15" s="23" t="s">
        <v>124</v>
      </c>
      <c r="AG15" s="23" t="s">
        <v>123</v>
      </c>
      <c r="AH15" s="23"/>
      <c r="AI15" s="23"/>
      <c r="AJ15" s="23" t="s">
        <v>123</v>
      </c>
      <c r="AK15" s="23" t="s">
        <v>123</v>
      </c>
      <c r="AL15" s="22">
        <f t="shared" si="2"/>
        <v>22</v>
      </c>
    </row>
    <row r="16" spans="2:38" x14ac:dyDescent="0.3">
      <c r="B16" s="23">
        <v>9</v>
      </c>
      <c r="C16" s="35" t="s">
        <v>41</v>
      </c>
      <c r="D16" s="35" t="s">
        <v>42</v>
      </c>
      <c r="E16" s="35" t="s">
        <v>26</v>
      </c>
      <c r="F16" s="35" t="s">
        <v>439</v>
      </c>
      <c r="G16" s="23"/>
      <c r="H16" s="23" t="s">
        <v>124</v>
      </c>
      <c r="I16" s="23" t="s">
        <v>123</v>
      </c>
      <c r="J16" s="23" t="s">
        <v>123</v>
      </c>
      <c r="K16" s="23" t="s">
        <v>123</v>
      </c>
      <c r="L16" s="23" t="s">
        <v>123</v>
      </c>
      <c r="M16" s="23"/>
      <c r="N16" s="23"/>
      <c r="O16" s="23" t="s">
        <v>123</v>
      </c>
      <c r="P16" s="23" t="s">
        <v>123</v>
      </c>
      <c r="Q16" s="23" t="s">
        <v>123</v>
      </c>
      <c r="R16" s="23" t="s">
        <v>123</v>
      </c>
      <c r="S16" s="23" t="s">
        <v>123</v>
      </c>
      <c r="T16" s="23"/>
      <c r="U16" s="23"/>
      <c r="V16" s="23" t="s">
        <v>123</v>
      </c>
      <c r="W16" s="23" t="s">
        <v>123</v>
      </c>
      <c r="X16" s="23" t="s">
        <v>123</v>
      </c>
      <c r="Y16" s="23" t="s">
        <v>123</v>
      </c>
      <c r="Z16" s="23" t="s">
        <v>123</v>
      </c>
      <c r="AA16" s="23"/>
      <c r="AB16" s="23"/>
      <c r="AC16" s="23" t="s">
        <v>124</v>
      </c>
      <c r="AD16" s="23" t="s">
        <v>124</v>
      </c>
      <c r="AE16" s="23" t="s">
        <v>124</v>
      </c>
      <c r="AF16" s="23" t="s">
        <v>124</v>
      </c>
      <c r="AG16" s="23" t="s">
        <v>123</v>
      </c>
      <c r="AH16" s="23"/>
      <c r="AI16" s="23"/>
      <c r="AJ16" s="23" t="s">
        <v>123</v>
      </c>
      <c r="AK16" s="23" t="s">
        <v>123</v>
      </c>
      <c r="AL16" s="22">
        <f t="shared" si="2"/>
        <v>22</v>
      </c>
    </row>
    <row r="17" spans="2:38" x14ac:dyDescent="0.3">
      <c r="B17" s="23">
        <v>10</v>
      </c>
      <c r="C17" s="35" t="s">
        <v>44</v>
      </c>
      <c r="D17" s="35" t="s">
        <v>45</v>
      </c>
      <c r="E17" s="35" t="s">
        <v>26</v>
      </c>
      <c r="F17" s="35" t="s">
        <v>439</v>
      </c>
      <c r="G17" s="23"/>
      <c r="H17" s="23" t="s">
        <v>124</v>
      </c>
      <c r="I17" s="23" t="s">
        <v>123</v>
      </c>
      <c r="J17" s="23" t="s">
        <v>123</v>
      </c>
      <c r="K17" s="23" t="s">
        <v>123</v>
      </c>
      <c r="L17" s="23" t="s">
        <v>123</v>
      </c>
      <c r="M17" s="23"/>
      <c r="N17" s="23"/>
      <c r="O17" s="23" t="s">
        <v>123</v>
      </c>
      <c r="P17" s="23" t="s">
        <v>123</v>
      </c>
      <c r="Q17" s="23" t="s">
        <v>123</v>
      </c>
      <c r="R17" s="23" t="s">
        <v>123</v>
      </c>
      <c r="S17" s="23" t="s">
        <v>123</v>
      </c>
      <c r="T17" s="23"/>
      <c r="U17" s="23"/>
      <c r="V17" s="23" t="s">
        <v>123</v>
      </c>
      <c r="W17" s="23" t="s">
        <v>123</v>
      </c>
      <c r="X17" s="23" t="s">
        <v>123</v>
      </c>
      <c r="Y17" s="23" t="s">
        <v>123</v>
      </c>
      <c r="Z17" s="23" t="s">
        <v>123</v>
      </c>
      <c r="AA17" s="23"/>
      <c r="AB17" s="23"/>
      <c r="AC17" s="23" t="s">
        <v>124</v>
      </c>
      <c r="AD17" s="23" t="s">
        <v>124</v>
      </c>
      <c r="AE17" s="23" t="s">
        <v>124</v>
      </c>
      <c r="AF17" s="23" t="s">
        <v>124</v>
      </c>
      <c r="AG17" s="23" t="s">
        <v>123</v>
      </c>
      <c r="AH17" s="23"/>
      <c r="AI17" s="23"/>
      <c r="AJ17" s="23" t="s">
        <v>123</v>
      </c>
      <c r="AK17" s="23" t="s">
        <v>123</v>
      </c>
      <c r="AL17" s="22">
        <f t="shared" si="2"/>
        <v>22</v>
      </c>
    </row>
    <row r="18" spans="2:38" x14ac:dyDescent="0.3">
      <c r="B18" s="23">
        <v>11</v>
      </c>
      <c r="C18" s="35" t="s">
        <v>47</v>
      </c>
      <c r="D18" s="35" t="s">
        <v>48</v>
      </c>
      <c r="E18" s="35" t="s">
        <v>26</v>
      </c>
      <c r="F18" s="35" t="s">
        <v>439</v>
      </c>
      <c r="G18" s="23"/>
      <c r="H18" s="23" t="s">
        <v>124</v>
      </c>
      <c r="I18" s="23" t="s">
        <v>123</v>
      </c>
      <c r="J18" s="23" t="s">
        <v>123</v>
      </c>
      <c r="K18" s="23" t="s">
        <v>123</v>
      </c>
      <c r="L18" s="23" t="s">
        <v>123</v>
      </c>
      <c r="M18" s="23"/>
      <c r="N18" s="23"/>
      <c r="O18" s="23" t="s">
        <v>123</v>
      </c>
      <c r="P18" s="23" t="s">
        <v>123</v>
      </c>
      <c r="Q18" s="23" t="s">
        <v>123</v>
      </c>
      <c r="R18" s="23" t="s">
        <v>123</v>
      </c>
      <c r="S18" s="23" t="s">
        <v>123</v>
      </c>
      <c r="T18" s="23"/>
      <c r="U18" s="23"/>
      <c r="V18" s="23" t="s">
        <v>123</v>
      </c>
      <c r="W18" s="23" t="s">
        <v>123</v>
      </c>
      <c r="X18" s="23" t="s">
        <v>123</v>
      </c>
      <c r="Y18" s="23" t="s">
        <v>123</v>
      </c>
      <c r="Z18" s="23" t="s">
        <v>123</v>
      </c>
      <c r="AA18" s="23"/>
      <c r="AB18" s="23"/>
      <c r="AC18" s="23" t="s">
        <v>124</v>
      </c>
      <c r="AD18" s="23" t="s">
        <v>124</v>
      </c>
      <c r="AE18" s="23" t="s">
        <v>124</v>
      </c>
      <c r="AF18" s="23" t="s">
        <v>124</v>
      </c>
      <c r="AG18" s="23" t="s">
        <v>123</v>
      </c>
      <c r="AH18" s="23"/>
      <c r="AI18" s="23"/>
      <c r="AJ18" s="23" t="s">
        <v>123</v>
      </c>
      <c r="AK18" s="23" t="s">
        <v>123</v>
      </c>
      <c r="AL18" s="22">
        <f t="shared" si="2"/>
        <v>22</v>
      </c>
    </row>
    <row r="19" spans="2:38" x14ac:dyDescent="0.3">
      <c r="B19" s="23">
        <v>12</v>
      </c>
      <c r="C19" s="35" t="s">
        <v>49</v>
      </c>
      <c r="D19" s="35" t="s">
        <v>50</v>
      </c>
      <c r="E19" s="35" t="s">
        <v>26</v>
      </c>
      <c r="F19" s="35" t="s">
        <v>439</v>
      </c>
      <c r="G19" s="23"/>
      <c r="H19" s="23" t="s">
        <v>124</v>
      </c>
      <c r="I19" s="23" t="s">
        <v>123</v>
      </c>
      <c r="J19" s="23" t="s">
        <v>123</v>
      </c>
      <c r="K19" s="23" t="s">
        <v>123</v>
      </c>
      <c r="L19" s="23" t="s">
        <v>123</v>
      </c>
      <c r="M19" s="23"/>
      <c r="N19" s="23"/>
      <c r="O19" s="23" t="s">
        <v>123</v>
      </c>
      <c r="P19" s="23" t="s">
        <v>123</v>
      </c>
      <c r="Q19" s="23" t="s">
        <v>123</v>
      </c>
      <c r="R19" s="23" t="s">
        <v>123</v>
      </c>
      <c r="S19" s="23" t="s">
        <v>123</v>
      </c>
      <c r="T19" s="23"/>
      <c r="U19" s="23"/>
      <c r="V19" s="23" t="s">
        <v>123</v>
      </c>
      <c r="W19" s="23" t="s">
        <v>123</v>
      </c>
      <c r="X19" s="23" t="s">
        <v>123</v>
      </c>
      <c r="Y19" s="23" t="s">
        <v>123</v>
      </c>
      <c r="Z19" s="23" t="s">
        <v>123</v>
      </c>
      <c r="AA19" s="23"/>
      <c r="AB19" s="23"/>
      <c r="AC19" s="23" t="s">
        <v>124</v>
      </c>
      <c r="AD19" s="23" t="s">
        <v>124</v>
      </c>
      <c r="AE19" s="23" t="s">
        <v>124</v>
      </c>
      <c r="AF19" s="23" t="s">
        <v>124</v>
      </c>
      <c r="AG19" s="23" t="s">
        <v>123</v>
      </c>
      <c r="AH19" s="23"/>
      <c r="AI19" s="23"/>
      <c r="AJ19" s="23" t="s">
        <v>123</v>
      </c>
      <c r="AK19" s="23" t="s">
        <v>123</v>
      </c>
      <c r="AL19" s="22">
        <f t="shared" si="2"/>
        <v>22</v>
      </c>
    </row>
    <row r="20" spans="2:38" x14ac:dyDescent="0.3">
      <c r="B20" s="23">
        <v>13</v>
      </c>
      <c r="C20" s="35" t="s">
        <v>51</v>
      </c>
      <c r="D20" s="35" t="s">
        <v>52</v>
      </c>
      <c r="E20" s="35" t="s">
        <v>26</v>
      </c>
      <c r="F20" s="35" t="s">
        <v>439</v>
      </c>
      <c r="G20" s="23"/>
      <c r="H20" s="23" t="s">
        <v>124</v>
      </c>
      <c r="I20" s="23" t="s">
        <v>123</v>
      </c>
      <c r="J20" s="23" t="s">
        <v>123</v>
      </c>
      <c r="K20" s="23" t="s">
        <v>123</v>
      </c>
      <c r="L20" s="23" t="s">
        <v>123</v>
      </c>
      <c r="M20" s="23"/>
      <c r="N20" s="23"/>
      <c r="O20" s="23" t="s">
        <v>123</v>
      </c>
      <c r="P20" s="23" t="s">
        <v>123</v>
      </c>
      <c r="Q20" s="23" t="s">
        <v>123</v>
      </c>
      <c r="R20" s="23" t="s">
        <v>123</v>
      </c>
      <c r="S20" s="23" t="s">
        <v>123</v>
      </c>
      <c r="T20" s="23"/>
      <c r="U20" s="23"/>
      <c r="V20" s="23" t="s">
        <v>123</v>
      </c>
      <c r="W20" s="23" t="s">
        <v>123</v>
      </c>
      <c r="X20" s="23" t="s">
        <v>123</v>
      </c>
      <c r="Y20" s="23" t="s">
        <v>123</v>
      </c>
      <c r="Z20" s="23" t="s">
        <v>123</v>
      </c>
      <c r="AA20" s="23"/>
      <c r="AB20" s="23"/>
      <c r="AC20" s="23" t="s">
        <v>124</v>
      </c>
      <c r="AD20" s="23" t="s">
        <v>124</v>
      </c>
      <c r="AE20" s="23" t="s">
        <v>124</v>
      </c>
      <c r="AF20" s="23" t="s">
        <v>124</v>
      </c>
      <c r="AG20" s="23" t="s">
        <v>123</v>
      </c>
      <c r="AH20" s="23"/>
      <c r="AI20" s="23"/>
      <c r="AJ20" s="23" t="s">
        <v>123</v>
      </c>
      <c r="AK20" s="23" t="s">
        <v>123</v>
      </c>
      <c r="AL20" s="22">
        <f t="shared" si="2"/>
        <v>22</v>
      </c>
    </row>
    <row r="21" spans="2:38" x14ac:dyDescent="0.3">
      <c r="B21" s="23">
        <v>14</v>
      </c>
      <c r="C21" s="35" t="s">
        <v>53</v>
      </c>
      <c r="D21" s="35" t="s">
        <v>54</v>
      </c>
      <c r="E21" s="35" t="s">
        <v>26</v>
      </c>
      <c r="F21" s="35" t="s">
        <v>439</v>
      </c>
      <c r="G21" s="23"/>
      <c r="H21" s="23" t="s">
        <v>124</v>
      </c>
      <c r="I21" s="23" t="s">
        <v>123</v>
      </c>
      <c r="J21" s="23" t="s">
        <v>123</v>
      </c>
      <c r="K21" s="23" t="s">
        <v>123</v>
      </c>
      <c r="L21" s="23" t="s">
        <v>123</v>
      </c>
      <c r="M21" s="23"/>
      <c r="N21" s="23"/>
      <c r="O21" s="23" t="s">
        <v>123</v>
      </c>
      <c r="P21" s="23" t="s">
        <v>123</v>
      </c>
      <c r="Q21" s="23" t="s">
        <v>123</v>
      </c>
      <c r="R21" s="23" t="s">
        <v>123</v>
      </c>
      <c r="S21" s="23" t="s">
        <v>123</v>
      </c>
      <c r="T21" s="23"/>
      <c r="U21" s="23"/>
      <c r="V21" s="23" t="s">
        <v>123</v>
      </c>
      <c r="W21" s="23" t="s">
        <v>123</v>
      </c>
      <c r="X21" s="23" t="s">
        <v>123</v>
      </c>
      <c r="Y21" s="23" t="s">
        <v>123</v>
      </c>
      <c r="Z21" s="23" t="s">
        <v>123</v>
      </c>
      <c r="AA21" s="23"/>
      <c r="AB21" s="23"/>
      <c r="AC21" s="23" t="s">
        <v>124</v>
      </c>
      <c r="AD21" s="23" t="s">
        <v>124</v>
      </c>
      <c r="AE21" s="23" t="s">
        <v>124</v>
      </c>
      <c r="AF21" s="23" t="s">
        <v>124</v>
      </c>
      <c r="AG21" s="23" t="s">
        <v>123</v>
      </c>
      <c r="AH21" s="23"/>
      <c r="AI21" s="23"/>
      <c r="AJ21" s="23" t="s">
        <v>123</v>
      </c>
      <c r="AK21" s="23" t="s">
        <v>123</v>
      </c>
      <c r="AL21" s="22">
        <f t="shared" si="2"/>
        <v>22</v>
      </c>
    </row>
    <row r="22" spans="2:38" x14ac:dyDescent="0.3">
      <c r="B22" s="23">
        <v>15</v>
      </c>
      <c r="C22" s="35" t="s">
        <v>55</v>
      </c>
      <c r="D22" s="35" t="s">
        <v>56</v>
      </c>
      <c r="E22" s="35" t="s">
        <v>26</v>
      </c>
      <c r="F22" s="35" t="s">
        <v>439</v>
      </c>
      <c r="G22" s="23"/>
      <c r="H22" s="23" t="s">
        <v>124</v>
      </c>
      <c r="I22" s="23" t="s">
        <v>123</v>
      </c>
      <c r="J22" s="23" t="s">
        <v>123</v>
      </c>
      <c r="K22" s="23" t="s">
        <v>123</v>
      </c>
      <c r="L22" s="23" t="s">
        <v>123</v>
      </c>
      <c r="M22" s="23"/>
      <c r="N22" s="23"/>
      <c r="O22" s="23" t="s">
        <v>123</v>
      </c>
      <c r="P22" s="23" t="s">
        <v>123</v>
      </c>
      <c r="Q22" s="23" t="s">
        <v>123</v>
      </c>
      <c r="R22" s="23" t="s">
        <v>123</v>
      </c>
      <c r="S22" s="23" t="s">
        <v>123</v>
      </c>
      <c r="T22" s="23"/>
      <c r="U22" s="23"/>
      <c r="V22" s="23" t="s">
        <v>123</v>
      </c>
      <c r="W22" s="23" t="s">
        <v>123</v>
      </c>
      <c r="X22" s="23" t="s">
        <v>123</v>
      </c>
      <c r="Y22" s="23" t="s">
        <v>123</v>
      </c>
      <c r="Z22" s="23" t="s">
        <v>123</v>
      </c>
      <c r="AA22" s="23"/>
      <c r="AB22" s="23"/>
      <c r="AC22" s="23" t="s">
        <v>124</v>
      </c>
      <c r="AD22" s="23" t="s">
        <v>124</v>
      </c>
      <c r="AE22" s="23" t="s">
        <v>124</v>
      </c>
      <c r="AF22" s="23" t="s">
        <v>124</v>
      </c>
      <c r="AG22" s="23" t="s">
        <v>123</v>
      </c>
      <c r="AH22" s="23"/>
      <c r="AI22" s="23"/>
      <c r="AJ22" s="23" t="s">
        <v>123</v>
      </c>
      <c r="AK22" s="23" t="s">
        <v>123</v>
      </c>
      <c r="AL22" s="22">
        <f t="shared" si="2"/>
        <v>22</v>
      </c>
    </row>
    <row r="25" spans="2:38" x14ac:dyDescent="0.3">
      <c r="W25" s="253">
        <f>IF(CHE_DO_NGHI=1,WORKDAY.INTL(EOMONTH(DATE(P5,L5,1),0)+1,-1,1,INDEX(DATA_NGHI_LE[],0,1)),WORKDAY.INTL(EOMONTH(DATE(P5,L5,1),0)+1,-1,11,INDEX(DATA_NGHI_LE[],0,1)))</f>
        <v>44957</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11" priority="1">
      <formula>IF(AND(CHE_DO_NGHI=1,OR(G$7="Chủ nhật",G$7="Thứ Bảy")),TRUE,IF(AND(CHE_DO_NGHI=2,G$7="Chủ nhật"),TRUE,FALSE))</formula>
    </cfRule>
  </conditionalFormatting>
  <pageMargins left="0.7" right="0.7" top="0.75" bottom="0.75" header="0.3" footer="0.3"/>
  <pageSetup paperSize="9" scale="72" fitToHeight="0" orientation="landscape" cellComments="atEnd"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57404-87B0-4B27-9C05-33E5B7F7E920}">
  <sheetPr codeName="Sheet146">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4" width="3.33203125" style="5" customWidth="1"/>
    <col min="35" max="37" width="3.33203125" style="5" hidden="1"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2</v>
      </c>
      <c r="M5" s="252"/>
      <c r="N5" s="251" t="s">
        <v>93</v>
      </c>
      <c r="O5" s="251"/>
      <c r="P5" s="250">
        <f>Nam_Bang_Luong</f>
        <v>2023</v>
      </c>
      <c r="Q5" s="250"/>
    </row>
    <row r="6" spans="2:38" x14ac:dyDescent="0.3">
      <c r="B6" s="220" t="s">
        <v>5</v>
      </c>
      <c r="C6" s="220" t="s">
        <v>91</v>
      </c>
      <c r="D6" s="220" t="s">
        <v>6</v>
      </c>
      <c r="E6" s="220" t="s">
        <v>8</v>
      </c>
      <c r="F6" s="220" t="s">
        <v>7</v>
      </c>
      <c r="G6" s="20">
        <f>DATE(P5,L5,1)</f>
        <v>44958</v>
      </c>
      <c r="H6" s="20">
        <f>G6+1</f>
        <v>44959</v>
      </c>
      <c r="I6" s="20">
        <f t="shared" ref="I6:AK6" si="0">H6+1</f>
        <v>44960</v>
      </c>
      <c r="J6" s="20">
        <f t="shared" si="0"/>
        <v>44961</v>
      </c>
      <c r="K6" s="20">
        <f t="shared" si="0"/>
        <v>44962</v>
      </c>
      <c r="L6" s="20">
        <f t="shared" si="0"/>
        <v>44963</v>
      </c>
      <c r="M6" s="20">
        <f t="shared" si="0"/>
        <v>44964</v>
      </c>
      <c r="N6" s="20">
        <f t="shared" si="0"/>
        <v>44965</v>
      </c>
      <c r="O6" s="20">
        <f t="shared" si="0"/>
        <v>44966</v>
      </c>
      <c r="P6" s="20">
        <f t="shared" si="0"/>
        <v>44967</v>
      </c>
      <c r="Q6" s="20">
        <f t="shared" si="0"/>
        <v>44968</v>
      </c>
      <c r="R6" s="20">
        <f t="shared" si="0"/>
        <v>44969</v>
      </c>
      <c r="S6" s="20">
        <f t="shared" si="0"/>
        <v>44970</v>
      </c>
      <c r="T6" s="20">
        <f t="shared" si="0"/>
        <v>44971</v>
      </c>
      <c r="U6" s="20">
        <f t="shared" si="0"/>
        <v>44972</v>
      </c>
      <c r="V6" s="20">
        <f t="shared" si="0"/>
        <v>44973</v>
      </c>
      <c r="W6" s="20">
        <f t="shared" si="0"/>
        <v>44974</v>
      </c>
      <c r="X6" s="20">
        <f t="shared" si="0"/>
        <v>44975</v>
      </c>
      <c r="Y6" s="20">
        <f t="shared" si="0"/>
        <v>44976</v>
      </c>
      <c r="Z6" s="20">
        <f t="shared" si="0"/>
        <v>44977</v>
      </c>
      <c r="AA6" s="20">
        <f t="shared" si="0"/>
        <v>44978</v>
      </c>
      <c r="AB6" s="20">
        <f t="shared" si="0"/>
        <v>44979</v>
      </c>
      <c r="AC6" s="20">
        <f t="shared" si="0"/>
        <v>44980</v>
      </c>
      <c r="AD6" s="20">
        <f t="shared" si="0"/>
        <v>44981</v>
      </c>
      <c r="AE6" s="20">
        <f t="shared" si="0"/>
        <v>44982</v>
      </c>
      <c r="AF6" s="20">
        <f t="shared" si="0"/>
        <v>44983</v>
      </c>
      <c r="AG6" s="20">
        <f t="shared" si="0"/>
        <v>44984</v>
      </c>
      <c r="AH6" s="20">
        <f t="shared" si="0"/>
        <v>44985</v>
      </c>
      <c r="AI6" s="20">
        <f t="shared" si="0"/>
        <v>44986</v>
      </c>
      <c r="AJ6" s="20">
        <f t="shared" si="0"/>
        <v>44987</v>
      </c>
      <c r="AK6" s="20">
        <f t="shared" si="0"/>
        <v>44988</v>
      </c>
      <c r="AL6" s="217" t="s">
        <v>107</v>
      </c>
    </row>
    <row r="7" spans="2:38" ht="46.2" x14ac:dyDescent="0.3">
      <c r="B7" s="220"/>
      <c r="C7" s="220"/>
      <c r="D7" s="220"/>
      <c r="E7" s="220"/>
      <c r="F7" s="220"/>
      <c r="G7" s="21" t="str">
        <f>TEXT(G6,"[$-042A]dddd")</f>
        <v>Thứ Tư</v>
      </c>
      <c r="H7" s="21" t="str">
        <f t="shared" ref="H7:AK7" si="1">TEXT(H6,"[$-042A]dddd")</f>
        <v>Thứ Năm</v>
      </c>
      <c r="I7" s="21" t="str">
        <f t="shared" si="1"/>
        <v>Thứ Sáu</v>
      </c>
      <c r="J7" s="21" t="str">
        <f t="shared" si="1"/>
        <v>Thứ Bảy</v>
      </c>
      <c r="K7" s="21" t="str">
        <f t="shared" si="1"/>
        <v>Chủ Nhật</v>
      </c>
      <c r="L7" s="21" t="str">
        <f t="shared" si="1"/>
        <v>Thứ Hai</v>
      </c>
      <c r="M7" s="21" t="str">
        <f t="shared" si="1"/>
        <v>Thứ Ba</v>
      </c>
      <c r="N7" s="21" t="str">
        <f t="shared" si="1"/>
        <v>Thứ Tư</v>
      </c>
      <c r="O7" s="21" t="str">
        <f t="shared" si="1"/>
        <v>Thứ Năm</v>
      </c>
      <c r="P7" s="21" t="str">
        <f t="shared" si="1"/>
        <v>Thứ Sáu</v>
      </c>
      <c r="Q7" s="21" t="str">
        <f t="shared" si="1"/>
        <v>Thứ Bảy</v>
      </c>
      <c r="R7" s="21" t="str">
        <f t="shared" si="1"/>
        <v>Chủ Nhật</v>
      </c>
      <c r="S7" s="21" t="str">
        <f t="shared" si="1"/>
        <v>Thứ Hai</v>
      </c>
      <c r="T7" s="21" t="str">
        <f t="shared" si="1"/>
        <v>Thứ Ba</v>
      </c>
      <c r="U7" s="21" t="str">
        <f t="shared" si="1"/>
        <v>Thứ Tư</v>
      </c>
      <c r="V7" s="21" t="str">
        <f t="shared" si="1"/>
        <v>Thứ Năm</v>
      </c>
      <c r="W7" s="21" t="str">
        <f t="shared" si="1"/>
        <v>Thứ Sáu</v>
      </c>
      <c r="X7" s="21" t="str">
        <f t="shared" si="1"/>
        <v>Thứ Bảy</v>
      </c>
      <c r="Y7" s="21" t="str">
        <f t="shared" si="1"/>
        <v>Chủ Nhật</v>
      </c>
      <c r="Z7" s="21" t="str">
        <f t="shared" si="1"/>
        <v>Thứ Hai</v>
      </c>
      <c r="AA7" s="21" t="str">
        <f t="shared" si="1"/>
        <v>Thứ Ba</v>
      </c>
      <c r="AB7" s="21" t="str">
        <f t="shared" si="1"/>
        <v>Thứ Tư</v>
      </c>
      <c r="AC7" s="21" t="str">
        <f t="shared" si="1"/>
        <v>Thứ Năm</v>
      </c>
      <c r="AD7" s="21" t="str">
        <f t="shared" si="1"/>
        <v>Thứ Sáu</v>
      </c>
      <c r="AE7" s="21" t="str">
        <f t="shared" si="1"/>
        <v>Thứ Bảy</v>
      </c>
      <c r="AF7" s="21" t="str">
        <f t="shared" si="1"/>
        <v>Chủ Nhật</v>
      </c>
      <c r="AG7" s="21" t="str">
        <f t="shared" si="1"/>
        <v>Thứ Hai</v>
      </c>
      <c r="AH7" s="21" t="str">
        <f t="shared" si="1"/>
        <v>Thứ Ba</v>
      </c>
      <c r="AI7" s="21" t="str">
        <f t="shared" si="1"/>
        <v>Thứ Tư</v>
      </c>
      <c r="AJ7" s="21" t="str">
        <f t="shared" si="1"/>
        <v>Thứ Năm</v>
      </c>
      <c r="AK7" s="21" t="str">
        <f t="shared" si="1"/>
        <v>Thứ Sáu</v>
      </c>
      <c r="AL7" s="217"/>
    </row>
    <row r="8" spans="2:38" x14ac:dyDescent="0.3">
      <c r="B8" s="23">
        <v>1</v>
      </c>
      <c r="C8" s="35" t="s">
        <v>9</v>
      </c>
      <c r="D8" s="35" t="s">
        <v>10</v>
      </c>
      <c r="E8" s="35" t="s">
        <v>11</v>
      </c>
      <c r="F8" s="35" t="s">
        <v>438</v>
      </c>
      <c r="G8" s="23" t="s">
        <v>123</v>
      </c>
      <c r="H8" s="23" t="s">
        <v>123</v>
      </c>
      <c r="I8" s="23" t="s">
        <v>123</v>
      </c>
      <c r="J8" s="23"/>
      <c r="K8" s="23"/>
      <c r="L8" s="24" t="s">
        <v>123</v>
      </c>
      <c r="M8" s="24" t="s">
        <v>123</v>
      </c>
      <c r="N8" s="24" t="s">
        <v>123</v>
      </c>
      <c r="O8" s="24" t="s">
        <v>123</v>
      </c>
      <c r="P8" s="24" t="s">
        <v>123</v>
      </c>
      <c r="Q8" s="24"/>
      <c r="R8" s="24"/>
      <c r="S8" s="24" t="s">
        <v>123</v>
      </c>
      <c r="T8" s="23" t="s">
        <v>123</v>
      </c>
      <c r="U8" s="23" t="s">
        <v>123</v>
      </c>
      <c r="V8" s="23" t="s">
        <v>123</v>
      </c>
      <c r="W8" s="23" t="s">
        <v>123</v>
      </c>
      <c r="X8" s="23"/>
      <c r="Y8" s="23"/>
      <c r="Z8" s="23" t="s">
        <v>123</v>
      </c>
      <c r="AA8" s="23" t="s">
        <v>123</v>
      </c>
      <c r="AB8" s="23" t="s">
        <v>123</v>
      </c>
      <c r="AC8" s="23" t="s">
        <v>123</v>
      </c>
      <c r="AD8" s="23" t="s">
        <v>123</v>
      </c>
      <c r="AE8" s="23"/>
      <c r="AF8" s="23"/>
      <c r="AG8" s="23" t="s">
        <v>123</v>
      </c>
      <c r="AH8" s="23" t="s">
        <v>123</v>
      </c>
      <c r="AI8" s="23"/>
      <c r="AJ8" s="23"/>
      <c r="AK8" s="23"/>
      <c r="AL8" s="22">
        <f t="shared" ref="AL8:AL22" si="2">COUNTIF(G8:AK8,"X")+0.5*COUNTIF(G8:AK8,"X/2")+COUNTIF(G8:AK8,"NL")</f>
        <v>20</v>
      </c>
    </row>
    <row r="9" spans="2:38" x14ac:dyDescent="0.3">
      <c r="B9" s="23">
        <v>2</v>
      </c>
      <c r="C9" s="35" t="s">
        <v>14</v>
      </c>
      <c r="D9" s="35" t="s">
        <v>15</v>
      </c>
      <c r="E9" s="35" t="s">
        <v>16</v>
      </c>
      <c r="F9" s="35" t="s">
        <v>438</v>
      </c>
      <c r="G9" s="23" t="s">
        <v>123</v>
      </c>
      <c r="H9" s="23" t="s">
        <v>123</v>
      </c>
      <c r="I9" s="23" t="s">
        <v>123</v>
      </c>
      <c r="J9" s="23"/>
      <c r="K9" s="23"/>
      <c r="L9" s="24" t="s">
        <v>123</v>
      </c>
      <c r="M9" s="24" t="s">
        <v>123</v>
      </c>
      <c r="N9" s="24" t="s">
        <v>123</v>
      </c>
      <c r="O9" s="24" t="s">
        <v>123</v>
      </c>
      <c r="P9" s="24" t="s">
        <v>123</v>
      </c>
      <c r="Q9" s="24"/>
      <c r="R9" s="24"/>
      <c r="S9" s="24" t="s">
        <v>123</v>
      </c>
      <c r="T9" s="23" t="s">
        <v>123</v>
      </c>
      <c r="U9" s="23" t="s">
        <v>123</v>
      </c>
      <c r="V9" s="23" t="s">
        <v>123</v>
      </c>
      <c r="W9" s="23" t="s">
        <v>123</v>
      </c>
      <c r="X9" s="23"/>
      <c r="Y9" s="23"/>
      <c r="Z9" s="23" t="s">
        <v>123</v>
      </c>
      <c r="AA9" s="23" t="s">
        <v>123</v>
      </c>
      <c r="AB9" s="23" t="s">
        <v>123</v>
      </c>
      <c r="AC9" s="23" t="s">
        <v>123</v>
      </c>
      <c r="AD9" s="23" t="s">
        <v>123</v>
      </c>
      <c r="AE9" s="23"/>
      <c r="AF9" s="23"/>
      <c r="AG9" s="23" t="s">
        <v>123</v>
      </c>
      <c r="AH9" s="23" t="s">
        <v>123</v>
      </c>
      <c r="AI9" s="23"/>
      <c r="AJ9" s="23"/>
      <c r="AK9" s="23"/>
      <c r="AL9" s="22">
        <f t="shared" si="2"/>
        <v>20</v>
      </c>
    </row>
    <row r="10" spans="2:38" x14ac:dyDescent="0.3">
      <c r="B10" s="23">
        <v>3</v>
      </c>
      <c r="C10" s="35" t="s">
        <v>19</v>
      </c>
      <c r="D10" s="35" t="s">
        <v>20</v>
      </c>
      <c r="E10" s="35" t="s">
        <v>21</v>
      </c>
      <c r="F10" s="35" t="s">
        <v>438</v>
      </c>
      <c r="G10" s="23" t="s">
        <v>123</v>
      </c>
      <c r="H10" s="23" t="s">
        <v>123</v>
      </c>
      <c r="I10" s="23" t="s">
        <v>123</v>
      </c>
      <c r="J10" s="23"/>
      <c r="K10" s="23"/>
      <c r="L10" s="24" t="s">
        <v>123</v>
      </c>
      <c r="M10" s="24" t="s">
        <v>123</v>
      </c>
      <c r="N10" s="24" t="s">
        <v>123</v>
      </c>
      <c r="O10" s="24" t="s">
        <v>123</v>
      </c>
      <c r="P10" s="24" t="s">
        <v>123</v>
      </c>
      <c r="Q10" s="24"/>
      <c r="R10" s="24"/>
      <c r="S10" s="24" t="s">
        <v>123</v>
      </c>
      <c r="T10" s="23" t="s">
        <v>123</v>
      </c>
      <c r="U10" s="23" t="s">
        <v>123</v>
      </c>
      <c r="V10" s="23" t="s">
        <v>123</v>
      </c>
      <c r="W10" s="23" t="s">
        <v>123</v>
      </c>
      <c r="X10" s="23"/>
      <c r="Y10" s="23"/>
      <c r="Z10" s="23" t="s">
        <v>123</v>
      </c>
      <c r="AA10" s="23" t="s">
        <v>123</v>
      </c>
      <c r="AB10" s="23" t="s">
        <v>123</v>
      </c>
      <c r="AC10" s="23" t="s">
        <v>123</v>
      </c>
      <c r="AD10" s="23" t="s">
        <v>123</v>
      </c>
      <c r="AE10" s="23"/>
      <c r="AF10" s="23"/>
      <c r="AG10" s="23" t="s">
        <v>123</v>
      </c>
      <c r="AH10" s="23" t="s">
        <v>123</v>
      </c>
      <c r="AI10" s="23"/>
      <c r="AJ10" s="23"/>
      <c r="AK10" s="23"/>
      <c r="AL10" s="22">
        <f t="shared" si="2"/>
        <v>20</v>
      </c>
    </row>
    <row r="11" spans="2:38" x14ac:dyDescent="0.3">
      <c r="B11" s="23">
        <v>4</v>
      </c>
      <c r="C11" s="35" t="s">
        <v>24</v>
      </c>
      <c r="D11" s="35" t="s">
        <v>25</v>
      </c>
      <c r="E11" s="35" t="s">
        <v>26</v>
      </c>
      <c r="F11" s="35" t="s">
        <v>439</v>
      </c>
      <c r="G11" s="23" t="s">
        <v>123</v>
      </c>
      <c r="H11" s="23" t="s">
        <v>123</v>
      </c>
      <c r="I11" s="23" t="s">
        <v>123</v>
      </c>
      <c r="J11" s="23"/>
      <c r="K11" s="23"/>
      <c r="L11" s="24" t="s">
        <v>123</v>
      </c>
      <c r="M11" s="24" t="s">
        <v>123</v>
      </c>
      <c r="N11" s="24" t="s">
        <v>123</v>
      </c>
      <c r="O11" s="24" t="s">
        <v>123</v>
      </c>
      <c r="P11" s="24" t="s">
        <v>123</v>
      </c>
      <c r="Q11" s="24"/>
      <c r="R11" s="24"/>
      <c r="S11" s="24" t="s">
        <v>123</v>
      </c>
      <c r="T11" s="23" t="s">
        <v>123</v>
      </c>
      <c r="U11" s="23" t="s">
        <v>123</v>
      </c>
      <c r="V11" s="23" t="s">
        <v>123</v>
      </c>
      <c r="W11" s="23" t="s">
        <v>123</v>
      </c>
      <c r="X11" s="23"/>
      <c r="Y11" s="23"/>
      <c r="Z11" s="23" t="s">
        <v>123</v>
      </c>
      <c r="AA11" s="23" t="s">
        <v>123</v>
      </c>
      <c r="AB11" s="23" t="s">
        <v>123</v>
      </c>
      <c r="AC11" s="23" t="s">
        <v>123</v>
      </c>
      <c r="AD11" s="23" t="s">
        <v>123</v>
      </c>
      <c r="AE11" s="23"/>
      <c r="AF11" s="23"/>
      <c r="AG11" s="23" t="s">
        <v>123</v>
      </c>
      <c r="AH11" s="23" t="s">
        <v>123</v>
      </c>
      <c r="AI11" s="23"/>
      <c r="AJ11" s="23"/>
      <c r="AK11" s="23"/>
      <c r="AL11" s="22">
        <f t="shared" si="2"/>
        <v>20</v>
      </c>
    </row>
    <row r="12" spans="2:38" x14ac:dyDescent="0.3">
      <c r="B12" s="23">
        <v>5</v>
      </c>
      <c r="C12" s="35" t="s">
        <v>29</v>
      </c>
      <c r="D12" s="35" t="s">
        <v>30</v>
      </c>
      <c r="E12" s="35" t="s">
        <v>26</v>
      </c>
      <c r="F12" s="35" t="s">
        <v>439</v>
      </c>
      <c r="G12" s="23" t="s">
        <v>123</v>
      </c>
      <c r="H12" s="23" t="s">
        <v>123</v>
      </c>
      <c r="I12" s="23" t="s">
        <v>123</v>
      </c>
      <c r="J12" s="23"/>
      <c r="K12" s="23"/>
      <c r="L12" s="23" t="s">
        <v>123</v>
      </c>
      <c r="M12" s="23" t="s">
        <v>123</v>
      </c>
      <c r="N12" s="23" t="s">
        <v>123</v>
      </c>
      <c r="O12" s="23" t="s">
        <v>123</v>
      </c>
      <c r="P12" s="23" t="s">
        <v>123</v>
      </c>
      <c r="Q12" s="23"/>
      <c r="R12" s="23"/>
      <c r="S12" s="23" t="s">
        <v>123</v>
      </c>
      <c r="T12" s="23" t="s">
        <v>123</v>
      </c>
      <c r="U12" s="23" t="s">
        <v>123</v>
      </c>
      <c r="V12" s="23" t="s">
        <v>123</v>
      </c>
      <c r="W12" s="23" t="s">
        <v>123</v>
      </c>
      <c r="X12" s="23"/>
      <c r="Y12" s="23"/>
      <c r="Z12" s="23" t="s">
        <v>123</v>
      </c>
      <c r="AA12" s="23" t="s">
        <v>123</v>
      </c>
      <c r="AB12" s="23" t="s">
        <v>123</v>
      </c>
      <c r="AC12" s="23" t="s">
        <v>123</v>
      </c>
      <c r="AD12" s="23" t="s">
        <v>123</v>
      </c>
      <c r="AE12" s="23"/>
      <c r="AF12" s="23"/>
      <c r="AG12" s="23" t="s">
        <v>123</v>
      </c>
      <c r="AH12" s="23" t="s">
        <v>123</v>
      </c>
      <c r="AI12" s="23"/>
      <c r="AJ12" s="23"/>
      <c r="AK12" s="23"/>
      <c r="AL12" s="22">
        <f t="shared" si="2"/>
        <v>20</v>
      </c>
    </row>
    <row r="13" spans="2:38" x14ac:dyDescent="0.3">
      <c r="B13" s="23">
        <v>6</v>
      </c>
      <c r="C13" s="35" t="s">
        <v>32</v>
      </c>
      <c r="D13" s="35" t="s">
        <v>33</v>
      </c>
      <c r="E13" s="35" t="s">
        <v>26</v>
      </c>
      <c r="F13" s="35" t="s">
        <v>439</v>
      </c>
      <c r="G13" s="23" t="s">
        <v>123</v>
      </c>
      <c r="H13" s="23" t="s">
        <v>123</v>
      </c>
      <c r="I13" s="23" t="s">
        <v>123</v>
      </c>
      <c r="J13" s="23"/>
      <c r="K13" s="23"/>
      <c r="L13" s="23" t="s">
        <v>123</v>
      </c>
      <c r="M13" s="23" t="s">
        <v>123</v>
      </c>
      <c r="N13" s="23" t="s">
        <v>123</v>
      </c>
      <c r="O13" s="23" t="s">
        <v>123</v>
      </c>
      <c r="P13" s="23" t="s">
        <v>123</v>
      </c>
      <c r="Q13" s="23"/>
      <c r="R13" s="23"/>
      <c r="S13" s="23" t="s">
        <v>123</v>
      </c>
      <c r="T13" s="23" t="s">
        <v>123</v>
      </c>
      <c r="U13" s="23" t="s">
        <v>123</v>
      </c>
      <c r="V13" s="23" t="s">
        <v>123</v>
      </c>
      <c r="W13" s="23" t="s">
        <v>123</v>
      </c>
      <c r="X13" s="23"/>
      <c r="Y13" s="23"/>
      <c r="Z13" s="23" t="s">
        <v>123</v>
      </c>
      <c r="AA13" s="23" t="s">
        <v>123</v>
      </c>
      <c r="AB13" s="23" t="s">
        <v>123</v>
      </c>
      <c r="AC13" s="23" t="s">
        <v>123</v>
      </c>
      <c r="AD13" s="23" t="s">
        <v>123</v>
      </c>
      <c r="AE13" s="23"/>
      <c r="AF13" s="23"/>
      <c r="AG13" s="23" t="s">
        <v>123</v>
      </c>
      <c r="AH13" s="23" t="s">
        <v>123</v>
      </c>
      <c r="AI13" s="23"/>
      <c r="AJ13" s="23"/>
      <c r="AK13" s="23"/>
      <c r="AL13" s="22">
        <f t="shared" si="2"/>
        <v>20</v>
      </c>
    </row>
    <row r="14" spans="2:38" x14ac:dyDescent="0.3">
      <c r="B14" s="23">
        <v>7</v>
      </c>
      <c r="C14" s="35" t="s">
        <v>35</v>
      </c>
      <c r="D14" s="35" t="s">
        <v>36</v>
      </c>
      <c r="E14" s="35" t="s">
        <v>26</v>
      </c>
      <c r="F14" s="35" t="s">
        <v>439</v>
      </c>
      <c r="G14" s="23" t="s">
        <v>123</v>
      </c>
      <c r="H14" s="23" t="s">
        <v>123</v>
      </c>
      <c r="I14" s="23" t="s">
        <v>123</v>
      </c>
      <c r="J14" s="23"/>
      <c r="K14" s="23"/>
      <c r="L14" s="23" t="s">
        <v>123</v>
      </c>
      <c r="M14" s="23" t="s">
        <v>123</v>
      </c>
      <c r="N14" s="23" t="s">
        <v>123</v>
      </c>
      <c r="O14" s="23" t="s">
        <v>123</v>
      </c>
      <c r="P14" s="23" t="s">
        <v>123</v>
      </c>
      <c r="Q14" s="23"/>
      <c r="R14" s="23"/>
      <c r="S14" s="23" t="s">
        <v>123</v>
      </c>
      <c r="T14" s="23" t="s">
        <v>123</v>
      </c>
      <c r="U14" s="23" t="s">
        <v>123</v>
      </c>
      <c r="V14" s="23" t="s">
        <v>123</v>
      </c>
      <c r="W14" s="23" t="s">
        <v>123</v>
      </c>
      <c r="X14" s="23"/>
      <c r="Y14" s="23"/>
      <c r="Z14" s="23" t="s">
        <v>123</v>
      </c>
      <c r="AA14" s="23" t="s">
        <v>123</v>
      </c>
      <c r="AB14" s="23" t="s">
        <v>123</v>
      </c>
      <c r="AC14" s="23" t="s">
        <v>123</v>
      </c>
      <c r="AD14" s="23" t="s">
        <v>123</v>
      </c>
      <c r="AE14" s="23"/>
      <c r="AF14" s="23"/>
      <c r="AG14" s="23" t="s">
        <v>123</v>
      </c>
      <c r="AH14" s="23" t="s">
        <v>123</v>
      </c>
      <c r="AI14" s="23"/>
      <c r="AJ14" s="23"/>
      <c r="AK14" s="23"/>
      <c r="AL14" s="22">
        <f t="shared" si="2"/>
        <v>20</v>
      </c>
    </row>
    <row r="15" spans="2:38" x14ac:dyDescent="0.3">
      <c r="B15" s="23">
        <v>8</v>
      </c>
      <c r="C15" s="35" t="s">
        <v>38</v>
      </c>
      <c r="D15" s="35" t="s">
        <v>39</v>
      </c>
      <c r="E15" s="35" t="s">
        <v>26</v>
      </c>
      <c r="F15" s="35" t="s">
        <v>439</v>
      </c>
      <c r="G15" s="23" t="s">
        <v>123</v>
      </c>
      <c r="H15" s="23" t="s">
        <v>123</v>
      </c>
      <c r="I15" s="23" t="s">
        <v>123</v>
      </c>
      <c r="J15" s="23"/>
      <c r="K15" s="23"/>
      <c r="L15" s="23" t="s">
        <v>123</v>
      </c>
      <c r="M15" s="23" t="s">
        <v>123</v>
      </c>
      <c r="N15" s="23" t="s">
        <v>123</v>
      </c>
      <c r="O15" s="23" t="s">
        <v>123</v>
      </c>
      <c r="P15" s="23" t="s">
        <v>123</v>
      </c>
      <c r="Q15" s="23"/>
      <c r="R15" s="23"/>
      <c r="S15" s="23" t="s">
        <v>123</v>
      </c>
      <c r="T15" s="23" t="s">
        <v>123</v>
      </c>
      <c r="U15" s="23" t="s">
        <v>123</v>
      </c>
      <c r="V15" s="23" t="s">
        <v>123</v>
      </c>
      <c r="W15" s="23" t="s">
        <v>123</v>
      </c>
      <c r="X15" s="23"/>
      <c r="Y15" s="23"/>
      <c r="Z15" s="23" t="s">
        <v>123</v>
      </c>
      <c r="AA15" s="23" t="s">
        <v>123</v>
      </c>
      <c r="AB15" s="23" t="s">
        <v>123</v>
      </c>
      <c r="AC15" s="23" t="s">
        <v>123</v>
      </c>
      <c r="AD15" s="23" t="s">
        <v>123</v>
      </c>
      <c r="AE15" s="23"/>
      <c r="AF15" s="23"/>
      <c r="AG15" s="23" t="s">
        <v>123</v>
      </c>
      <c r="AH15" s="23" t="s">
        <v>123</v>
      </c>
      <c r="AI15" s="23"/>
      <c r="AJ15" s="23"/>
      <c r="AK15" s="23"/>
      <c r="AL15" s="22">
        <f t="shared" si="2"/>
        <v>20</v>
      </c>
    </row>
    <row r="16" spans="2:38" x14ac:dyDescent="0.3">
      <c r="B16" s="23">
        <v>9</v>
      </c>
      <c r="C16" s="35" t="s">
        <v>41</v>
      </c>
      <c r="D16" s="35" t="s">
        <v>42</v>
      </c>
      <c r="E16" s="35" t="s">
        <v>26</v>
      </c>
      <c r="F16" s="35" t="s">
        <v>439</v>
      </c>
      <c r="G16" s="23" t="s">
        <v>123</v>
      </c>
      <c r="H16" s="23" t="s">
        <v>123</v>
      </c>
      <c r="I16" s="23" t="s">
        <v>123</v>
      </c>
      <c r="J16" s="23"/>
      <c r="K16" s="23"/>
      <c r="L16" s="23" t="s">
        <v>123</v>
      </c>
      <c r="M16" s="23" t="s">
        <v>123</v>
      </c>
      <c r="N16" s="23" t="s">
        <v>123</v>
      </c>
      <c r="O16" s="23" t="s">
        <v>123</v>
      </c>
      <c r="P16" s="23" t="s">
        <v>123</v>
      </c>
      <c r="Q16" s="23"/>
      <c r="R16" s="23"/>
      <c r="S16" s="23" t="s">
        <v>123</v>
      </c>
      <c r="T16" s="23" t="s">
        <v>123</v>
      </c>
      <c r="U16" s="23" t="s">
        <v>123</v>
      </c>
      <c r="V16" s="23" t="s">
        <v>123</v>
      </c>
      <c r="W16" s="23" t="s">
        <v>123</v>
      </c>
      <c r="X16" s="23"/>
      <c r="Y16" s="23"/>
      <c r="Z16" s="23" t="s">
        <v>123</v>
      </c>
      <c r="AA16" s="23" t="s">
        <v>123</v>
      </c>
      <c r="AB16" s="23" t="s">
        <v>123</v>
      </c>
      <c r="AC16" s="23" t="s">
        <v>123</v>
      </c>
      <c r="AD16" s="23" t="s">
        <v>123</v>
      </c>
      <c r="AE16" s="23"/>
      <c r="AF16" s="23"/>
      <c r="AG16" s="23" t="s">
        <v>123</v>
      </c>
      <c r="AH16" s="23" t="s">
        <v>123</v>
      </c>
      <c r="AI16" s="23"/>
      <c r="AJ16" s="23"/>
      <c r="AK16" s="23"/>
      <c r="AL16" s="22">
        <f t="shared" si="2"/>
        <v>20</v>
      </c>
    </row>
    <row r="17" spans="2:38" x14ac:dyDescent="0.3">
      <c r="B17" s="23">
        <v>10</v>
      </c>
      <c r="C17" s="35" t="s">
        <v>44</v>
      </c>
      <c r="D17" s="35" t="s">
        <v>45</v>
      </c>
      <c r="E17" s="35" t="s">
        <v>26</v>
      </c>
      <c r="F17" s="35" t="s">
        <v>439</v>
      </c>
      <c r="G17" s="23" t="s">
        <v>123</v>
      </c>
      <c r="H17" s="23" t="s">
        <v>123</v>
      </c>
      <c r="I17" s="23" t="s">
        <v>123</v>
      </c>
      <c r="J17" s="23"/>
      <c r="K17" s="23"/>
      <c r="L17" s="23" t="s">
        <v>123</v>
      </c>
      <c r="M17" s="23" t="s">
        <v>123</v>
      </c>
      <c r="N17" s="23" t="s">
        <v>123</v>
      </c>
      <c r="O17" s="23" t="s">
        <v>123</v>
      </c>
      <c r="P17" s="23" t="s">
        <v>123</v>
      </c>
      <c r="Q17" s="23"/>
      <c r="R17" s="23"/>
      <c r="S17" s="23" t="s">
        <v>123</v>
      </c>
      <c r="T17" s="23" t="s">
        <v>123</v>
      </c>
      <c r="U17" s="23" t="s">
        <v>123</v>
      </c>
      <c r="V17" s="23" t="s">
        <v>123</v>
      </c>
      <c r="W17" s="23" t="s">
        <v>123</v>
      </c>
      <c r="X17" s="23"/>
      <c r="Y17" s="23"/>
      <c r="Z17" s="23" t="s">
        <v>123</v>
      </c>
      <c r="AA17" s="23" t="s">
        <v>123</v>
      </c>
      <c r="AB17" s="23" t="s">
        <v>123</v>
      </c>
      <c r="AC17" s="23" t="s">
        <v>123</v>
      </c>
      <c r="AD17" s="23" t="s">
        <v>123</v>
      </c>
      <c r="AE17" s="23"/>
      <c r="AF17" s="23"/>
      <c r="AG17" s="23" t="s">
        <v>123</v>
      </c>
      <c r="AH17" s="23" t="s">
        <v>123</v>
      </c>
      <c r="AI17" s="23"/>
      <c r="AJ17" s="23"/>
      <c r="AK17" s="23"/>
      <c r="AL17" s="22">
        <f t="shared" si="2"/>
        <v>20</v>
      </c>
    </row>
    <row r="18" spans="2:38" x14ac:dyDescent="0.3">
      <c r="B18" s="23">
        <v>11</v>
      </c>
      <c r="C18" s="35" t="s">
        <v>47</v>
      </c>
      <c r="D18" s="35" t="s">
        <v>48</v>
      </c>
      <c r="E18" s="35" t="s">
        <v>26</v>
      </c>
      <c r="F18" s="35" t="s">
        <v>439</v>
      </c>
      <c r="G18" s="23" t="s">
        <v>123</v>
      </c>
      <c r="H18" s="23" t="s">
        <v>123</v>
      </c>
      <c r="I18" s="23" t="s">
        <v>123</v>
      </c>
      <c r="J18" s="23"/>
      <c r="K18" s="23"/>
      <c r="L18" s="23" t="s">
        <v>123</v>
      </c>
      <c r="M18" s="23" t="s">
        <v>123</v>
      </c>
      <c r="N18" s="23" t="s">
        <v>123</v>
      </c>
      <c r="O18" s="23" t="s">
        <v>123</v>
      </c>
      <c r="P18" s="23" t="s">
        <v>123</v>
      </c>
      <c r="Q18" s="23"/>
      <c r="R18" s="23"/>
      <c r="S18" s="23" t="s">
        <v>123</v>
      </c>
      <c r="T18" s="23" t="s">
        <v>123</v>
      </c>
      <c r="U18" s="23" t="s">
        <v>123</v>
      </c>
      <c r="V18" s="23" t="s">
        <v>123</v>
      </c>
      <c r="W18" s="23" t="s">
        <v>123</v>
      </c>
      <c r="X18" s="23"/>
      <c r="Y18" s="23"/>
      <c r="Z18" s="23" t="s">
        <v>123</v>
      </c>
      <c r="AA18" s="23" t="s">
        <v>123</v>
      </c>
      <c r="AB18" s="23" t="s">
        <v>123</v>
      </c>
      <c r="AC18" s="23" t="s">
        <v>123</v>
      </c>
      <c r="AD18" s="23" t="s">
        <v>123</v>
      </c>
      <c r="AE18" s="23"/>
      <c r="AF18" s="23"/>
      <c r="AG18" s="23" t="s">
        <v>123</v>
      </c>
      <c r="AH18" s="23" t="s">
        <v>123</v>
      </c>
      <c r="AI18" s="23"/>
      <c r="AJ18" s="23"/>
      <c r="AK18" s="23"/>
      <c r="AL18" s="22">
        <f t="shared" si="2"/>
        <v>20</v>
      </c>
    </row>
    <row r="19" spans="2:38" x14ac:dyDescent="0.3">
      <c r="B19" s="23">
        <v>12</v>
      </c>
      <c r="C19" s="35" t="s">
        <v>49</v>
      </c>
      <c r="D19" s="35" t="s">
        <v>50</v>
      </c>
      <c r="E19" s="35" t="s">
        <v>26</v>
      </c>
      <c r="F19" s="35" t="s">
        <v>439</v>
      </c>
      <c r="G19" s="23" t="s">
        <v>123</v>
      </c>
      <c r="H19" s="23" t="s">
        <v>123</v>
      </c>
      <c r="I19" s="23" t="s">
        <v>123</v>
      </c>
      <c r="J19" s="23"/>
      <c r="K19" s="23"/>
      <c r="L19" s="23" t="s">
        <v>123</v>
      </c>
      <c r="M19" s="23" t="s">
        <v>123</v>
      </c>
      <c r="N19" s="23" t="s">
        <v>123</v>
      </c>
      <c r="O19" s="23" t="s">
        <v>123</v>
      </c>
      <c r="P19" s="23" t="s">
        <v>123</v>
      </c>
      <c r="Q19" s="23"/>
      <c r="R19" s="23"/>
      <c r="S19" s="23" t="s">
        <v>123</v>
      </c>
      <c r="T19" s="23" t="s">
        <v>123</v>
      </c>
      <c r="U19" s="23" t="s">
        <v>123</v>
      </c>
      <c r="V19" s="23" t="s">
        <v>123</v>
      </c>
      <c r="W19" s="23" t="s">
        <v>123</v>
      </c>
      <c r="X19" s="23"/>
      <c r="Y19" s="23"/>
      <c r="Z19" s="23" t="s">
        <v>123</v>
      </c>
      <c r="AA19" s="23" t="s">
        <v>123</v>
      </c>
      <c r="AB19" s="23" t="s">
        <v>123</v>
      </c>
      <c r="AC19" s="23" t="s">
        <v>123</v>
      </c>
      <c r="AD19" s="23" t="s">
        <v>123</v>
      </c>
      <c r="AE19" s="23"/>
      <c r="AF19" s="23"/>
      <c r="AG19" s="23" t="s">
        <v>123</v>
      </c>
      <c r="AH19" s="23" t="s">
        <v>123</v>
      </c>
      <c r="AI19" s="23"/>
      <c r="AJ19" s="23"/>
      <c r="AK19" s="23"/>
      <c r="AL19" s="22">
        <f t="shared" si="2"/>
        <v>20</v>
      </c>
    </row>
    <row r="20" spans="2:38" x14ac:dyDescent="0.3">
      <c r="B20" s="23">
        <v>13</v>
      </c>
      <c r="C20" s="35" t="s">
        <v>51</v>
      </c>
      <c r="D20" s="35" t="s">
        <v>52</v>
      </c>
      <c r="E20" s="35" t="s">
        <v>26</v>
      </c>
      <c r="F20" s="35" t="s">
        <v>439</v>
      </c>
      <c r="G20" s="23" t="s">
        <v>123</v>
      </c>
      <c r="H20" s="23" t="s">
        <v>123</v>
      </c>
      <c r="I20" s="23" t="s">
        <v>123</v>
      </c>
      <c r="J20" s="23"/>
      <c r="K20" s="23"/>
      <c r="L20" s="23" t="s">
        <v>123</v>
      </c>
      <c r="M20" s="23" t="s">
        <v>123</v>
      </c>
      <c r="N20" s="23" t="s">
        <v>123</v>
      </c>
      <c r="O20" s="23" t="s">
        <v>123</v>
      </c>
      <c r="P20" s="23" t="s">
        <v>123</v>
      </c>
      <c r="Q20" s="23"/>
      <c r="R20" s="23"/>
      <c r="S20" s="23" t="s">
        <v>123</v>
      </c>
      <c r="T20" s="23" t="s">
        <v>123</v>
      </c>
      <c r="U20" s="23" t="s">
        <v>123</v>
      </c>
      <c r="V20" s="23" t="s">
        <v>123</v>
      </c>
      <c r="W20" s="23" t="s">
        <v>123</v>
      </c>
      <c r="X20" s="23"/>
      <c r="Y20" s="23"/>
      <c r="Z20" s="23" t="s">
        <v>123</v>
      </c>
      <c r="AA20" s="23" t="s">
        <v>123</v>
      </c>
      <c r="AB20" s="23" t="s">
        <v>123</v>
      </c>
      <c r="AC20" s="23" t="s">
        <v>123</v>
      </c>
      <c r="AD20" s="23" t="s">
        <v>123</v>
      </c>
      <c r="AE20" s="23"/>
      <c r="AF20" s="23"/>
      <c r="AG20" s="23" t="s">
        <v>123</v>
      </c>
      <c r="AH20" s="23" t="s">
        <v>123</v>
      </c>
      <c r="AI20" s="23"/>
      <c r="AJ20" s="23"/>
      <c r="AK20" s="23"/>
      <c r="AL20" s="22">
        <f t="shared" si="2"/>
        <v>20</v>
      </c>
    </row>
    <row r="21" spans="2:38" x14ac:dyDescent="0.3">
      <c r="B21" s="23">
        <v>14</v>
      </c>
      <c r="C21" s="35" t="s">
        <v>53</v>
      </c>
      <c r="D21" s="35" t="s">
        <v>54</v>
      </c>
      <c r="E21" s="35" t="s">
        <v>26</v>
      </c>
      <c r="F21" s="35" t="s">
        <v>439</v>
      </c>
      <c r="G21" s="23" t="s">
        <v>123</v>
      </c>
      <c r="H21" s="23" t="s">
        <v>123</v>
      </c>
      <c r="I21" s="23" t="s">
        <v>123</v>
      </c>
      <c r="J21" s="23"/>
      <c r="K21" s="23"/>
      <c r="L21" s="23" t="s">
        <v>123</v>
      </c>
      <c r="M21" s="23" t="s">
        <v>123</v>
      </c>
      <c r="N21" s="23" t="s">
        <v>123</v>
      </c>
      <c r="O21" s="23" t="s">
        <v>123</v>
      </c>
      <c r="P21" s="23" t="s">
        <v>123</v>
      </c>
      <c r="Q21" s="23"/>
      <c r="R21" s="23"/>
      <c r="S21" s="23" t="s">
        <v>123</v>
      </c>
      <c r="T21" s="23" t="s">
        <v>123</v>
      </c>
      <c r="U21" s="23" t="s">
        <v>123</v>
      </c>
      <c r="V21" s="23" t="s">
        <v>123</v>
      </c>
      <c r="W21" s="23" t="s">
        <v>123</v>
      </c>
      <c r="X21" s="23"/>
      <c r="Y21" s="23"/>
      <c r="Z21" s="23" t="s">
        <v>123</v>
      </c>
      <c r="AA21" s="23" t="s">
        <v>123</v>
      </c>
      <c r="AB21" s="23" t="s">
        <v>123</v>
      </c>
      <c r="AC21" s="23" t="s">
        <v>123</v>
      </c>
      <c r="AD21" s="23" t="s">
        <v>123</v>
      </c>
      <c r="AE21" s="23"/>
      <c r="AF21" s="23"/>
      <c r="AG21" s="23" t="s">
        <v>123</v>
      </c>
      <c r="AH21" s="23" t="s">
        <v>123</v>
      </c>
      <c r="AI21" s="23"/>
      <c r="AJ21" s="23"/>
      <c r="AK21" s="23"/>
      <c r="AL21" s="22">
        <f t="shared" si="2"/>
        <v>20</v>
      </c>
    </row>
    <row r="22" spans="2:38" x14ac:dyDescent="0.3">
      <c r="B22" s="23">
        <v>15</v>
      </c>
      <c r="C22" s="35" t="s">
        <v>55</v>
      </c>
      <c r="D22" s="35" t="s">
        <v>56</v>
      </c>
      <c r="E22" s="35" t="s">
        <v>26</v>
      </c>
      <c r="F22" s="35" t="s">
        <v>439</v>
      </c>
      <c r="G22" s="23" t="s">
        <v>123</v>
      </c>
      <c r="H22" s="23" t="s">
        <v>123</v>
      </c>
      <c r="I22" s="23" t="s">
        <v>123</v>
      </c>
      <c r="J22" s="23"/>
      <c r="K22" s="23"/>
      <c r="L22" s="23" t="s">
        <v>123</v>
      </c>
      <c r="M22" s="23" t="s">
        <v>123</v>
      </c>
      <c r="N22" s="23" t="s">
        <v>123</v>
      </c>
      <c r="O22" s="23" t="s">
        <v>123</v>
      </c>
      <c r="P22" s="23" t="s">
        <v>123</v>
      </c>
      <c r="Q22" s="23"/>
      <c r="R22" s="23"/>
      <c r="S22" s="23" t="s">
        <v>123</v>
      </c>
      <c r="T22" s="23" t="s">
        <v>123</v>
      </c>
      <c r="U22" s="23" t="s">
        <v>123</v>
      </c>
      <c r="V22" s="23" t="s">
        <v>123</v>
      </c>
      <c r="W22" s="23" t="s">
        <v>123</v>
      </c>
      <c r="X22" s="23"/>
      <c r="Y22" s="23"/>
      <c r="Z22" s="23" t="s">
        <v>123</v>
      </c>
      <c r="AA22" s="23" t="s">
        <v>123</v>
      </c>
      <c r="AB22" s="23" t="s">
        <v>123</v>
      </c>
      <c r="AC22" s="23" t="s">
        <v>123</v>
      </c>
      <c r="AD22" s="23" t="s">
        <v>123</v>
      </c>
      <c r="AE22" s="23"/>
      <c r="AF22" s="23"/>
      <c r="AG22" s="23" t="s">
        <v>123</v>
      </c>
      <c r="AH22" s="23" t="s">
        <v>123</v>
      </c>
      <c r="AI22" s="23"/>
      <c r="AJ22" s="23"/>
      <c r="AK22" s="23"/>
      <c r="AL22" s="22">
        <f t="shared" si="2"/>
        <v>20</v>
      </c>
    </row>
    <row r="25" spans="2:38" x14ac:dyDescent="0.3">
      <c r="W25" s="253">
        <f>IF(CHE_DO_NGHI=1,WORKDAY.INTL(EOMONTH(DATE(P5,L5,1),0)+1,-1,1,INDEX(DATA_NGHI_LE[],0,1)),WORKDAY.INTL(EOMONTH(DATE(P5,L5,1),0)+1,-1,11,INDEX(DATA_NGHI_LE[],0,1)))</f>
        <v>44985</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10" priority="1">
      <formula>IF(AND(CHE_DO_NGHI=1,OR(G$7="Chủ nhật",G$7="Thứ Bảy")),TRUE,IF(AND(CHE_DO_NGHI=2,G$7="Chủ nhật"),TRUE,FALSE))</formula>
    </cfRule>
  </conditionalFormatting>
  <pageMargins left="0.7" right="0.7" top="0.75" bottom="0.75" header="0.3" footer="0.3"/>
  <pageSetup paperSize="9" scale="76" fitToHeight="0" orientation="landscape" cellComments="atEnd"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D7035-D5D8-436B-BB98-D275ACB09E1F}">
  <sheetPr codeName="Sheet147">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7" width="3.33203125" style="5"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3</v>
      </c>
      <c r="M5" s="252"/>
      <c r="N5" s="251" t="s">
        <v>93</v>
      </c>
      <c r="O5" s="251"/>
      <c r="P5" s="250">
        <f>Nam_Bang_Luong</f>
        <v>2023</v>
      </c>
      <c r="Q5" s="250"/>
    </row>
    <row r="6" spans="2:38" x14ac:dyDescent="0.3">
      <c r="B6" s="220" t="s">
        <v>5</v>
      </c>
      <c r="C6" s="220" t="s">
        <v>91</v>
      </c>
      <c r="D6" s="220" t="s">
        <v>6</v>
      </c>
      <c r="E6" s="220" t="s">
        <v>8</v>
      </c>
      <c r="F6" s="220" t="s">
        <v>7</v>
      </c>
      <c r="G6" s="20">
        <f>DATE(P5,L5,1)</f>
        <v>44986</v>
      </c>
      <c r="H6" s="20">
        <f>G6+1</f>
        <v>44987</v>
      </c>
      <c r="I6" s="20">
        <f t="shared" ref="I6:AK6" si="0">H6+1</f>
        <v>44988</v>
      </c>
      <c r="J6" s="20">
        <f t="shared" si="0"/>
        <v>44989</v>
      </c>
      <c r="K6" s="20">
        <f t="shared" si="0"/>
        <v>44990</v>
      </c>
      <c r="L6" s="20">
        <f t="shared" si="0"/>
        <v>44991</v>
      </c>
      <c r="M6" s="20">
        <f t="shared" si="0"/>
        <v>44992</v>
      </c>
      <c r="N6" s="20">
        <f t="shared" si="0"/>
        <v>44993</v>
      </c>
      <c r="O6" s="20">
        <f t="shared" si="0"/>
        <v>44994</v>
      </c>
      <c r="P6" s="20">
        <f t="shared" si="0"/>
        <v>44995</v>
      </c>
      <c r="Q6" s="20">
        <f t="shared" si="0"/>
        <v>44996</v>
      </c>
      <c r="R6" s="20">
        <f t="shared" si="0"/>
        <v>44997</v>
      </c>
      <c r="S6" s="20">
        <f t="shared" si="0"/>
        <v>44998</v>
      </c>
      <c r="T6" s="20">
        <f t="shared" si="0"/>
        <v>44999</v>
      </c>
      <c r="U6" s="20">
        <f t="shared" si="0"/>
        <v>45000</v>
      </c>
      <c r="V6" s="20">
        <f t="shared" si="0"/>
        <v>45001</v>
      </c>
      <c r="W6" s="20">
        <f t="shared" si="0"/>
        <v>45002</v>
      </c>
      <c r="X6" s="20">
        <f t="shared" si="0"/>
        <v>45003</v>
      </c>
      <c r="Y6" s="20">
        <f t="shared" si="0"/>
        <v>45004</v>
      </c>
      <c r="Z6" s="20">
        <f t="shared" si="0"/>
        <v>45005</v>
      </c>
      <c r="AA6" s="20">
        <f t="shared" si="0"/>
        <v>45006</v>
      </c>
      <c r="AB6" s="20">
        <f t="shared" si="0"/>
        <v>45007</v>
      </c>
      <c r="AC6" s="20">
        <f t="shared" si="0"/>
        <v>45008</v>
      </c>
      <c r="AD6" s="20">
        <f t="shared" si="0"/>
        <v>45009</v>
      </c>
      <c r="AE6" s="20">
        <f t="shared" si="0"/>
        <v>45010</v>
      </c>
      <c r="AF6" s="20">
        <f t="shared" si="0"/>
        <v>45011</v>
      </c>
      <c r="AG6" s="20">
        <f t="shared" si="0"/>
        <v>45012</v>
      </c>
      <c r="AH6" s="20">
        <f t="shared" si="0"/>
        <v>45013</v>
      </c>
      <c r="AI6" s="20">
        <f t="shared" si="0"/>
        <v>45014</v>
      </c>
      <c r="AJ6" s="20">
        <f t="shared" si="0"/>
        <v>45015</v>
      </c>
      <c r="AK6" s="20">
        <f t="shared" si="0"/>
        <v>45016</v>
      </c>
      <c r="AL6" s="217" t="s">
        <v>107</v>
      </c>
    </row>
    <row r="7" spans="2:38" ht="46.2" x14ac:dyDescent="0.3">
      <c r="B7" s="220"/>
      <c r="C7" s="220"/>
      <c r="D7" s="220"/>
      <c r="E7" s="220"/>
      <c r="F7" s="220"/>
      <c r="G7" s="21" t="str">
        <f>TEXT(G6,"[$-042A]dddd")</f>
        <v>Thứ Tư</v>
      </c>
      <c r="H7" s="21" t="str">
        <f t="shared" ref="H7:AK7" si="1">TEXT(H6,"[$-042A]dddd")</f>
        <v>Thứ Năm</v>
      </c>
      <c r="I7" s="21" t="str">
        <f t="shared" si="1"/>
        <v>Thứ Sáu</v>
      </c>
      <c r="J7" s="21" t="str">
        <f t="shared" si="1"/>
        <v>Thứ Bảy</v>
      </c>
      <c r="K7" s="21" t="str">
        <f t="shared" si="1"/>
        <v>Chủ Nhật</v>
      </c>
      <c r="L7" s="21" t="str">
        <f t="shared" si="1"/>
        <v>Thứ Hai</v>
      </c>
      <c r="M7" s="21" t="str">
        <f t="shared" si="1"/>
        <v>Thứ Ba</v>
      </c>
      <c r="N7" s="21" t="str">
        <f t="shared" si="1"/>
        <v>Thứ Tư</v>
      </c>
      <c r="O7" s="21" t="str">
        <f t="shared" si="1"/>
        <v>Thứ Năm</v>
      </c>
      <c r="P7" s="21" t="str">
        <f t="shared" si="1"/>
        <v>Thứ Sáu</v>
      </c>
      <c r="Q7" s="21" t="str">
        <f t="shared" si="1"/>
        <v>Thứ Bảy</v>
      </c>
      <c r="R7" s="21" t="str">
        <f t="shared" si="1"/>
        <v>Chủ Nhật</v>
      </c>
      <c r="S7" s="21" t="str">
        <f t="shared" si="1"/>
        <v>Thứ Hai</v>
      </c>
      <c r="T7" s="21" t="str">
        <f t="shared" si="1"/>
        <v>Thứ Ba</v>
      </c>
      <c r="U7" s="21" t="str">
        <f t="shared" si="1"/>
        <v>Thứ Tư</v>
      </c>
      <c r="V7" s="21" t="str">
        <f t="shared" si="1"/>
        <v>Thứ Năm</v>
      </c>
      <c r="W7" s="21" t="str">
        <f t="shared" si="1"/>
        <v>Thứ Sáu</v>
      </c>
      <c r="X7" s="21" t="str">
        <f t="shared" si="1"/>
        <v>Thứ Bảy</v>
      </c>
      <c r="Y7" s="21" t="str">
        <f t="shared" si="1"/>
        <v>Chủ Nhật</v>
      </c>
      <c r="Z7" s="21" t="str">
        <f t="shared" si="1"/>
        <v>Thứ Hai</v>
      </c>
      <c r="AA7" s="21" t="str">
        <f t="shared" si="1"/>
        <v>Thứ Ba</v>
      </c>
      <c r="AB7" s="21" t="str">
        <f t="shared" si="1"/>
        <v>Thứ Tư</v>
      </c>
      <c r="AC7" s="21" t="str">
        <f t="shared" si="1"/>
        <v>Thứ Năm</v>
      </c>
      <c r="AD7" s="21" t="str">
        <f t="shared" si="1"/>
        <v>Thứ Sáu</v>
      </c>
      <c r="AE7" s="21" t="str">
        <f t="shared" si="1"/>
        <v>Thứ Bảy</v>
      </c>
      <c r="AF7" s="21" t="str">
        <f t="shared" si="1"/>
        <v>Chủ Nhật</v>
      </c>
      <c r="AG7" s="21" t="str">
        <f t="shared" si="1"/>
        <v>Thứ Hai</v>
      </c>
      <c r="AH7" s="21" t="str">
        <f t="shared" si="1"/>
        <v>Thứ Ba</v>
      </c>
      <c r="AI7" s="21" t="str">
        <f t="shared" si="1"/>
        <v>Thứ Tư</v>
      </c>
      <c r="AJ7" s="21" t="str">
        <f t="shared" si="1"/>
        <v>Thứ Năm</v>
      </c>
      <c r="AK7" s="21" t="str">
        <f t="shared" si="1"/>
        <v>Thứ Sáu</v>
      </c>
      <c r="AL7" s="217"/>
    </row>
    <row r="8" spans="2:38" x14ac:dyDescent="0.3">
      <c r="B8" s="23">
        <v>1</v>
      </c>
      <c r="C8" s="35" t="s">
        <v>9</v>
      </c>
      <c r="D8" s="35" t="s">
        <v>10</v>
      </c>
      <c r="E8" s="35" t="s">
        <v>11</v>
      </c>
      <c r="F8" s="35" t="s">
        <v>438</v>
      </c>
      <c r="G8" s="23" t="s">
        <v>123</v>
      </c>
      <c r="H8" s="23" t="s">
        <v>123</v>
      </c>
      <c r="I8" s="23" t="s">
        <v>123</v>
      </c>
      <c r="J8" s="23"/>
      <c r="K8" s="23"/>
      <c r="L8" s="24" t="s">
        <v>123</v>
      </c>
      <c r="M8" s="24" t="s">
        <v>123</v>
      </c>
      <c r="N8" s="24" t="s">
        <v>123</v>
      </c>
      <c r="O8" s="24" t="s">
        <v>123</v>
      </c>
      <c r="P8" s="24" t="s">
        <v>123</v>
      </c>
      <c r="Q8" s="24"/>
      <c r="R8" s="24"/>
      <c r="S8" s="24" t="s">
        <v>123</v>
      </c>
      <c r="T8" s="23" t="s">
        <v>123</v>
      </c>
      <c r="U8" s="23" t="s">
        <v>123</v>
      </c>
      <c r="V8" s="23" t="s">
        <v>123</v>
      </c>
      <c r="W8" s="23" t="s">
        <v>123</v>
      </c>
      <c r="X8" s="23"/>
      <c r="Y8" s="23"/>
      <c r="Z8" s="23" t="s">
        <v>123</v>
      </c>
      <c r="AA8" s="23" t="s">
        <v>123</v>
      </c>
      <c r="AB8" s="23" t="s">
        <v>123</v>
      </c>
      <c r="AC8" s="23" t="s">
        <v>123</v>
      </c>
      <c r="AD8" s="23" t="s">
        <v>123</v>
      </c>
      <c r="AE8" s="23"/>
      <c r="AF8" s="23"/>
      <c r="AG8" s="23" t="s">
        <v>123</v>
      </c>
      <c r="AH8" s="23" t="s">
        <v>123</v>
      </c>
      <c r="AI8" s="23" t="s">
        <v>123</v>
      </c>
      <c r="AJ8" s="23" t="s">
        <v>123</v>
      </c>
      <c r="AK8" s="23" t="s">
        <v>123</v>
      </c>
      <c r="AL8" s="22">
        <f t="shared" ref="AL8:AL22" si="2">COUNTIF(G8:AK8,"X")+0.5*COUNTIF(G8:AK8,"X/2")+COUNTIF(G8:AK8,"NL")</f>
        <v>23</v>
      </c>
    </row>
    <row r="9" spans="2:38" x14ac:dyDescent="0.3">
      <c r="B9" s="23">
        <v>2</v>
      </c>
      <c r="C9" s="35" t="s">
        <v>14</v>
      </c>
      <c r="D9" s="35" t="s">
        <v>15</v>
      </c>
      <c r="E9" s="35" t="s">
        <v>16</v>
      </c>
      <c r="F9" s="35" t="s">
        <v>438</v>
      </c>
      <c r="G9" s="23" t="s">
        <v>123</v>
      </c>
      <c r="H9" s="23" t="s">
        <v>123</v>
      </c>
      <c r="I9" s="23" t="s">
        <v>123</v>
      </c>
      <c r="J9" s="23"/>
      <c r="K9" s="23"/>
      <c r="L9" s="24" t="s">
        <v>123</v>
      </c>
      <c r="M9" s="24" t="s">
        <v>123</v>
      </c>
      <c r="N9" s="24" t="s">
        <v>123</v>
      </c>
      <c r="O9" s="24" t="s">
        <v>123</v>
      </c>
      <c r="P9" s="24" t="s">
        <v>123</v>
      </c>
      <c r="Q9" s="24"/>
      <c r="R9" s="24"/>
      <c r="S9" s="24" t="s">
        <v>123</v>
      </c>
      <c r="T9" s="23" t="s">
        <v>123</v>
      </c>
      <c r="U9" s="23" t="s">
        <v>123</v>
      </c>
      <c r="V9" s="23" t="s">
        <v>123</v>
      </c>
      <c r="W9" s="23" t="s">
        <v>123</v>
      </c>
      <c r="X9" s="23"/>
      <c r="Y9" s="23"/>
      <c r="Z9" s="23" t="s">
        <v>123</v>
      </c>
      <c r="AA9" s="23" t="s">
        <v>123</v>
      </c>
      <c r="AB9" s="23" t="s">
        <v>123</v>
      </c>
      <c r="AC9" s="23" t="s">
        <v>123</v>
      </c>
      <c r="AD9" s="23" t="s">
        <v>123</v>
      </c>
      <c r="AE9" s="23"/>
      <c r="AF9" s="23"/>
      <c r="AG9" s="23" t="s">
        <v>123</v>
      </c>
      <c r="AH9" s="23" t="s">
        <v>123</v>
      </c>
      <c r="AI9" s="23" t="s">
        <v>123</v>
      </c>
      <c r="AJ9" s="23" t="s">
        <v>123</v>
      </c>
      <c r="AK9" s="23" t="s">
        <v>123</v>
      </c>
      <c r="AL9" s="22">
        <f t="shared" si="2"/>
        <v>23</v>
      </c>
    </row>
    <row r="10" spans="2:38" x14ac:dyDescent="0.3">
      <c r="B10" s="23">
        <v>3</v>
      </c>
      <c r="C10" s="35" t="s">
        <v>19</v>
      </c>
      <c r="D10" s="35" t="s">
        <v>20</v>
      </c>
      <c r="E10" s="35" t="s">
        <v>21</v>
      </c>
      <c r="F10" s="35" t="s">
        <v>438</v>
      </c>
      <c r="G10" s="23" t="s">
        <v>123</v>
      </c>
      <c r="H10" s="23" t="s">
        <v>123</v>
      </c>
      <c r="I10" s="23" t="s">
        <v>123</v>
      </c>
      <c r="J10" s="23"/>
      <c r="K10" s="23"/>
      <c r="L10" s="24" t="s">
        <v>123</v>
      </c>
      <c r="M10" s="24" t="s">
        <v>123</v>
      </c>
      <c r="N10" s="24" t="s">
        <v>123</v>
      </c>
      <c r="O10" s="24" t="s">
        <v>123</v>
      </c>
      <c r="P10" s="24" t="s">
        <v>123</v>
      </c>
      <c r="Q10" s="24"/>
      <c r="R10" s="24"/>
      <c r="S10" s="24" t="s">
        <v>123</v>
      </c>
      <c r="T10" s="23" t="s">
        <v>123</v>
      </c>
      <c r="U10" s="23" t="s">
        <v>123</v>
      </c>
      <c r="V10" s="23" t="s">
        <v>123</v>
      </c>
      <c r="W10" s="23" t="s">
        <v>123</v>
      </c>
      <c r="X10" s="23"/>
      <c r="Y10" s="23"/>
      <c r="Z10" s="23" t="s">
        <v>123</v>
      </c>
      <c r="AA10" s="23" t="s">
        <v>123</v>
      </c>
      <c r="AB10" s="23" t="s">
        <v>123</v>
      </c>
      <c r="AC10" s="23" t="s">
        <v>123</v>
      </c>
      <c r="AD10" s="23" t="s">
        <v>123</v>
      </c>
      <c r="AE10" s="23"/>
      <c r="AF10" s="23"/>
      <c r="AG10" s="23" t="s">
        <v>123</v>
      </c>
      <c r="AH10" s="23" t="s">
        <v>123</v>
      </c>
      <c r="AI10" s="23" t="s">
        <v>123</v>
      </c>
      <c r="AJ10" s="23" t="s">
        <v>123</v>
      </c>
      <c r="AK10" s="23" t="s">
        <v>123</v>
      </c>
      <c r="AL10" s="22">
        <f t="shared" si="2"/>
        <v>23</v>
      </c>
    </row>
    <row r="11" spans="2:38" x14ac:dyDescent="0.3">
      <c r="B11" s="23">
        <v>4</v>
      </c>
      <c r="C11" s="35" t="s">
        <v>24</v>
      </c>
      <c r="D11" s="35" t="s">
        <v>25</v>
      </c>
      <c r="E11" s="35" t="s">
        <v>26</v>
      </c>
      <c r="F11" s="35" t="s">
        <v>439</v>
      </c>
      <c r="G11" s="23" t="s">
        <v>123</v>
      </c>
      <c r="H11" s="23" t="s">
        <v>123</v>
      </c>
      <c r="I11" s="23" t="s">
        <v>123</v>
      </c>
      <c r="J11" s="23"/>
      <c r="K11" s="23"/>
      <c r="L11" s="24" t="s">
        <v>123</v>
      </c>
      <c r="M11" s="24" t="s">
        <v>123</v>
      </c>
      <c r="N11" s="24" t="s">
        <v>123</v>
      </c>
      <c r="O11" s="24" t="s">
        <v>123</v>
      </c>
      <c r="P11" s="24" t="s">
        <v>123</v>
      </c>
      <c r="Q11" s="24"/>
      <c r="R11" s="24"/>
      <c r="S11" s="24" t="s">
        <v>123</v>
      </c>
      <c r="T11" s="23" t="s">
        <v>123</v>
      </c>
      <c r="U11" s="23" t="s">
        <v>123</v>
      </c>
      <c r="V11" s="23" t="s">
        <v>123</v>
      </c>
      <c r="W11" s="23" t="s">
        <v>123</v>
      </c>
      <c r="X11" s="23"/>
      <c r="Y11" s="23"/>
      <c r="Z11" s="23" t="s">
        <v>123</v>
      </c>
      <c r="AA11" s="23" t="s">
        <v>123</v>
      </c>
      <c r="AB11" s="23" t="s">
        <v>123</v>
      </c>
      <c r="AC11" s="23" t="s">
        <v>123</v>
      </c>
      <c r="AD11" s="23" t="s">
        <v>123</v>
      </c>
      <c r="AE11" s="23"/>
      <c r="AF11" s="23"/>
      <c r="AG11" s="23" t="s">
        <v>123</v>
      </c>
      <c r="AH11" s="23" t="s">
        <v>123</v>
      </c>
      <c r="AI11" s="23" t="s">
        <v>123</v>
      </c>
      <c r="AJ11" s="23" t="s">
        <v>123</v>
      </c>
      <c r="AK11" s="23" t="s">
        <v>123</v>
      </c>
      <c r="AL11" s="22">
        <f t="shared" si="2"/>
        <v>23</v>
      </c>
    </row>
    <row r="12" spans="2:38" x14ac:dyDescent="0.3">
      <c r="B12" s="23">
        <v>5</v>
      </c>
      <c r="C12" s="35" t="s">
        <v>29</v>
      </c>
      <c r="D12" s="35" t="s">
        <v>30</v>
      </c>
      <c r="E12" s="35" t="s">
        <v>26</v>
      </c>
      <c r="F12" s="35" t="s">
        <v>439</v>
      </c>
      <c r="G12" s="23" t="s">
        <v>123</v>
      </c>
      <c r="H12" s="23" t="s">
        <v>123</v>
      </c>
      <c r="I12" s="23" t="s">
        <v>123</v>
      </c>
      <c r="J12" s="23"/>
      <c r="K12" s="23"/>
      <c r="L12" s="23" t="s">
        <v>123</v>
      </c>
      <c r="M12" s="23" t="s">
        <v>123</v>
      </c>
      <c r="N12" s="23" t="s">
        <v>123</v>
      </c>
      <c r="O12" s="23" t="s">
        <v>123</v>
      </c>
      <c r="P12" s="23" t="s">
        <v>123</v>
      </c>
      <c r="Q12" s="23"/>
      <c r="R12" s="23"/>
      <c r="S12" s="23" t="s">
        <v>123</v>
      </c>
      <c r="T12" s="23" t="s">
        <v>123</v>
      </c>
      <c r="U12" s="23" t="s">
        <v>123</v>
      </c>
      <c r="V12" s="23" t="s">
        <v>123</v>
      </c>
      <c r="W12" s="23" t="s">
        <v>123</v>
      </c>
      <c r="X12" s="23"/>
      <c r="Y12" s="23"/>
      <c r="Z12" s="23" t="s">
        <v>123</v>
      </c>
      <c r="AA12" s="23" t="s">
        <v>123</v>
      </c>
      <c r="AB12" s="23" t="s">
        <v>123</v>
      </c>
      <c r="AC12" s="23" t="s">
        <v>123</v>
      </c>
      <c r="AD12" s="23" t="s">
        <v>123</v>
      </c>
      <c r="AE12" s="23"/>
      <c r="AF12" s="23"/>
      <c r="AG12" s="23" t="s">
        <v>123</v>
      </c>
      <c r="AH12" s="23" t="s">
        <v>123</v>
      </c>
      <c r="AI12" s="23" t="s">
        <v>123</v>
      </c>
      <c r="AJ12" s="23" t="s">
        <v>123</v>
      </c>
      <c r="AK12" s="23" t="s">
        <v>123</v>
      </c>
      <c r="AL12" s="22">
        <f t="shared" si="2"/>
        <v>23</v>
      </c>
    </row>
    <row r="13" spans="2:38" x14ac:dyDescent="0.3">
      <c r="B13" s="23">
        <v>6</v>
      </c>
      <c r="C13" s="35" t="s">
        <v>32</v>
      </c>
      <c r="D13" s="35" t="s">
        <v>33</v>
      </c>
      <c r="E13" s="35" t="s">
        <v>26</v>
      </c>
      <c r="F13" s="35" t="s">
        <v>439</v>
      </c>
      <c r="G13" s="23" t="s">
        <v>123</v>
      </c>
      <c r="H13" s="23" t="s">
        <v>123</v>
      </c>
      <c r="I13" s="23" t="s">
        <v>123</v>
      </c>
      <c r="J13" s="23"/>
      <c r="K13" s="23"/>
      <c r="L13" s="23" t="s">
        <v>123</v>
      </c>
      <c r="M13" s="23" t="s">
        <v>123</v>
      </c>
      <c r="N13" s="23" t="s">
        <v>123</v>
      </c>
      <c r="O13" s="23" t="s">
        <v>123</v>
      </c>
      <c r="P13" s="23" t="s">
        <v>123</v>
      </c>
      <c r="Q13" s="23"/>
      <c r="R13" s="23"/>
      <c r="S13" s="23" t="s">
        <v>123</v>
      </c>
      <c r="T13" s="23" t="s">
        <v>123</v>
      </c>
      <c r="U13" s="23" t="s">
        <v>123</v>
      </c>
      <c r="V13" s="23" t="s">
        <v>123</v>
      </c>
      <c r="W13" s="23" t="s">
        <v>123</v>
      </c>
      <c r="X13" s="23"/>
      <c r="Y13" s="23"/>
      <c r="Z13" s="23" t="s">
        <v>123</v>
      </c>
      <c r="AA13" s="23" t="s">
        <v>123</v>
      </c>
      <c r="AB13" s="23" t="s">
        <v>123</v>
      </c>
      <c r="AC13" s="23" t="s">
        <v>123</v>
      </c>
      <c r="AD13" s="23" t="s">
        <v>123</v>
      </c>
      <c r="AE13" s="23"/>
      <c r="AF13" s="23"/>
      <c r="AG13" s="23" t="s">
        <v>123</v>
      </c>
      <c r="AH13" s="23" t="s">
        <v>123</v>
      </c>
      <c r="AI13" s="23" t="s">
        <v>123</v>
      </c>
      <c r="AJ13" s="23" t="s">
        <v>123</v>
      </c>
      <c r="AK13" s="23" t="s">
        <v>123</v>
      </c>
      <c r="AL13" s="22">
        <f t="shared" si="2"/>
        <v>23</v>
      </c>
    </row>
    <row r="14" spans="2:38" x14ac:dyDescent="0.3">
      <c r="B14" s="23">
        <v>7</v>
      </c>
      <c r="C14" s="35" t="s">
        <v>35</v>
      </c>
      <c r="D14" s="35" t="s">
        <v>36</v>
      </c>
      <c r="E14" s="35" t="s">
        <v>26</v>
      </c>
      <c r="F14" s="35" t="s">
        <v>439</v>
      </c>
      <c r="G14" s="23" t="s">
        <v>123</v>
      </c>
      <c r="H14" s="23" t="s">
        <v>123</v>
      </c>
      <c r="I14" s="23" t="s">
        <v>123</v>
      </c>
      <c r="J14" s="23"/>
      <c r="K14" s="23"/>
      <c r="L14" s="23" t="s">
        <v>123</v>
      </c>
      <c r="M14" s="23" t="s">
        <v>123</v>
      </c>
      <c r="N14" s="23" t="s">
        <v>123</v>
      </c>
      <c r="O14" s="23" t="s">
        <v>123</v>
      </c>
      <c r="P14" s="23" t="s">
        <v>123</v>
      </c>
      <c r="Q14" s="23"/>
      <c r="R14" s="23"/>
      <c r="S14" s="23" t="s">
        <v>123</v>
      </c>
      <c r="T14" s="23" t="s">
        <v>123</v>
      </c>
      <c r="U14" s="23" t="s">
        <v>123</v>
      </c>
      <c r="V14" s="23" t="s">
        <v>123</v>
      </c>
      <c r="W14" s="23" t="s">
        <v>123</v>
      </c>
      <c r="X14" s="23"/>
      <c r="Y14" s="23"/>
      <c r="Z14" s="23" t="s">
        <v>123</v>
      </c>
      <c r="AA14" s="23" t="s">
        <v>123</v>
      </c>
      <c r="AB14" s="23" t="s">
        <v>123</v>
      </c>
      <c r="AC14" s="23" t="s">
        <v>123</v>
      </c>
      <c r="AD14" s="23" t="s">
        <v>123</v>
      </c>
      <c r="AE14" s="23"/>
      <c r="AF14" s="23"/>
      <c r="AG14" s="23" t="s">
        <v>123</v>
      </c>
      <c r="AH14" s="23" t="s">
        <v>123</v>
      </c>
      <c r="AI14" s="23" t="s">
        <v>123</v>
      </c>
      <c r="AJ14" s="23" t="s">
        <v>123</v>
      </c>
      <c r="AK14" s="23" t="s">
        <v>123</v>
      </c>
      <c r="AL14" s="22">
        <f t="shared" si="2"/>
        <v>23</v>
      </c>
    </row>
    <row r="15" spans="2:38" x14ac:dyDescent="0.3">
      <c r="B15" s="23">
        <v>8</v>
      </c>
      <c r="C15" s="35" t="s">
        <v>38</v>
      </c>
      <c r="D15" s="35" t="s">
        <v>39</v>
      </c>
      <c r="E15" s="35" t="s">
        <v>26</v>
      </c>
      <c r="F15" s="35" t="s">
        <v>439</v>
      </c>
      <c r="G15" s="23" t="s">
        <v>123</v>
      </c>
      <c r="H15" s="23" t="s">
        <v>123</v>
      </c>
      <c r="I15" s="23" t="s">
        <v>123</v>
      </c>
      <c r="J15" s="23"/>
      <c r="K15" s="23"/>
      <c r="L15" s="23" t="s">
        <v>123</v>
      </c>
      <c r="M15" s="23" t="s">
        <v>123</v>
      </c>
      <c r="N15" s="23" t="s">
        <v>123</v>
      </c>
      <c r="O15" s="23" t="s">
        <v>123</v>
      </c>
      <c r="P15" s="23" t="s">
        <v>123</v>
      </c>
      <c r="Q15" s="23"/>
      <c r="R15" s="23"/>
      <c r="S15" s="23" t="s">
        <v>123</v>
      </c>
      <c r="T15" s="23" t="s">
        <v>123</v>
      </c>
      <c r="U15" s="23" t="s">
        <v>123</v>
      </c>
      <c r="V15" s="23" t="s">
        <v>123</v>
      </c>
      <c r="W15" s="23" t="s">
        <v>123</v>
      </c>
      <c r="X15" s="23"/>
      <c r="Y15" s="23"/>
      <c r="Z15" s="23" t="s">
        <v>123</v>
      </c>
      <c r="AA15" s="23" t="s">
        <v>123</v>
      </c>
      <c r="AB15" s="23" t="s">
        <v>123</v>
      </c>
      <c r="AC15" s="23" t="s">
        <v>123</v>
      </c>
      <c r="AD15" s="23" t="s">
        <v>123</v>
      </c>
      <c r="AE15" s="23"/>
      <c r="AF15" s="23"/>
      <c r="AG15" s="23" t="s">
        <v>123</v>
      </c>
      <c r="AH15" s="23" t="s">
        <v>123</v>
      </c>
      <c r="AI15" s="23" t="s">
        <v>123</v>
      </c>
      <c r="AJ15" s="23" t="s">
        <v>123</v>
      </c>
      <c r="AK15" s="23" t="s">
        <v>123</v>
      </c>
      <c r="AL15" s="22">
        <f t="shared" si="2"/>
        <v>23</v>
      </c>
    </row>
    <row r="16" spans="2:38" x14ac:dyDescent="0.3">
      <c r="B16" s="23">
        <v>9</v>
      </c>
      <c r="C16" s="35" t="s">
        <v>41</v>
      </c>
      <c r="D16" s="35" t="s">
        <v>42</v>
      </c>
      <c r="E16" s="35" t="s">
        <v>26</v>
      </c>
      <c r="F16" s="35" t="s">
        <v>439</v>
      </c>
      <c r="G16" s="23" t="s">
        <v>123</v>
      </c>
      <c r="H16" s="23" t="s">
        <v>123</v>
      </c>
      <c r="I16" s="23" t="s">
        <v>123</v>
      </c>
      <c r="J16" s="23"/>
      <c r="K16" s="23"/>
      <c r="L16" s="23" t="s">
        <v>123</v>
      </c>
      <c r="M16" s="23" t="s">
        <v>123</v>
      </c>
      <c r="N16" s="23" t="s">
        <v>123</v>
      </c>
      <c r="O16" s="23" t="s">
        <v>123</v>
      </c>
      <c r="P16" s="23" t="s">
        <v>123</v>
      </c>
      <c r="Q16" s="23"/>
      <c r="R16" s="23"/>
      <c r="S16" s="23" t="s">
        <v>123</v>
      </c>
      <c r="T16" s="23" t="s">
        <v>123</v>
      </c>
      <c r="U16" s="23" t="s">
        <v>123</v>
      </c>
      <c r="V16" s="23" t="s">
        <v>123</v>
      </c>
      <c r="W16" s="23" t="s">
        <v>123</v>
      </c>
      <c r="X16" s="23"/>
      <c r="Y16" s="23"/>
      <c r="Z16" s="23" t="s">
        <v>123</v>
      </c>
      <c r="AA16" s="23" t="s">
        <v>123</v>
      </c>
      <c r="AB16" s="23" t="s">
        <v>123</v>
      </c>
      <c r="AC16" s="23" t="s">
        <v>123</v>
      </c>
      <c r="AD16" s="23" t="s">
        <v>123</v>
      </c>
      <c r="AE16" s="23"/>
      <c r="AF16" s="23"/>
      <c r="AG16" s="23" t="s">
        <v>123</v>
      </c>
      <c r="AH16" s="23" t="s">
        <v>123</v>
      </c>
      <c r="AI16" s="23" t="s">
        <v>123</v>
      </c>
      <c r="AJ16" s="23" t="s">
        <v>123</v>
      </c>
      <c r="AK16" s="23" t="s">
        <v>123</v>
      </c>
      <c r="AL16" s="22">
        <f t="shared" si="2"/>
        <v>23</v>
      </c>
    </row>
    <row r="17" spans="2:38" x14ac:dyDescent="0.3">
      <c r="B17" s="23">
        <v>10</v>
      </c>
      <c r="C17" s="35" t="s">
        <v>44</v>
      </c>
      <c r="D17" s="35" t="s">
        <v>45</v>
      </c>
      <c r="E17" s="35" t="s">
        <v>26</v>
      </c>
      <c r="F17" s="35" t="s">
        <v>439</v>
      </c>
      <c r="G17" s="23" t="s">
        <v>123</v>
      </c>
      <c r="H17" s="23" t="s">
        <v>123</v>
      </c>
      <c r="I17" s="23" t="s">
        <v>123</v>
      </c>
      <c r="J17" s="23"/>
      <c r="K17" s="23"/>
      <c r="L17" s="23" t="s">
        <v>123</v>
      </c>
      <c r="M17" s="23" t="s">
        <v>123</v>
      </c>
      <c r="N17" s="23" t="s">
        <v>123</v>
      </c>
      <c r="O17" s="23" t="s">
        <v>123</v>
      </c>
      <c r="P17" s="23" t="s">
        <v>123</v>
      </c>
      <c r="Q17" s="23"/>
      <c r="R17" s="23"/>
      <c r="S17" s="23" t="s">
        <v>123</v>
      </c>
      <c r="T17" s="23" t="s">
        <v>123</v>
      </c>
      <c r="U17" s="23" t="s">
        <v>123</v>
      </c>
      <c r="V17" s="23" t="s">
        <v>123</v>
      </c>
      <c r="W17" s="23" t="s">
        <v>123</v>
      </c>
      <c r="X17" s="23"/>
      <c r="Y17" s="23"/>
      <c r="Z17" s="23" t="s">
        <v>123</v>
      </c>
      <c r="AA17" s="23" t="s">
        <v>123</v>
      </c>
      <c r="AB17" s="23" t="s">
        <v>123</v>
      </c>
      <c r="AC17" s="23" t="s">
        <v>123</v>
      </c>
      <c r="AD17" s="23" t="s">
        <v>123</v>
      </c>
      <c r="AE17" s="23"/>
      <c r="AF17" s="23"/>
      <c r="AG17" s="23" t="s">
        <v>123</v>
      </c>
      <c r="AH17" s="23" t="s">
        <v>123</v>
      </c>
      <c r="AI17" s="23" t="s">
        <v>123</v>
      </c>
      <c r="AJ17" s="23" t="s">
        <v>123</v>
      </c>
      <c r="AK17" s="23" t="s">
        <v>123</v>
      </c>
      <c r="AL17" s="22">
        <f t="shared" si="2"/>
        <v>23</v>
      </c>
    </row>
    <row r="18" spans="2:38" x14ac:dyDescent="0.3">
      <c r="B18" s="23">
        <v>11</v>
      </c>
      <c r="C18" s="35" t="s">
        <v>47</v>
      </c>
      <c r="D18" s="35" t="s">
        <v>48</v>
      </c>
      <c r="E18" s="35" t="s">
        <v>26</v>
      </c>
      <c r="F18" s="35" t="s">
        <v>439</v>
      </c>
      <c r="G18" s="23" t="s">
        <v>123</v>
      </c>
      <c r="H18" s="23" t="s">
        <v>123</v>
      </c>
      <c r="I18" s="23" t="s">
        <v>123</v>
      </c>
      <c r="J18" s="23"/>
      <c r="K18" s="23"/>
      <c r="L18" s="23" t="s">
        <v>123</v>
      </c>
      <c r="M18" s="23" t="s">
        <v>123</v>
      </c>
      <c r="N18" s="23" t="s">
        <v>123</v>
      </c>
      <c r="O18" s="23" t="s">
        <v>123</v>
      </c>
      <c r="P18" s="23" t="s">
        <v>123</v>
      </c>
      <c r="Q18" s="23"/>
      <c r="R18" s="23"/>
      <c r="S18" s="23" t="s">
        <v>123</v>
      </c>
      <c r="T18" s="23" t="s">
        <v>123</v>
      </c>
      <c r="U18" s="23" t="s">
        <v>123</v>
      </c>
      <c r="V18" s="23" t="s">
        <v>123</v>
      </c>
      <c r="W18" s="23" t="s">
        <v>123</v>
      </c>
      <c r="X18" s="23"/>
      <c r="Y18" s="23"/>
      <c r="Z18" s="23" t="s">
        <v>123</v>
      </c>
      <c r="AA18" s="23" t="s">
        <v>123</v>
      </c>
      <c r="AB18" s="23" t="s">
        <v>123</v>
      </c>
      <c r="AC18" s="23" t="s">
        <v>123</v>
      </c>
      <c r="AD18" s="23" t="s">
        <v>123</v>
      </c>
      <c r="AE18" s="23"/>
      <c r="AF18" s="23"/>
      <c r="AG18" s="23" t="s">
        <v>123</v>
      </c>
      <c r="AH18" s="23" t="s">
        <v>123</v>
      </c>
      <c r="AI18" s="23" t="s">
        <v>123</v>
      </c>
      <c r="AJ18" s="23" t="s">
        <v>123</v>
      </c>
      <c r="AK18" s="23" t="s">
        <v>123</v>
      </c>
      <c r="AL18" s="22">
        <f t="shared" si="2"/>
        <v>23</v>
      </c>
    </row>
    <row r="19" spans="2:38" x14ac:dyDescent="0.3">
      <c r="B19" s="23">
        <v>12</v>
      </c>
      <c r="C19" s="35" t="s">
        <v>49</v>
      </c>
      <c r="D19" s="35" t="s">
        <v>50</v>
      </c>
      <c r="E19" s="35" t="s">
        <v>26</v>
      </c>
      <c r="F19" s="35" t="s">
        <v>439</v>
      </c>
      <c r="G19" s="23" t="s">
        <v>123</v>
      </c>
      <c r="H19" s="23" t="s">
        <v>123</v>
      </c>
      <c r="I19" s="23" t="s">
        <v>123</v>
      </c>
      <c r="J19" s="23"/>
      <c r="K19" s="23"/>
      <c r="L19" s="23" t="s">
        <v>123</v>
      </c>
      <c r="M19" s="23" t="s">
        <v>123</v>
      </c>
      <c r="N19" s="23" t="s">
        <v>123</v>
      </c>
      <c r="O19" s="23" t="s">
        <v>123</v>
      </c>
      <c r="P19" s="23" t="s">
        <v>123</v>
      </c>
      <c r="Q19" s="23"/>
      <c r="R19" s="23"/>
      <c r="S19" s="23" t="s">
        <v>123</v>
      </c>
      <c r="T19" s="23" t="s">
        <v>123</v>
      </c>
      <c r="U19" s="23" t="s">
        <v>123</v>
      </c>
      <c r="V19" s="23" t="s">
        <v>123</v>
      </c>
      <c r="W19" s="23" t="s">
        <v>123</v>
      </c>
      <c r="X19" s="23"/>
      <c r="Y19" s="23"/>
      <c r="Z19" s="23" t="s">
        <v>123</v>
      </c>
      <c r="AA19" s="23" t="s">
        <v>123</v>
      </c>
      <c r="AB19" s="23" t="s">
        <v>123</v>
      </c>
      <c r="AC19" s="23" t="s">
        <v>123</v>
      </c>
      <c r="AD19" s="23" t="s">
        <v>123</v>
      </c>
      <c r="AE19" s="23"/>
      <c r="AF19" s="23"/>
      <c r="AG19" s="23" t="s">
        <v>123</v>
      </c>
      <c r="AH19" s="23" t="s">
        <v>123</v>
      </c>
      <c r="AI19" s="23" t="s">
        <v>123</v>
      </c>
      <c r="AJ19" s="23" t="s">
        <v>123</v>
      </c>
      <c r="AK19" s="23" t="s">
        <v>123</v>
      </c>
      <c r="AL19" s="22">
        <f t="shared" si="2"/>
        <v>23</v>
      </c>
    </row>
    <row r="20" spans="2:38" x14ac:dyDescent="0.3">
      <c r="B20" s="23">
        <v>13</v>
      </c>
      <c r="C20" s="35" t="s">
        <v>51</v>
      </c>
      <c r="D20" s="35" t="s">
        <v>52</v>
      </c>
      <c r="E20" s="35" t="s">
        <v>26</v>
      </c>
      <c r="F20" s="35" t="s">
        <v>439</v>
      </c>
      <c r="G20" s="23" t="s">
        <v>123</v>
      </c>
      <c r="H20" s="23" t="s">
        <v>123</v>
      </c>
      <c r="I20" s="23" t="s">
        <v>123</v>
      </c>
      <c r="J20" s="23"/>
      <c r="K20" s="23"/>
      <c r="L20" s="23" t="s">
        <v>123</v>
      </c>
      <c r="M20" s="23" t="s">
        <v>123</v>
      </c>
      <c r="N20" s="23" t="s">
        <v>123</v>
      </c>
      <c r="O20" s="23" t="s">
        <v>123</v>
      </c>
      <c r="P20" s="23" t="s">
        <v>123</v>
      </c>
      <c r="Q20" s="23"/>
      <c r="R20" s="23"/>
      <c r="S20" s="23" t="s">
        <v>123</v>
      </c>
      <c r="T20" s="23" t="s">
        <v>123</v>
      </c>
      <c r="U20" s="23" t="s">
        <v>123</v>
      </c>
      <c r="V20" s="23" t="s">
        <v>123</v>
      </c>
      <c r="W20" s="23" t="s">
        <v>123</v>
      </c>
      <c r="X20" s="23"/>
      <c r="Y20" s="23"/>
      <c r="Z20" s="23" t="s">
        <v>123</v>
      </c>
      <c r="AA20" s="23" t="s">
        <v>123</v>
      </c>
      <c r="AB20" s="23" t="s">
        <v>123</v>
      </c>
      <c r="AC20" s="23" t="s">
        <v>123</v>
      </c>
      <c r="AD20" s="23" t="s">
        <v>123</v>
      </c>
      <c r="AE20" s="23"/>
      <c r="AF20" s="23"/>
      <c r="AG20" s="23" t="s">
        <v>123</v>
      </c>
      <c r="AH20" s="23" t="s">
        <v>123</v>
      </c>
      <c r="AI20" s="23" t="s">
        <v>123</v>
      </c>
      <c r="AJ20" s="23" t="s">
        <v>123</v>
      </c>
      <c r="AK20" s="23" t="s">
        <v>123</v>
      </c>
      <c r="AL20" s="22">
        <f t="shared" si="2"/>
        <v>23</v>
      </c>
    </row>
    <row r="21" spans="2:38" x14ac:dyDescent="0.3">
      <c r="B21" s="23">
        <v>14</v>
      </c>
      <c r="C21" s="35" t="s">
        <v>53</v>
      </c>
      <c r="D21" s="35" t="s">
        <v>54</v>
      </c>
      <c r="E21" s="35" t="s">
        <v>26</v>
      </c>
      <c r="F21" s="35" t="s">
        <v>439</v>
      </c>
      <c r="G21" s="23" t="s">
        <v>123</v>
      </c>
      <c r="H21" s="23" t="s">
        <v>123</v>
      </c>
      <c r="I21" s="23" t="s">
        <v>123</v>
      </c>
      <c r="J21" s="23"/>
      <c r="K21" s="23"/>
      <c r="L21" s="23" t="s">
        <v>123</v>
      </c>
      <c r="M21" s="23" t="s">
        <v>123</v>
      </c>
      <c r="N21" s="23" t="s">
        <v>123</v>
      </c>
      <c r="O21" s="23" t="s">
        <v>123</v>
      </c>
      <c r="P21" s="23" t="s">
        <v>123</v>
      </c>
      <c r="Q21" s="23"/>
      <c r="R21" s="23"/>
      <c r="S21" s="23" t="s">
        <v>123</v>
      </c>
      <c r="T21" s="23" t="s">
        <v>123</v>
      </c>
      <c r="U21" s="23" t="s">
        <v>123</v>
      </c>
      <c r="V21" s="23" t="s">
        <v>123</v>
      </c>
      <c r="W21" s="23" t="s">
        <v>123</v>
      </c>
      <c r="X21" s="23"/>
      <c r="Y21" s="23"/>
      <c r="Z21" s="23" t="s">
        <v>123</v>
      </c>
      <c r="AA21" s="23" t="s">
        <v>123</v>
      </c>
      <c r="AB21" s="23" t="s">
        <v>123</v>
      </c>
      <c r="AC21" s="23" t="s">
        <v>123</v>
      </c>
      <c r="AD21" s="23" t="s">
        <v>123</v>
      </c>
      <c r="AE21" s="23"/>
      <c r="AF21" s="23"/>
      <c r="AG21" s="23" t="s">
        <v>123</v>
      </c>
      <c r="AH21" s="23" t="s">
        <v>123</v>
      </c>
      <c r="AI21" s="23" t="s">
        <v>123</v>
      </c>
      <c r="AJ21" s="23" t="s">
        <v>123</v>
      </c>
      <c r="AK21" s="23" t="s">
        <v>123</v>
      </c>
      <c r="AL21" s="22">
        <f t="shared" si="2"/>
        <v>23</v>
      </c>
    </row>
    <row r="22" spans="2:38" x14ac:dyDescent="0.3">
      <c r="B22" s="23">
        <v>15</v>
      </c>
      <c r="C22" s="35" t="s">
        <v>55</v>
      </c>
      <c r="D22" s="35" t="s">
        <v>56</v>
      </c>
      <c r="E22" s="35" t="s">
        <v>26</v>
      </c>
      <c r="F22" s="35" t="s">
        <v>439</v>
      </c>
      <c r="G22" s="23" t="s">
        <v>123</v>
      </c>
      <c r="H22" s="23" t="s">
        <v>123</v>
      </c>
      <c r="I22" s="23" t="s">
        <v>123</v>
      </c>
      <c r="J22" s="23"/>
      <c r="K22" s="23"/>
      <c r="L22" s="23" t="s">
        <v>123</v>
      </c>
      <c r="M22" s="23" t="s">
        <v>123</v>
      </c>
      <c r="N22" s="23" t="s">
        <v>123</v>
      </c>
      <c r="O22" s="23" t="s">
        <v>123</v>
      </c>
      <c r="P22" s="23" t="s">
        <v>123</v>
      </c>
      <c r="Q22" s="23"/>
      <c r="R22" s="23"/>
      <c r="S22" s="23" t="s">
        <v>123</v>
      </c>
      <c r="T22" s="23" t="s">
        <v>123</v>
      </c>
      <c r="U22" s="23" t="s">
        <v>123</v>
      </c>
      <c r="V22" s="23" t="s">
        <v>123</v>
      </c>
      <c r="W22" s="23" t="s">
        <v>123</v>
      </c>
      <c r="X22" s="23"/>
      <c r="Y22" s="23"/>
      <c r="Z22" s="23" t="s">
        <v>123</v>
      </c>
      <c r="AA22" s="23" t="s">
        <v>123</v>
      </c>
      <c r="AB22" s="23" t="s">
        <v>123</v>
      </c>
      <c r="AC22" s="23" t="s">
        <v>123</v>
      </c>
      <c r="AD22" s="23" t="s">
        <v>123</v>
      </c>
      <c r="AE22" s="23"/>
      <c r="AF22" s="23"/>
      <c r="AG22" s="23" t="s">
        <v>123</v>
      </c>
      <c r="AH22" s="23" t="s">
        <v>123</v>
      </c>
      <c r="AI22" s="23" t="s">
        <v>123</v>
      </c>
      <c r="AJ22" s="23" t="s">
        <v>123</v>
      </c>
      <c r="AK22" s="23" t="s">
        <v>123</v>
      </c>
      <c r="AL22" s="22">
        <f t="shared" si="2"/>
        <v>23</v>
      </c>
    </row>
    <row r="25" spans="2:38" x14ac:dyDescent="0.3">
      <c r="W25" s="253">
        <f>IF(CHE_DO_NGHI=1,WORKDAY.INTL(EOMONTH(DATE(P5,L5,1),0)+1,-1,1,INDEX(DATA_NGHI_LE[],0,1)),WORKDAY.INTL(EOMONTH(DATE(P5,L5,1),0)+1,-1,11,INDEX(DATA_NGHI_LE[],0,1)))</f>
        <v>45016</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9" priority="1">
      <formula>IF(AND(CHE_DO_NGHI=1,OR(G$7="Chủ nhật",G$7="Thứ Bảy")),TRUE,IF(AND(CHE_DO_NGHI=2,G$7="Chủ nhật"),TRUE,FALSE))</formula>
    </cfRule>
  </conditionalFormatting>
  <pageMargins left="0.7" right="0.7" top="0.75" bottom="0.75" header="0.3" footer="0.3"/>
  <pageSetup paperSize="9" scale="72" fitToHeight="0" orientation="landscape" cellComments="atEnd"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E8734-EF24-4F86-B6FE-19A3261D999F}">
  <sheetPr codeName="Sheet148">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6" width="3.33203125" style="5" customWidth="1"/>
    <col min="37" max="37" width="3.33203125" style="5" hidden="1"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4</v>
      </c>
      <c r="M5" s="252"/>
      <c r="N5" s="251" t="s">
        <v>93</v>
      </c>
      <c r="O5" s="251"/>
      <c r="P5" s="250">
        <f>Nam_Bang_Luong</f>
        <v>2023</v>
      </c>
      <c r="Q5" s="250"/>
    </row>
    <row r="6" spans="2:38" x14ac:dyDescent="0.3">
      <c r="B6" s="220" t="s">
        <v>5</v>
      </c>
      <c r="C6" s="220" t="s">
        <v>91</v>
      </c>
      <c r="D6" s="220" t="s">
        <v>6</v>
      </c>
      <c r="E6" s="220" t="s">
        <v>8</v>
      </c>
      <c r="F6" s="220" t="s">
        <v>7</v>
      </c>
      <c r="G6" s="20">
        <f>DATE(P5,L5,1)</f>
        <v>45017</v>
      </c>
      <c r="H6" s="20">
        <f>G6+1</f>
        <v>45018</v>
      </c>
      <c r="I6" s="20">
        <f t="shared" ref="I6:AK6" si="0">H6+1</f>
        <v>45019</v>
      </c>
      <c r="J6" s="20">
        <f t="shared" si="0"/>
        <v>45020</v>
      </c>
      <c r="K6" s="20">
        <f t="shared" si="0"/>
        <v>45021</v>
      </c>
      <c r="L6" s="20">
        <f t="shared" si="0"/>
        <v>45022</v>
      </c>
      <c r="M6" s="20">
        <f t="shared" si="0"/>
        <v>45023</v>
      </c>
      <c r="N6" s="20">
        <f t="shared" si="0"/>
        <v>45024</v>
      </c>
      <c r="O6" s="20">
        <f t="shared" si="0"/>
        <v>45025</v>
      </c>
      <c r="P6" s="20">
        <f t="shared" si="0"/>
        <v>45026</v>
      </c>
      <c r="Q6" s="20">
        <f t="shared" si="0"/>
        <v>45027</v>
      </c>
      <c r="R6" s="20">
        <f t="shared" si="0"/>
        <v>45028</v>
      </c>
      <c r="S6" s="20">
        <f t="shared" si="0"/>
        <v>45029</v>
      </c>
      <c r="T6" s="20">
        <f t="shared" si="0"/>
        <v>45030</v>
      </c>
      <c r="U6" s="20">
        <f t="shared" si="0"/>
        <v>45031</v>
      </c>
      <c r="V6" s="20">
        <f t="shared" si="0"/>
        <v>45032</v>
      </c>
      <c r="W6" s="20">
        <f t="shared" si="0"/>
        <v>45033</v>
      </c>
      <c r="X6" s="20">
        <f t="shared" si="0"/>
        <v>45034</v>
      </c>
      <c r="Y6" s="20">
        <f t="shared" si="0"/>
        <v>45035</v>
      </c>
      <c r="Z6" s="20">
        <f t="shared" si="0"/>
        <v>45036</v>
      </c>
      <c r="AA6" s="20">
        <f t="shared" si="0"/>
        <v>45037</v>
      </c>
      <c r="AB6" s="20">
        <f t="shared" si="0"/>
        <v>45038</v>
      </c>
      <c r="AC6" s="20">
        <f t="shared" si="0"/>
        <v>45039</v>
      </c>
      <c r="AD6" s="20">
        <f t="shared" si="0"/>
        <v>45040</v>
      </c>
      <c r="AE6" s="20">
        <f t="shared" si="0"/>
        <v>45041</v>
      </c>
      <c r="AF6" s="20">
        <f t="shared" si="0"/>
        <v>45042</v>
      </c>
      <c r="AG6" s="20">
        <f t="shared" si="0"/>
        <v>45043</v>
      </c>
      <c r="AH6" s="20">
        <f t="shared" si="0"/>
        <v>45044</v>
      </c>
      <c r="AI6" s="20">
        <f t="shared" si="0"/>
        <v>45045</v>
      </c>
      <c r="AJ6" s="20">
        <f t="shared" si="0"/>
        <v>45046</v>
      </c>
      <c r="AK6" s="20">
        <f t="shared" si="0"/>
        <v>45047</v>
      </c>
      <c r="AL6" s="217" t="s">
        <v>107</v>
      </c>
    </row>
    <row r="7" spans="2:38" ht="46.2" x14ac:dyDescent="0.3">
      <c r="B7" s="220"/>
      <c r="C7" s="220"/>
      <c r="D7" s="220"/>
      <c r="E7" s="220"/>
      <c r="F7" s="220"/>
      <c r="G7" s="21" t="str">
        <f>TEXT(G6,"[$-042A]dddd")</f>
        <v>Thứ Bảy</v>
      </c>
      <c r="H7" s="21" t="str">
        <f t="shared" ref="H7:AK7" si="1">TEXT(H6,"[$-042A]dddd")</f>
        <v>Chủ Nhật</v>
      </c>
      <c r="I7" s="21" t="str">
        <f t="shared" si="1"/>
        <v>Thứ Hai</v>
      </c>
      <c r="J7" s="21" t="str">
        <f t="shared" si="1"/>
        <v>Thứ Ba</v>
      </c>
      <c r="K7" s="21" t="str">
        <f t="shared" si="1"/>
        <v>Thứ Tư</v>
      </c>
      <c r="L7" s="21" t="str">
        <f t="shared" si="1"/>
        <v>Thứ Năm</v>
      </c>
      <c r="M7" s="21" t="str">
        <f t="shared" si="1"/>
        <v>Thứ Sáu</v>
      </c>
      <c r="N7" s="21" t="str">
        <f t="shared" si="1"/>
        <v>Thứ Bảy</v>
      </c>
      <c r="O7" s="21" t="str">
        <f t="shared" si="1"/>
        <v>Chủ Nhật</v>
      </c>
      <c r="P7" s="21" t="str">
        <f t="shared" si="1"/>
        <v>Thứ Hai</v>
      </c>
      <c r="Q7" s="21" t="str">
        <f t="shared" si="1"/>
        <v>Thứ Ba</v>
      </c>
      <c r="R7" s="21" t="str">
        <f t="shared" si="1"/>
        <v>Thứ Tư</v>
      </c>
      <c r="S7" s="21" t="str">
        <f t="shared" si="1"/>
        <v>Thứ Năm</v>
      </c>
      <c r="T7" s="21" t="str">
        <f t="shared" si="1"/>
        <v>Thứ Sáu</v>
      </c>
      <c r="U7" s="21" t="str">
        <f t="shared" si="1"/>
        <v>Thứ Bảy</v>
      </c>
      <c r="V7" s="21" t="str">
        <f t="shared" si="1"/>
        <v>Chủ Nhật</v>
      </c>
      <c r="W7" s="21" t="str">
        <f t="shared" si="1"/>
        <v>Thứ Hai</v>
      </c>
      <c r="X7" s="21" t="str">
        <f t="shared" si="1"/>
        <v>Thứ Ba</v>
      </c>
      <c r="Y7" s="21" t="str">
        <f t="shared" si="1"/>
        <v>Thứ Tư</v>
      </c>
      <c r="Z7" s="21" t="str">
        <f t="shared" si="1"/>
        <v>Thứ Năm</v>
      </c>
      <c r="AA7" s="21" t="str">
        <f t="shared" si="1"/>
        <v>Thứ Sáu</v>
      </c>
      <c r="AB7" s="21" t="str">
        <f t="shared" si="1"/>
        <v>Thứ Bảy</v>
      </c>
      <c r="AC7" s="21" t="str">
        <f t="shared" si="1"/>
        <v>Chủ Nhật</v>
      </c>
      <c r="AD7" s="21" t="str">
        <f t="shared" si="1"/>
        <v>Thứ Hai</v>
      </c>
      <c r="AE7" s="21" t="str">
        <f t="shared" si="1"/>
        <v>Thứ Ba</v>
      </c>
      <c r="AF7" s="21" t="str">
        <f t="shared" si="1"/>
        <v>Thứ Tư</v>
      </c>
      <c r="AG7" s="21" t="str">
        <f t="shared" si="1"/>
        <v>Thứ Năm</v>
      </c>
      <c r="AH7" s="21" t="str">
        <f t="shared" si="1"/>
        <v>Thứ Sáu</v>
      </c>
      <c r="AI7" s="21" t="str">
        <f t="shared" si="1"/>
        <v>Thứ Bảy</v>
      </c>
      <c r="AJ7" s="21" t="str">
        <f t="shared" si="1"/>
        <v>Chủ Nhật</v>
      </c>
      <c r="AK7" s="21" t="str">
        <f t="shared" si="1"/>
        <v>Thứ Hai</v>
      </c>
      <c r="AL7" s="217"/>
    </row>
    <row r="8" spans="2:38" x14ac:dyDescent="0.3">
      <c r="B8" s="23">
        <v>1</v>
      </c>
      <c r="C8" s="35" t="s">
        <v>9</v>
      </c>
      <c r="D8" s="35" t="s">
        <v>10</v>
      </c>
      <c r="E8" s="35" t="s">
        <v>11</v>
      </c>
      <c r="F8" s="35" t="s">
        <v>438</v>
      </c>
      <c r="G8" s="23"/>
      <c r="H8" s="23"/>
      <c r="I8" s="23" t="s">
        <v>123</v>
      </c>
      <c r="J8" s="23" t="s">
        <v>123</v>
      </c>
      <c r="K8" s="23" t="s">
        <v>123</v>
      </c>
      <c r="L8" s="24" t="s">
        <v>123</v>
      </c>
      <c r="M8" s="24" t="s">
        <v>123</v>
      </c>
      <c r="N8" s="24"/>
      <c r="O8" s="24"/>
      <c r="P8" s="24" t="s">
        <v>123</v>
      </c>
      <c r="Q8" s="24" t="s">
        <v>123</v>
      </c>
      <c r="R8" s="24" t="s">
        <v>123</v>
      </c>
      <c r="S8" s="24" t="s">
        <v>123</v>
      </c>
      <c r="T8" s="23" t="s">
        <v>123</v>
      </c>
      <c r="U8" s="23"/>
      <c r="V8" s="23"/>
      <c r="W8" s="23" t="s">
        <v>123</v>
      </c>
      <c r="X8" s="23" t="s">
        <v>123</v>
      </c>
      <c r="Y8" s="23" t="s">
        <v>123</v>
      </c>
      <c r="Z8" s="23" t="s">
        <v>123</v>
      </c>
      <c r="AA8" s="23" t="s">
        <v>123</v>
      </c>
      <c r="AB8" s="23"/>
      <c r="AC8" s="23"/>
      <c r="AD8" s="23" t="s">
        <v>123</v>
      </c>
      <c r="AE8" s="23" t="s">
        <v>123</v>
      </c>
      <c r="AF8" s="23" t="s">
        <v>123</v>
      </c>
      <c r="AG8" s="23" t="s">
        <v>123</v>
      </c>
      <c r="AH8" s="23" t="s">
        <v>123</v>
      </c>
      <c r="AI8" s="23"/>
      <c r="AJ8" s="23"/>
      <c r="AK8" s="23"/>
      <c r="AL8" s="22">
        <f t="shared" ref="AL8:AL22" si="2">COUNTIF(G8:AK8,"X")+0.5*COUNTIF(G8:AK8,"X/2")+COUNTIF(G8:AK8,"NL")</f>
        <v>20</v>
      </c>
    </row>
    <row r="9" spans="2:38" x14ac:dyDescent="0.3">
      <c r="B9" s="23">
        <v>2</v>
      </c>
      <c r="C9" s="35" t="s">
        <v>14</v>
      </c>
      <c r="D9" s="35" t="s">
        <v>15</v>
      </c>
      <c r="E9" s="35" t="s">
        <v>16</v>
      </c>
      <c r="F9" s="35" t="s">
        <v>438</v>
      </c>
      <c r="G9" s="23"/>
      <c r="H9" s="23"/>
      <c r="I9" s="23" t="s">
        <v>123</v>
      </c>
      <c r="J9" s="23" t="s">
        <v>123</v>
      </c>
      <c r="K9" s="23" t="s">
        <v>123</v>
      </c>
      <c r="L9" s="24" t="s">
        <v>123</v>
      </c>
      <c r="M9" s="24" t="s">
        <v>123</v>
      </c>
      <c r="N9" s="24"/>
      <c r="O9" s="24"/>
      <c r="P9" s="24" t="s">
        <v>123</v>
      </c>
      <c r="Q9" s="24" t="s">
        <v>123</v>
      </c>
      <c r="R9" s="24" t="s">
        <v>123</v>
      </c>
      <c r="S9" s="24" t="s">
        <v>123</v>
      </c>
      <c r="T9" s="23" t="s">
        <v>123</v>
      </c>
      <c r="U9" s="23"/>
      <c r="V9" s="23"/>
      <c r="W9" s="23" t="s">
        <v>123</v>
      </c>
      <c r="X9" s="23" t="s">
        <v>123</v>
      </c>
      <c r="Y9" s="23" t="s">
        <v>123</v>
      </c>
      <c r="Z9" s="23" t="s">
        <v>123</v>
      </c>
      <c r="AA9" s="23" t="s">
        <v>123</v>
      </c>
      <c r="AB9" s="23"/>
      <c r="AC9" s="23"/>
      <c r="AD9" s="23" t="s">
        <v>123</v>
      </c>
      <c r="AE9" s="23" t="s">
        <v>123</v>
      </c>
      <c r="AF9" s="23" t="s">
        <v>123</v>
      </c>
      <c r="AG9" s="23" t="s">
        <v>123</v>
      </c>
      <c r="AH9" s="23" t="s">
        <v>123</v>
      </c>
      <c r="AI9" s="23"/>
      <c r="AJ9" s="23"/>
      <c r="AK9" s="23"/>
      <c r="AL9" s="22">
        <f t="shared" si="2"/>
        <v>20</v>
      </c>
    </row>
    <row r="10" spans="2:38" x14ac:dyDescent="0.3">
      <c r="B10" s="23">
        <v>3</v>
      </c>
      <c r="C10" s="35" t="s">
        <v>19</v>
      </c>
      <c r="D10" s="35" t="s">
        <v>20</v>
      </c>
      <c r="E10" s="35" t="s">
        <v>21</v>
      </c>
      <c r="F10" s="35" t="s">
        <v>438</v>
      </c>
      <c r="G10" s="23"/>
      <c r="H10" s="23"/>
      <c r="I10" s="23" t="s">
        <v>123</v>
      </c>
      <c r="J10" s="23" t="s">
        <v>123</v>
      </c>
      <c r="K10" s="23" t="s">
        <v>123</v>
      </c>
      <c r="L10" s="24" t="s">
        <v>123</v>
      </c>
      <c r="M10" s="24" t="s">
        <v>123</v>
      </c>
      <c r="N10" s="24"/>
      <c r="O10" s="24"/>
      <c r="P10" s="24" t="s">
        <v>123</v>
      </c>
      <c r="Q10" s="24" t="s">
        <v>123</v>
      </c>
      <c r="R10" s="24" t="s">
        <v>123</v>
      </c>
      <c r="S10" s="24" t="s">
        <v>123</v>
      </c>
      <c r="T10" s="23" t="s">
        <v>123</v>
      </c>
      <c r="U10" s="23"/>
      <c r="V10" s="23"/>
      <c r="W10" s="23" t="s">
        <v>123</v>
      </c>
      <c r="X10" s="23" t="s">
        <v>123</v>
      </c>
      <c r="Y10" s="23" t="s">
        <v>123</v>
      </c>
      <c r="Z10" s="23" t="s">
        <v>123</v>
      </c>
      <c r="AA10" s="23" t="s">
        <v>123</v>
      </c>
      <c r="AB10" s="23"/>
      <c r="AC10" s="23"/>
      <c r="AD10" s="23" t="s">
        <v>123</v>
      </c>
      <c r="AE10" s="23" t="s">
        <v>123</v>
      </c>
      <c r="AF10" s="23" t="s">
        <v>123</v>
      </c>
      <c r="AG10" s="23" t="s">
        <v>123</v>
      </c>
      <c r="AH10" s="23" t="s">
        <v>123</v>
      </c>
      <c r="AI10" s="23"/>
      <c r="AJ10" s="23"/>
      <c r="AK10" s="23"/>
      <c r="AL10" s="22">
        <f t="shared" si="2"/>
        <v>20</v>
      </c>
    </row>
    <row r="11" spans="2:38" x14ac:dyDescent="0.3">
      <c r="B11" s="23">
        <v>4</v>
      </c>
      <c r="C11" s="35" t="s">
        <v>24</v>
      </c>
      <c r="D11" s="35" t="s">
        <v>25</v>
      </c>
      <c r="E11" s="35" t="s">
        <v>26</v>
      </c>
      <c r="F11" s="35" t="s">
        <v>439</v>
      </c>
      <c r="G11" s="23"/>
      <c r="H11" s="23"/>
      <c r="I11" s="23" t="s">
        <v>123</v>
      </c>
      <c r="J11" s="23" t="s">
        <v>123</v>
      </c>
      <c r="K11" s="23" t="s">
        <v>123</v>
      </c>
      <c r="L11" s="24" t="s">
        <v>123</v>
      </c>
      <c r="M11" s="24" t="s">
        <v>123</v>
      </c>
      <c r="N11" s="24"/>
      <c r="O11" s="24"/>
      <c r="P11" s="24" t="s">
        <v>123</v>
      </c>
      <c r="Q11" s="24" t="s">
        <v>123</v>
      </c>
      <c r="R11" s="24" t="s">
        <v>123</v>
      </c>
      <c r="S11" s="24" t="s">
        <v>123</v>
      </c>
      <c r="T11" s="23" t="s">
        <v>123</v>
      </c>
      <c r="U11" s="23"/>
      <c r="V11" s="23"/>
      <c r="W11" s="23" t="s">
        <v>123</v>
      </c>
      <c r="X11" s="23" t="s">
        <v>123</v>
      </c>
      <c r="Y11" s="23" t="s">
        <v>123</v>
      </c>
      <c r="Z11" s="23" t="s">
        <v>123</v>
      </c>
      <c r="AA11" s="23" t="s">
        <v>123</v>
      </c>
      <c r="AB11" s="23"/>
      <c r="AC11" s="23"/>
      <c r="AD11" s="23" t="s">
        <v>123</v>
      </c>
      <c r="AE11" s="23" t="s">
        <v>123</v>
      </c>
      <c r="AF11" s="23" t="s">
        <v>123</v>
      </c>
      <c r="AG11" s="23" t="s">
        <v>123</v>
      </c>
      <c r="AH11" s="23" t="s">
        <v>123</v>
      </c>
      <c r="AI11" s="23"/>
      <c r="AJ11" s="23"/>
      <c r="AK11" s="23"/>
      <c r="AL11" s="22">
        <f t="shared" si="2"/>
        <v>20</v>
      </c>
    </row>
    <row r="12" spans="2:38" x14ac:dyDescent="0.3">
      <c r="B12" s="23">
        <v>5</v>
      </c>
      <c r="C12" s="35" t="s">
        <v>29</v>
      </c>
      <c r="D12" s="35" t="s">
        <v>30</v>
      </c>
      <c r="E12" s="35" t="s">
        <v>26</v>
      </c>
      <c r="F12" s="35" t="s">
        <v>439</v>
      </c>
      <c r="G12" s="23"/>
      <c r="H12" s="23"/>
      <c r="I12" s="23" t="s">
        <v>123</v>
      </c>
      <c r="J12" s="23" t="s">
        <v>123</v>
      </c>
      <c r="K12" s="23" t="s">
        <v>123</v>
      </c>
      <c r="L12" s="23" t="s">
        <v>123</v>
      </c>
      <c r="M12" s="23" t="s">
        <v>123</v>
      </c>
      <c r="N12" s="23"/>
      <c r="O12" s="23"/>
      <c r="P12" s="23" t="s">
        <v>123</v>
      </c>
      <c r="Q12" s="23" t="s">
        <v>123</v>
      </c>
      <c r="R12" s="23" t="s">
        <v>123</v>
      </c>
      <c r="S12" s="23" t="s">
        <v>123</v>
      </c>
      <c r="T12" s="23" t="s">
        <v>123</v>
      </c>
      <c r="U12" s="23"/>
      <c r="V12" s="23"/>
      <c r="W12" s="23" t="s">
        <v>123</v>
      </c>
      <c r="X12" s="23" t="s">
        <v>123</v>
      </c>
      <c r="Y12" s="23" t="s">
        <v>123</v>
      </c>
      <c r="Z12" s="23" t="s">
        <v>123</v>
      </c>
      <c r="AA12" s="23" t="s">
        <v>123</v>
      </c>
      <c r="AB12" s="23"/>
      <c r="AC12" s="23"/>
      <c r="AD12" s="23" t="s">
        <v>123</v>
      </c>
      <c r="AE12" s="23" t="s">
        <v>123</v>
      </c>
      <c r="AF12" s="23" t="s">
        <v>123</v>
      </c>
      <c r="AG12" s="23" t="s">
        <v>123</v>
      </c>
      <c r="AH12" s="23" t="s">
        <v>123</v>
      </c>
      <c r="AI12" s="23"/>
      <c r="AJ12" s="23"/>
      <c r="AK12" s="23"/>
      <c r="AL12" s="22">
        <f t="shared" si="2"/>
        <v>20</v>
      </c>
    </row>
    <row r="13" spans="2:38" x14ac:dyDescent="0.3">
      <c r="B13" s="23">
        <v>6</v>
      </c>
      <c r="C13" s="35" t="s">
        <v>32</v>
      </c>
      <c r="D13" s="35" t="s">
        <v>33</v>
      </c>
      <c r="E13" s="35" t="s">
        <v>26</v>
      </c>
      <c r="F13" s="35" t="s">
        <v>439</v>
      </c>
      <c r="G13" s="23"/>
      <c r="H13" s="23"/>
      <c r="I13" s="23" t="s">
        <v>123</v>
      </c>
      <c r="J13" s="23" t="s">
        <v>123</v>
      </c>
      <c r="K13" s="23" t="s">
        <v>123</v>
      </c>
      <c r="L13" s="23" t="s">
        <v>123</v>
      </c>
      <c r="M13" s="23" t="s">
        <v>123</v>
      </c>
      <c r="N13" s="23"/>
      <c r="O13" s="23"/>
      <c r="P13" s="23" t="s">
        <v>123</v>
      </c>
      <c r="Q13" s="23" t="s">
        <v>123</v>
      </c>
      <c r="R13" s="23" t="s">
        <v>123</v>
      </c>
      <c r="S13" s="23" t="s">
        <v>123</v>
      </c>
      <c r="T13" s="23" t="s">
        <v>123</v>
      </c>
      <c r="U13" s="23"/>
      <c r="V13" s="23"/>
      <c r="W13" s="23" t="s">
        <v>123</v>
      </c>
      <c r="X13" s="23" t="s">
        <v>123</v>
      </c>
      <c r="Y13" s="23" t="s">
        <v>123</v>
      </c>
      <c r="Z13" s="23" t="s">
        <v>123</v>
      </c>
      <c r="AA13" s="23" t="s">
        <v>123</v>
      </c>
      <c r="AB13" s="23"/>
      <c r="AC13" s="23"/>
      <c r="AD13" s="23" t="s">
        <v>123</v>
      </c>
      <c r="AE13" s="23" t="s">
        <v>123</v>
      </c>
      <c r="AF13" s="23" t="s">
        <v>123</v>
      </c>
      <c r="AG13" s="23" t="s">
        <v>123</v>
      </c>
      <c r="AH13" s="23" t="s">
        <v>123</v>
      </c>
      <c r="AI13" s="23"/>
      <c r="AJ13" s="23"/>
      <c r="AK13" s="23"/>
      <c r="AL13" s="22">
        <f t="shared" si="2"/>
        <v>20</v>
      </c>
    </row>
    <row r="14" spans="2:38" x14ac:dyDescent="0.3">
      <c r="B14" s="23">
        <v>7</v>
      </c>
      <c r="C14" s="35" t="s">
        <v>35</v>
      </c>
      <c r="D14" s="35" t="s">
        <v>36</v>
      </c>
      <c r="E14" s="35" t="s">
        <v>26</v>
      </c>
      <c r="F14" s="35" t="s">
        <v>439</v>
      </c>
      <c r="G14" s="23"/>
      <c r="H14" s="23"/>
      <c r="I14" s="23" t="s">
        <v>123</v>
      </c>
      <c r="J14" s="23" t="s">
        <v>123</v>
      </c>
      <c r="K14" s="23" t="s">
        <v>123</v>
      </c>
      <c r="L14" s="23" t="s">
        <v>123</v>
      </c>
      <c r="M14" s="23" t="s">
        <v>123</v>
      </c>
      <c r="N14" s="23"/>
      <c r="O14" s="23"/>
      <c r="P14" s="23" t="s">
        <v>123</v>
      </c>
      <c r="Q14" s="23" t="s">
        <v>123</v>
      </c>
      <c r="R14" s="23" t="s">
        <v>123</v>
      </c>
      <c r="S14" s="23" t="s">
        <v>123</v>
      </c>
      <c r="T14" s="23" t="s">
        <v>123</v>
      </c>
      <c r="U14" s="23"/>
      <c r="V14" s="23"/>
      <c r="W14" s="23" t="s">
        <v>123</v>
      </c>
      <c r="X14" s="23" t="s">
        <v>123</v>
      </c>
      <c r="Y14" s="23" t="s">
        <v>123</v>
      </c>
      <c r="Z14" s="23" t="s">
        <v>123</v>
      </c>
      <c r="AA14" s="23" t="s">
        <v>123</v>
      </c>
      <c r="AB14" s="23"/>
      <c r="AC14" s="23"/>
      <c r="AD14" s="23" t="s">
        <v>123</v>
      </c>
      <c r="AE14" s="23" t="s">
        <v>123</v>
      </c>
      <c r="AF14" s="23" t="s">
        <v>123</v>
      </c>
      <c r="AG14" s="23" t="s">
        <v>123</v>
      </c>
      <c r="AH14" s="23" t="s">
        <v>123</v>
      </c>
      <c r="AI14" s="23"/>
      <c r="AJ14" s="23"/>
      <c r="AK14" s="23"/>
      <c r="AL14" s="22">
        <f t="shared" si="2"/>
        <v>20</v>
      </c>
    </row>
    <row r="15" spans="2:38" x14ac:dyDescent="0.3">
      <c r="B15" s="23">
        <v>8</v>
      </c>
      <c r="C15" s="35" t="s">
        <v>38</v>
      </c>
      <c r="D15" s="35" t="s">
        <v>39</v>
      </c>
      <c r="E15" s="35" t="s">
        <v>26</v>
      </c>
      <c r="F15" s="35" t="s">
        <v>439</v>
      </c>
      <c r="G15" s="23"/>
      <c r="H15" s="23"/>
      <c r="I15" s="23" t="s">
        <v>123</v>
      </c>
      <c r="J15" s="23" t="s">
        <v>123</v>
      </c>
      <c r="K15" s="23" t="s">
        <v>123</v>
      </c>
      <c r="L15" s="23" t="s">
        <v>123</v>
      </c>
      <c r="M15" s="23" t="s">
        <v>123</v>
      </c>
      <c r="N15" s="23"/>
      <c r="O15" s="23"/>
      <c r="P15" s="23" t="s">
        <v>123</v>
      </c>
      <c r="Q15" s="23" t="s">
        <v>123</v>
      </c>
      <c r="R15" s="23" t="s">
        <v>123</v>
      </c>
      <c r="S15" s="23" t="s">
        <v>123</v>
      </c>
      <c r="T15" s="23" t="s">
        <v>123</v>
      </c>
      <c r="U15" s="23"/>
      <c r="V15" s="23"/>
      <c r="W15" s="23" t="s">
        <v>123</v>
      </c>
      <c r="X15" s="23" t="s">
        <v>123</v>
      </c>
      <c r="Y15" s="23" t="s">
        <v>123</v>
      </c>
      <c r="Z15" s="23" t="s">
        <v>123</v>
      </c>
      <c r="AA15" s="23" t="s">
        <v>123</v>
      </c>
      <c r="AB15" s="23"/>
      <c r="AC15" s="23"/>
      <c r="AD15" s="23" t="s">
        <v>123</v>
      </c>
      <c r="AE15" s="23" t="s">
        <v>123</v>
      </c>
      <c r="AF15" s="23" t="s">
        <v>123</v>
      </c>
      <c r="AG15" s="23" t="s">
        <v>123</v>
      </c>
      <c r="AH15" s="23" t="s">
        <v>123</v>
      </c>
      <c r="AI15" s="23"/>
      <c r="AJ15" s="23"/>
      <c r="AK15" s="23"/>
      <c r="AL15" s="22">
        <f t="shared" si="2"/>
        <v>20</v>
      </c>
    </row>
    <row r="16" spans="2:38" x14ac:dyDescent="0.3">
      <c r="B16" s="23">
        <v>9</v>
      </c>
      <c r="C16" s="35" t="s">
        <v>41</v>
      </c>
      <c r="D16" s="35" t="s">
        <v>42</v>
      </c>
      <c r="E16" s="35" t="s">
        <v>26</v>
      </c>
      <c r="F16" s="35" t="s">
        <v>439</v>
      </c>
      <c r="G16" s="23"/>
      <c r="H16" s="23"/>
      <c r="I16" s="23" t="s">
        <v>123</v>
      </c>
      <c r="J16" s="23" t="s">
        <v>123</v>
      </c>
      <c r="K16" s="23" t="s">
        <v>123</v>
      </c>
      <c r="L16" s="23" t="s">
        <v>123</v>
      </c>
      <c r="M16" s="23" t="s">
        <v>123</v>
      </c>
      <c r="N16" s="23"/>
      <c r="O16" s="23"/>
      <c r="P16" s="23" t="s">
        <v>123</v>
      </c>
      <c r="Q16" s="23" t="s">
        <v>123</v>
      </c>
      <c r="R16" s="23" t="s">
        <v>123</v>
      </c>
      <c r="S16" s="23" t="s">
        <v>123</v>
      </c>
      <c r="T16" s="23" t="s">
        <v>123</v>
      </c>
      <c r="U16" s="23"/>
      <c r="V16" s="23"/>
      <c r="W16" s="23" t="s">
        <v>123</v>
      </c>
      <c r="X16" s="23" t="s">
        <v>123</v>
      </c>
      <c r="Y16" s="23" t="s">
        <v>123</v>
      </c>
      <c r="Z16" s="23" t="s">
        <v>123</v>
      </c>
      <c r="AA16" s="23" t="s">
        <v>123</v>
      </c>
      <c r="AB16" s="23"/>
      <c r="AC16" s="23"/>
      <c r="AD16" s="23" t="s">
        <v>123</v>
      </c>
      <c r="AE16" s="23" t="s">
        <v>123</v>
      </c>
      <c r="AF16" s="23" t="s">
        <v>123</v>
      </c>
      <c r="AG16" s="23" t="s">
        <v>123</v>
      </c>
      <c r="AH16" s="23" t="s">
        <v>123</v>
      </c>
      <c r="AI16" s="23"/>
      <c r="AJ16" s="23"/>
      <c r="AK16" s="23"/>
      <c r="AL16" s="22">
        <f t="shared" si="2"/>
        <v>20</v>
      </c>
    </row>
    <row r="17" spans="2:38" x14ac:dyDescent="0.3">
      <c r="B17" s="23">
        <v>10</v>
      </c>
      <c r="C17" s="35" t="s">
        <v>44</v>
      </c>
      <c r="D17" s="35" t="s">
        <v>45</v>
      </c>
      <c r="E17" s="35" t="s">
        <v>26</v>
      </c>
      <c r="F17" s="35" t="s">
        <v>439</v>
      </c>
      <c r="G17" s="23"/>
      <c r="H17" s="23"/>
      <c r="I17" s="23" t="s">
        <v>123</v>
      </c>
      <c r="J17" s="23" t="s">
        <v>123</v>
      </c>
      <c r="K17" s="23" t="s">
        <v>123</v>
      </c>
      <c r="L17" s="23" t="s">
        <v>123</v>
      </c>
      <c r="M17" s="23" t="s">
        <v>123</v>
      </c>
      <c r="N17" s="23"/>
      <c r="O17" s="23"/>
      <c r="P17" s="23" t="s">
        <v>123</v>
      </c>
      <c r="Q17" s="23" t="s">
        <v>123</v>
      </c>
      <c r="R17" s="23" t="s">
        <v>123</v>
      </c>
      <c r="S17" s="23" t="s">
        <v>123</v>
      </c>
      <c r="T17" s="23" t="s">
        <v>123</v>
      </c>
      <c r="U17" s="23"/>
      <c r="V17" s="23"/>
      <c r="W17" s="23" t="s">
        <v>123</v>
      </c>
      <c r="X17" s="23" t="s">
        <v>123</v>
      </c>
      <c r="Y17" s="23" t="s">
        <v>123</v>
      </c>
      <c r="Z17" s="23" t="s">
        <v>123</v>
      </c>
      <c r="AA17" s="23" t="s">
        <v>123</v>
      </c>
      <c r="AB17" s="23"/>
      <c r="AC17" s="23"/>
      <c r="AD17" s="23" t="s">
        <v>123</v>
      </c>
      <c r="AE17" s="23" t="s">
        <v>123</v>
      </c>
      <c r="AF17" s="23" t="s">
        <v>123</v>
      </c>
      <c r="AG17" s="23" t="s">
        <v>123</v>
      </c>
      <c r="AH17" s="23" t="s">
        <v>123</v>
      </c>
      <c r="AI17" s="23"/>
      <c r="AJ17" s="23"/>
      <c r="AK17" s="23"/>
      <c r="AL17" s="22">
        <f t="shared" si="2"/>
        <v>20</v>
      </c>
    </row>
    <row r="18" spans="2:38" x14ac:dyDescent="0.3">
      <c r="B18" s="23">
        <v>11</v>
      </c>
      <c r="C18" s="35" t="s">
        <v>47</v>
      </c>
      <c r="D18" s="35" t="s">
        <v>48</v>
      </c>
      <c r="E18" s="35" t="s">
        <v>26</v>
      </c>
      <c r="F18" s="35" t="s">
        <v>439</v>
      </c>
      <c r="G18" s="23"/>
      <c r="H18" s="23"/>
      <c r="I18" s="23" t="s">
        <v>123</v>
      </c>
      <c r="J18" s="23" t="s">
        <v>123</v>
      </c>
      <c r="K18" s="23" t="s">
        <v>123</v>
      </c>
      <c r="L18" s="23" t="s">
        <v>123</v>
      </c>
      <c r="M18" s="23" t="s">
        <v>123</v>
      </c>
      <c r="N18" s="23"/>
      <c r="O18" s="23"/>
      <c r="P18" s="23" t="s">
        <v>123</v>
      </c>
      <c r="Q18" s="23" t="s">
        <v>123</v>
      </c>
      <c r="R18" s="23" t="s">
        <v>123</v>
      </c>
      <c r="S18" s="23" t="s">
        <v>123</v>
      </c>
      <c r="T18" s="23" t="s">
        <v>123</v>
      </c>
      <c r="U18" s="23"/>
      <c r="V18" s="23"/>
      <c r="W18" s="23" t="s">
        <v>123</v>
      </c>
      <c r="X18" s="23" t="s">
        <v>123</v>
      </c>
      <c r="Y18" s="23" t="s">
        <v>123</v>
      </c>
      <c r="Z18" s="23" t="s">
        <v>123</v>
      </c>
      <c r="AA18" s="23" t="s">
        <v>123</v>
      </c>
      <c r="AB18" s="23"/>
      <c r="AC18" s="23"/>
      <c r="AD18" s="23" t="s">
        <v>123</v>
      </c>
      <c r="AE18" s="23" t="s">
        <v>123</v>
      </c>
      <c r="AF18" s="23" t="s">
        <v>123</v>
      </c>
      <c r="AG18" s="23" t="s">
        <v>123</v>
      </c>
      <c r="AH18" s="23" t="s">
        <v>123</v>
      </c>
      <c r="AI18" s="23"/>
      <c r="AJ18" s="23"/>
      <c r="AK18" s="23"/>
      <c r="AL18" s="22">
        <f t="shared" si="2"/>
        <v>20</v>
      </c>
    </row>
    <row r="19" spans="2:38" x14ac:dyDescent="0.3">
      <c r="B19" s="23">
        <v>12</v>
      </c>
      <c r="C19" s="35" t="s">
        <v>49</v>
      </c>
      <c r="D19" s="35" t="s">
        <v>50</v>
      </c>
      <c r="E19" s="35" t="s">
        <v>26</v>
      </c>
      <c r="F19" s="35" t="s">
        <v>439</v>
      </c>
      <c r="G19" s="23"/>
      <c r="H19" s="23"/>
      <c r="I19" s="23" t="s">
        <v>123</v>
      </c>
      <c r="J19" s="23" t="s">
        <v>123</v>
      </c>
      <c r="K19" s="23" t="s">
        <v>123</v>
      </c>
      <c r="L19" s="23" t="s">
        <v>123</v>
      </c>
      <c r="M19" s="23" t="s">
        <v>123</v>
      </c>
      <c r="N19" s="23"/>
      <c r="O19" s="23"/>
      <c r="P19" s="23" t="s">
        <v>123</v>
      </c>
      <c r="Q19" s="23" t="s">
        <v>123</v>
      </c>
      <c r="R19" s="23" t="s">
        <v>123</v>
      </c>
      <c r="S19" s="23" t="s">
        <v>123</v>
      </c>
      <c r="T19" s="23" t="s">
        <v>123</v>
      </c>
      <c r="U19" s="23"/>
      <c r="V19" s="23"/>
      <c r="W19" s="23" t="s">
        <v>123</v>
      </c>
      <c r="X19" s="23" t="s">
        <v>123</v>
      </c>
      <c r="Y19" s="23" t="s">
        <v>123</v>
      </c>
      <c r="Z19" s="23" t="s">
        <v>123</v>
      </c>
      <c r="AA19" s="23" t="s">
        <v>123</v>
      </c>
      <c r="AB19" s="23"/>
      <c r="AC19" s="23"/>
      <c r="AD19" s="23" t="s">
        <v>123</v>
      </c>
      <c r="AE19" s="23" t="s">
        <v>123</v>
      </c>
      <c r="AF19" s="23" t="s">
        <v>123</v>
      </c>
      <c r="AG19" s="23" t="s">
        <v>123</v>
      </c>
      <c r="AH19" s="23" t="s">
        <v>123</v>
      </c>
      <c r="AI19" s="23"/>
      <c r="AJ19" s="23"/>
      <c r="AK19" s="23"/>
      <c r="AL19" s="22">
        <f t="shared" si="2"/>
        <v>20</v>
      </c>
    </row>
    <row r="20" spans="2:38" x14ac:dyDescent="0.3">
      <c r="B20" s="23">
        <v>13</v>
      </c>
      <c r="C20" s="35" t="s">
        <v>51</v>
      </c>
      <c r="D20" s="35" t="s">
        <v>52</v>
      </c>
      <c r="E20" s="35" t="s">
        <v>26</v>
      </c>
      <c r="F20" s="35" t="s">
        <v>439</v>
      </c>
      <c r="G20" s="23"/>
      <c r="H20" s="23"/>
      <c r="I20" s="23" t="s">
        <v>123</v>
      </c>
      <c r="J20" s="23" t="s">
        <v>123</v>
      </c>
      <c r="K20" s="23" t="s">
        <v>123</v>
      </c>
      <c r="L20" s="23" t="s">
        <v>123</v>
      </c>
      <c r="M20" s="23" t="s">
        <v>123</v>
      </c>
      <c r="N20" s="23"/>
      <c r="O20" s="23"/>
      <c r="P20" s="23" t="s">
        <v>123</v>
      </c>
      <c r="Q20" s="23" t="s">
        <v>123</v>
      </c>
      <c r="R20" s="23" t="s">
        <v>123</v>
      </c>
      <c r="S20" s="23" t="s">
        <v>123</v>
      </c>
      <c r="T20" s="23" t="s">
        <v>123</v>
      </c>
      <c r="U20" s="23"/>
      <c r="V20" s="23"/>
      <c r="W20" s="23" t="s">
        <v>123</v>
      </c>
      <c r="X20" s="23" t="s">
        <v>123</v>
      </c>
      <c r="Y20" s="23" t="s">
        <v>123</v>
      </c>
      <c r="Z20" s="23" t="s">
        <v>123</v>
      </c>
      <c r="AA20" s="23" t="s">
        <v>123</v>
      </c>
      <c r="AB20" s="23"/>
      <c r="AC20" s="23"/>
      <c r="AD20" s="23" t="s">
        <v>123</v>
      </c>
      <c r="AE20" s="23" t="s">
        <v>123</v>
      </c>
      <c r="AF20" s="23" t="s">
        <v>123</v>
      </c>
      <c r="AG20" s="23" t="s">
        <v>123</v>
      </c>
      <c r="AH20" s="23" t="s">
        <v>123</v>
      </c>
      <c r="AI20" s="23"/>
      <c r="AJ20" s="23"/>
      <c r="AK20" s="23"/>
      <c r="AL20" s="22">
        <f t="shared" si="2"/>
        <v>20</v>
      </c>
    </row>
    <row r="21" spans="2:38" x14ac:dyDescent="0.3">
      <c r="B21" s="23">
        <v>14</v>
      </c>
      <c r="C21" s="35" t="s">
        <v>53</v>
      </c>
      <c r="D21" s="35" t="s">
        <v>54</v>
      </c>
      <c r="E21" s="35" t="s">
        <v>26</v>
      </c>
      <c r="F21" s="35" t="s">
        <v>439</v>
      </c>
      <c r="G21" s="23"/>
      <c r="H21" s="23"/>
      <c r="I21" s="23" t="s">
        <v>123</v>
      </c>
      <c r="J21" s="23" t="s">
        <v>123</v>
      </c>
      <c r="K21" s="23" t="s">
        <v>123</v>
      </c>
      <c r="L21" s="23" t="s">
        <v>123</v>
      </c>
      <c r="M21" s="23" t="s">
        <v>123</v>
      </c>
      <c r="N21" s="23"/>
      <c r="O21" s="23"/>
      <c r="P21" s="23" t="s">
        <v>123</v>
      </c>
      <c r="Q21" s="23" t="s">
        <v>123</v>
      </c>
      <c r="R21" s="23" t="s">
        <v>123</v>
      </c>
      <c r="S21" s="23" t="s">
        <v>123</v>
      </c>
      <c r="T21" s="23" t="s">
        <v>123</v>
      </c>
      <c r="U21" s="23"/>
      <c r="V21" s="23"/>
      <c r="W21" s="23" t="s">
        <v>123</v>
      </c>
      <c r="X21" s="23" t="s">
        <v>123</v>
      </c>
      <c r="Y21" s="23" t="s">
        <v>123</v>
      </c>
      <c r="Z21" s="23" t="s">
        <v>123</v>
      </c>
      <c r="AA21" s="23" t="s">
        <v>123</v>
      </c>
      <c r="AB21" s="23"/>
      <c r="AC21" s="23"/>
      <c r="AD21" s="23" t="s">
        <v>123</v>
      </c>
      <c r="AE21" s="23" t="s">
        <v>123</v>
      </c>
      <c r="AF21" s="23" t="s">
        <v>123</v>
      </c>
      <c r="AG21" s="23" t="s">
        <v>123</v>
      </c>
      <c r="AH21" s="23" t="s">
        <v>123</v>
      </c>
      <c r="AI21" s="23"/>
      <c r="AJ21" s="23"/>
      <c r="AK21" s="23"/>
      <c r="AL21" s="22">
        <f t="shared" si="2"/>
        <v>20</v>
      </c>
    </row>
    <row r="22" spans="2:38" x14ac:dyDescent="0.3">
      <c r="B22" s="23">
        <v>15</v>
      </c>
      <c r="C22" s="35" t="s">
        <v>55</v>
      </c>
      <c r="D22" s="35" t="s">
        <v>56</v>
      </c>
      <c r="E22" s="35" t="s">
        <v>26</v>
      </c>
      <c r="F22" s="35" t="s">
        <v>439</v>
      </c>
      <c r="G22" s="23"/>
      <c r="H22" s="23"/>
      <c r="I22" s="23" t="s">
        <v>123</v>
      </c>
      <c r="J22" s="23" t="s">
        <v>123</v>
      </c>
      <c r="K22" s="23" t="s">
        <v>123</v>
      </c>
      <c r="L22" s="23" t="s">
        <v>123</v>
      </c>
      <c r="M22" s="23" t="s">
        <v>123</v>
      </c>
      <c r="N22" s="23"/>
      <c r="O22" s="23"/>
      <c r="P22" s="23" t="s">
        <v>123</v>
      </c>
      <c r="Q22" s="23" t="s">
        <v>123</v>
      </c>
      <c r="R22" s="23" t="s">
        <v>123</v>
      </c>
      <c r="S22" s="23" t="s">
        <v>123</v>
      </c>
      <c r="T22" s="23" t="s">
        <v>123</v>
      </c>
      <c r="U22" s="23"/>
      <c r="V22" s="23"/>
      <c r="W22" s="23" t="s">
        <v>123</v>
      </c>
      <c r="X22" s="23" t="s">
        <v>123</v>
      </c>
      <c r="Y22" s="23" t="s">
        <v>123</v>
      </c>
      <c r="Z22" s="23" t="s">
        <v>123</v>
      </c>
      <c r="AA22" s="23" t="s">
        <v>123</v>
      </c>
      <c r="AB22" s="23"/>
      <c r="AC22" s="23"/>
      <c r="AD22" s="23" t="s">
        <v>123</v>
      </c>
      <c r="AE22" s="23" t="s">
        <v>123</v>
      </c>
      <c r="AF22" s="23" t="s">
        <v>123</v>
      </c>
      <c r="AG22" s="23" t="s">
        <v>123</v>
      </c>
      <c r="AH22" s="23" t="s">
        <v>123</v>
      </c>
      <c r="AI22" s="23"/>
      <c r="AJ22" s="23"/>
      <c r="AK22" s="23"/>
      <c r="AL22" s="22">
        <f t="shared" si="2"/>
        <v>20</v>
      </c>
    </row>
    <row r="25" spans="2:38" x14ac:dyDescent="0.3">
      <c r="W25" s="253">
        <f>IF(CHE_DO_NGHI=1,WORKDAY.INTL(EOMONTH(DATE(P5,L5,1),0)+1,-1,1,INDEX(DATA_NGHI_LE[],0,1)),WORKDAY.INTL(EOMONTH(DATE(P5,L5,1),0)+1,-1,11,INDEX(DATA_NGHI_LE[],0,1)))</f>
        <v>45044</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8" priority="1">
      <formula>IF(AND(CHE_DO_NGHI=1,OR(G$7="Chủ nhật",G$7="Thứ Bảy")),TRUE,IF(AND(CHE_DO_NGHI=2,G$7="Chủ nhật"),TRUE,FALSE))</formula>
    </cfRule>
  </conditionalFormatting>
  <pageMargins left="0.7" right="0.7" top="0.75" bottom="0.75" header="0.3" footer="0.3"/>
  <pageSetup paperSize="9" scale="73" fitToHeight="0" orientation="landscape" cellComments="atEnd"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9D16B-7A35-462C-AA32-46CC8D7A2F83}">
  <sheetPr codeName="Sheet149">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7" width="3.33203125" style="5"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5</v>
      </c>
      <c r="M5" s="252"/>
      <c r="N5" s="251" t="s">
        <v>93</v>
      </c>
      <c r="O5" s="251"/>
      <c r="P5" s="250">
        <f>Nam_Bang_Luong</f>
        <v>2023</v>
      </c>
      <c r="Q5" s="250"/>
    </row>
    <row r="6" spans="2:38" x14ac:dyDescent="0.3">
      <c r="B6" s="220" t="s">
        <v>5</v>
      </c>
      <c r="C6" s="220" t="s">
        <v>91</v>
      </c>
      <c r="D6" s="220" t="s">
        <v>6</v>
      </c>
      <c r="E6" s="220" t="s">
        <v>8</v>
      </c>
      <c r="F6" s="220" t="s">
        <v>7</v>
      </c>
      <c r="G6" s="20">
        <f>DATE(P5,L5,1)</f>
        <v>45047</v>
      </c>
      <c r="H6" s="20">
        <f>G6+1</f>
        <v>45048</v>
      </c>
      <c r="I6" s="20">
        <f t="shared" ref="I6:AK6" si="0">H6+1</f>
        <v>45049</v>
      </c>
      <c r="J6" s="20">
        <f t="shared" si="0"/>
        <v>45050</v>
      </c>
      <c r="K6" s="20">
        <f t="shared" si="0"/>
        <v>45051</v>
      </c>
      <c r="L6" s="20">
        <f t="shared" si="0"/>
        <v>45052</v>
      </c>
      <c r="M6" s="20">
        <f t="shared" si="0"/>
        <v>45053</v>
      </c>
      <c r="N6" s="20">
        <f t="shared" si="0"/>
        <v>45054</v>
      </c>
      <c r="O6" s="20">
        <f t="shared" si="0"/>
        <v>45055</v>
      </c>
      <c r="P6" s="20">
        <f t="shared" si="0"/>
        <v>45056</v>
      </c>
      <c r="Q6" s="20">
        <f t="shared" si="0"/>
        <v>45057</v>
      </c>
      <c r="R6" s="20">
        <f t="shared" si="0"/>
        <v>45058</v>
      </c>
      <c r="S6" s="20">
        <f t="shared" si="0"/>
        <v>45059</v>
      </c>
      <c r="T6" s="20">
        <f t="shared" si="0"/>
        <v>45060</v>
      </c>
      <c r="U6" s="20">
        <f t="shared" si="0"/>
        <v>45061</v>
      </c>
      <c r="V6" s="20">
        <f t="shared" si="0"/>
        <v>45062</v>
      </c>
      <c r="W6" s="20">
        <f t="shared" si="0"/>
        <v>45063</v>
      </c>
      <c r="X6" s="20">
        <f t="shared" si="0"/>
        <v>45064</v>
      </c>
      <c r="Y6" s="20">
        <f t="shared" si="0"/>
        <v>45065</v>
      </c>
      <c r="Z6" s="20">
        <f t="shared" si="0"/>
        <v>45066</v>
      </c>
      <c r="AA6" s="20">
        <f t="shared" si="0"/>
        <v>45067</v>
      </c>
      <c r="AB6" s="20">
        <f t="shared" si="0"/>
        <v>45068</v>
      </c>
      <c r="AC6" s="20">
        <f t="shared" si="0"/>
        <v>45069</v>
      </c>
      <c r="AD6" s="20">
        <f t="shared" si="0"/>
        <v>45070</v>
      </c>
      <c r="AE6" s="20">
        <f t="shared" si="0"/>
        <v>45071</v>
      </c>
      <c r="AF6" s="20">
        <f t="shared" si="0"/>
        <v>45072</v>
      </c>
      <c r="AG6" s="20">
        <f t="shared" si="0"/>
        <v>45073</v>
      </c>
      <c r="AH6" s="20">
        <f t="shared" si="0"/>
        <v>45074</v>
      </c>
      <c r="AI6" s="20">
        <f t="shared" si="0"/>
        <v>45075</v>
      </c>
      <c r="AJ6" s="20">
        <f t="shared" si="0"/>
        <v>45076</v>
      </c>
      <c r="AK6" s="20">
        <f t="shared" si="0"/>
        <v>45077</v>
      </c>
      <c r="AL6" s="217" t="s">
        <v>107</v>
      </c>
    </row>
    <row r="7" spans="2:38" ht="46.2" x14ac:dyDescent="0.3">
      <c r="B7" s="220"/>
      <c r="C7" s="220"/>
      <c r="D7" s="220"/>
      <c r="E7" s="220"/>
      <c r="F7" s="220"/>
      <c r="G7" s="21" t="str">
        <f>TEXT(G6,"[$-042A]dddd")</f>
        <v>Thứ Hai</v>
      </c>
      <c r="H7" s="21" t="str">
        <f t="shared" ref="H7:AK7" si="1">TEXT(H6,"[$-042A]dddd")</f>
        <v>Thứ Ba</v>
      </c>
      <c r="I7" s="21" t="str">
        <f t="shared" si="1"/>
        <v>Thứ Tư</v>
      </c>
      <c r="J7" s="21" t="str">
        <f t="shared" si="1"/>
        <v>Thứ Năm</v>
      </c>
      <c r="K7" s="21" t="str">
        <f t="shared" si="1"/>
        <v>Thứ Sáu</v>
      </c>
      <c r="L7" s="21" t="str">
        <f t="shared" si="1"/>
        <v>Thứ Bảy</v>
      </c>
      <c r="M7" s="21" t="str">
        <f t="shared" si="1"/>
        <v>Chủ Nhật</v>
      </c>
      <c r="N7" s="21" t="str">
        <f t="shared" si="1"/>
        <v>Thứ Hai</v>
      </c>
      <c r="O7" s="21" t="str">
        <f t="shared" si="1"/>
        <v>Thứ Ba</v>
      </c>
      <c r="P7" s="21" t="str">
        <f t="shared" si="1"/>
        <v>Thứ Tư</v>
      </c>
      <c r="Q7" s="21" t="str">
        <f t="shared" si="1"/>
        <v>Thứ Năm</v>
      </c>
      <c r="R7" s="21" t="str">
        <f t="shared" si="1"/>
        <v>Thứ Sáu</v>
      </c>
      <c r="S7" s="21" t="str">
        <f t="shared" si="1"/>
        <v>Thứ Bảy</v>
      </c>
      <c r="T7" s="21" t="str">
        <f t="shared" si="1"/>
        <v>Chủ Nhật</v>
      </c>
      <c r="U7" s="21" t="str">
        <f t="shared" si="1"/>
        <v>Thứ Hai</v>
      </c>
      <c r="V7" s="21" t="str">
        <f t="shared" si="1"/>
        <v>Thứ Ba</v>
      </c>
      <c r="W7" s="21" t="str">
        <f t="shared" si="1"/>
        <v>Thứ Tư</v>
      </c>
      <c r="X7" s="21" t="str">
        <f t="shared" si="1"/>
        <v>Thứ Năm</v>
      </c>
      <c r="Y7" s="21" t="str">
        <f t="shared" si="1"/>
        <v>Thứ Sáu</v>
      </c>
      <c r="Z7" s="21" t="str">
        <f t="shared" si="1"/>
        <v>Thứ Bảy</v>
      </c>
      <c r="AA7" s="21" t="str">
        <f t="shared" si="1"/>
        <v>Chủ Nhật</v>
      </c>
      <c r="AB7" s="21" t="str">
        <f t="shared" si="1"/>
        <v>Thứ Hai</v>
      </c>
      <c r="AC7" s="21" t="str">
        <f t="shared" si="1"/>
        <v>Thứ Ba</v>
      </c>
      <c r="AD7" s="21" t="str">
        <f t="shared" si="1"/>
        <v>Thứ Tư</v>
      </c>
      <c r="AE7" s="21" t="str">
        <f t="shared" si="1"/>
        <v>Thứ Năm</v>
      </c>
      <c r="AF7" s="21" t="str">
        <f t="shared" si="1"/>
        <v>Thứ Sáu</v>
      </c>
      <c r="AG7" s="21" t="str">
        <f t="shared" si="1"/>
        <v>Thứ Bảy</v>
      </c>
      <c r="AH7" s="21" t="str">
        <f t="shared" si="1"/>
        <v>Chủ Nhật</v>
      </c>
      <c r="AI7" s="21" t="str">
        <f t="shared" si="1"/>
        <v>Thứ Hai</v>
      </c>
      <c r="AJ7" s="21" t="str">
        <f t="shared" si="1"/>
        <v>Thứ Ba</v>
      </c>
      <c r="AK7" s="21" t="str">
        <f t="shared" si="1"/>
        <v>Thứ Tư</v>
      </c>
      <c r="AL7" s="217"/>
    </row>
    <row r="8" spans="2:38" x14ac:dyDescent="0.3">
      <c r="B8" s="23">
        <v>1</v>
      </c>
      <c r="C8" s="35" t="s">
        <v>9</v>
      </c>
      <c r="D8" s="35" t="s">
        <v>10</v>
      </c>
      <c r="E8" s="35" t="s">
        <v>11</v>
      </c>
      <c r="F8" s="35" t="s">
        <v>438</v>
      </c>
      <c r="G8" s="23" t="s">
        <v>124</v>
      </c>
      <c r="H8" s="23" t="s">
        <v>124</v>
      </c>
      <c r="I8" s="23" t="s">
        <v>124</v>
      </c>
      <c r="J8" s="23" t="s">
        <v>123</v>
      </c>
      <c r="K8" s="23" t="s">
        <v>123</v>
      </c>
      <c r="L8" s="24"/>
      <c r="M8" s="24"/>
      <c r="N8" s="24" t="s">
        <v>123</v>
      </c>
      <c r="O8" s="24" t="s">
        <v>123</v>
      </c>
      <c r="P8" s="24" t="s">
        <v>123</v>
      </c>
      <c r="Q8" s="24" t="s">
        <v>123</v>
      </c>
      <c r="R8" s="24" t="s">
        <v>123</v>
      </c>
      <c r="S8" s="24"/>
      <c r="T8" s="23"/>
      <c r="U8" s="23" t="s">
        <v>123</v>
      </c>
      <c r="V8" s="23" t="s">
        <v>123</v>
      </c>
      <c r="W8" s="23" t="s">
        <v>123</v>
      </c>
      <c r="X8" s="23" t="s">
        <v>123</v>
      </c>
      <c r="Y8" s="23" t="s">
        <v>123</v>
      </c>
      <c r="Z8" s="23"/>
      <c r="AA8" s="23"/>
      <c r="AB8" s="23" t="s">
        <v>123</v>
      </c>
      <c r="AC8" s="23" t="s">
        <v>123</v>
      </c>
      <c r="AD8" s="23" t="s">
        <v>123</v>
      </c>
      <c r="AE8" s="23" t="s">
        <v>123</v>
      </c>
      <c r="AF8" s="23" t="s">
        <v>123</v>
      </c>
      <c r="AG8" s="23"/>
      <c r="AH8" s="23"/>
      <c r="AI8" s="23" t="s">
        <v>123</v>
      </c>
      <c r="AJ8" s="23" t="s">
        <v>123</v>
      </c>
      <c r="AK8" s="23" t="s">
        <v>123</v>
      </c>
      <c r="AL8" s="22">
        <f t="shared" ref="AL8:AL22" si="2">COUNTIF(G8:AK8,"X")+0.5*COUNTIF(G8:AK8,"X/2")+COUNTIF(G8:AK8,"NL")</f>
        <v>23</v>
      </c>
    </row>
    <row r="9" spans="2:38" x14ac:dyDescent="0.3">
      <c r="B9" s="23">
        <v>2</v>
      </c>
      <c r="C9" s="35" t="s">
        <v>14</v>
      </c>
      <c r="D9" s="35" t="s">
        <v>15</v>
      </c>
      <c r="E9" s="35" t="s">
        <v>16</v>
      </c>
      <c r="F9" s="35" t="s">
        <v>438</v>
      </c>
      <c r="G9" s="23" t="s">
        <v>124</v>
      </c>
      <c r="H9" s="23" t="s">
        <v>124</v>
      </c>
      <c r="I9" s="23" t="s">
        <v>124</v>
      </c>
      <c r="J9" s="23" t="s">
        <v>123</v>
      </c>
      <c r="K9" s="23" t="s">
        <v>123</v>
      </c>
      <c r="L9" s="24"/>
      <c r="M9" s="24"/>
      <c r="N9" s="24" t="s">
        <v>123</v>
      </c>
      <c r="O9" s="24" t="s">
        <v>123</v>
      </c>
      <c r="P9" s="24" t="s">
        <v>123</v>
      </c>
      <c r="Q9" s="24" t="s">
        <v>123</v>
      </c>
      <c r="R9" s="24" t="s">
        <v>123</v>
      </c>
      <c r="S9" s="24"/>
      <c r="T9" s="23"/>
      <c r="U9" s="23" t="s">
        <v>123</v>
      </c>
      <c r="V9" s="23" t="s">
        <v>123</v>
      </c>
      <c r="W9" s="23" t="s">
        <v>123</v>
      </c>
      <c r="X9" s="23" t="s">
        <v>123</v>
      </c>
      <c r="Y9" s="23" t="s">
        <v>123</v>
      </c>
      <c r="Z9" s="23"/>
      <c r="AA9" s="23"/>
      <c r="AB9" s="23" t="s">
        <v>123</v>
      </c>
      <c r="AC9" s="23" t="s">
        <v>123</v>
      </c>
      <c r="AD9" s="23" t="s">
        <v>123</v>
      </c>
      <c r="AE9" s="23" t="s">
        <v>123</v>
      </c>
      <c r="AF9" s="23" t="s">
        <v>123</v>
      </c>
      <c r="AG9" s="23"/>
      <c r="AH9" s="23"/>
      <c r="AI9" s="23" t="s">
        <v>123</v>
      </c>
      <c r="AJ9" s="23" t="s">
        <v>123</v>
      </c>
      <c r="AK9" s="23" t="s">
        <v>123</v>
      </c>
      <c r="AL9" s="22">
        <f t="shared" si="2"/>
        <v>23</v>
      </c>
    </row>
    <row r="10" spans="2:38" x14ac:dyDescent="0.3">
      <c r="B10" s="23">
        <v>3</v>
      </c>
      <c r="C10" s="35" t="s">
        <v>19</v>
      </c>
      <c r="D10" s="35" t="s">
        <v>20</v>
      </c>
      <c r="E10" s="35" t="s">
        <v>21</v>
      </c>
      <c r="F10" s="35" t="s">
        <v>438</v>
      </c>
      <c r="G10" s="23" t="s">
        <v>124</v>
      </c>
      <c r="H10" s="23" t="s">
        <v>124</v>
      </c>
      <c r="I10" s="23" t="s">
        <v>124</v>
      </c>
      <c r="J10" s="23" t="s">
        <v>123</v>
      </c>
      <c r="K10" s="23" t="s">
        <v>123</v>
      </c>
      <c r="L10" s="24"/>
      <c r="M10" s="24"/>
      <c r="N10" s="24" t="s">
        <v>123</v>
      </c>
      <c r="O10" s="24" t="s">
        <v>123</v>
      </c>
      <c r="P10" s="24" t="s">
        <v>123</v>
      </c>
      <c r="Q10" s="24" t="s">
        <v>123</v>
      </c>
      <c r="R10" s="24" t="s">
        <v>123</v>
      </c>
      <c r="S10" s="24"/>
      <c r="T10" s="23"/>
      <c r="U10" s="23" t="s">
        <v>123</v>
      </c>
      <c r="V10" s="23" t="s">
        <v>123</v>
      </c>
      <c r="W10" s="23" t="s">
        <v>123</v>
      </c>
      <c r="X10" s="23" t="s">
        <v>123</v>
      </c>
      <c r="Y10" s="23" t="s">
        <v>123</v>
      </c>
      <c r="Z10" s="23"/>
      <c r="AA10" s="23"/>
      <c r="AB10" s="23" t="s">
        <v>123</v>
      </c>
      <c r="AC10" s="23" t="s">
        <v>123</v>
      </c>
      <c r="AD10" s="23" t="s">
        <v>123</v>
      </c>
      <c r="AE10" s="23" t="s">
        <v>123</v>
      </c>
      <c r="AF10" s="23" t="s">
        <v>123</v>
      </c>
      <c r="AG10" s="23"/>
      <c r="AH10" s="23"/>
      <c r="AI10" s="23" t="s">
        <v>123</v>
      </c>
      <c r="AJ10" s="23" t="s">
        <v>123</v>
      </c>
      <c r="AK10" s="23" t="s">
        <v>123</v>
      </c>
      <c r="AL10" s="22">
        <f t="shared" si="2"/>
        <v>23</v>
      </c>
    </row>
    <row r="11" spans="2:38" x14ac:dyDescent="0.3">
      <c r="B11" s="23">
        <v>4</v>
      </c>
      <c r="C11" s="35" t="s">
        <v>24</v>
      </c>
      <c r="D11" s="35" t="s">
        <v>25</v>
      </c>
      <c r="E11" s="35" t="s">
        <v>26</v>
      </c>
      <c r="F11" s="35" t="s">
        <v>439</v>
      </c>
      <c r="G11" s="23" t="s">
        <v>124</v>
      </c>
      <c r="H11" s="23" t="s">
        <v>124</v>
      </c>
      <c r="I11" s="23" t="s">
        <v>124</v>
      </c>
      <c r="J11" s="23" t="s">
        <v>123</v>
      </c>
      <c r="K11" s="23" t="s">
        <v>123</v>
      </c>
      <c r="L11" s="24"/>
      <c r="M11" s="24"/>
      <c r="N11" s="24" t="s">
        <v>123</v>
      </c>
      <c r="O11" s="24" t="s">
        <v>123</v>
      </c>
      <c r="P11" s="24" t="s">
        <v>123</v>
      </c>
      <c r="Q11" s="24" t="s">
        <v>123</v>
      </c>
      <c r="R11" s="24" t="s">
        <v>123</v>
      </c>
      <c r="S11" s="24"/>
      <c r="T11" s="23"/>
      <c r="U11" s="23" t="s">
        <v>123</v>
      </c>
      <c r="V11" s="23" t="s">
        <v>123</v>
      </c>
      <c r="W11" s="23" t="s">
        <v>123</v>
      </c>
      <c r="X11" s="23" t="s">
        <v>123</v>
      </c>
      <c r="Y11" s="23" t="s">
        <v>123</v>
      </c>
      <c r="Z11" s="23"/>
      <c r="AA11" s="23"/>
      <c r="AB11" s="23" t="s">
        <v>123</v>
      </c>
      <c r="AC11" s="23" t="s">
        <v>123</v>
      </c>
      <c r="AD11" s="23" t="s">
        <v>123</v>
      </c>
      <c r="AE11" s="23" t="s">
        <v>123</v>
      </c>
      <c r="AF11" s="23" t="s">
        <v>123</v>
      </c>
      <c r="AG11" s="23"/>
      <c r="AH11" s="23"/>
      <c r="AI11" s="23" t="s">
        <v>123</v>
      </c>
      <c r="AJ11" s="23" t="s">
        <v>123</v>
      </c>
      <c r="AK11" s="23" t="s">
        <v>123</v>
      </c>
      <c r="AL11" s="22">
        <f t="shared" si="2"/>
        <v>23</v>
      </c>
    </row>
    <row r="12" spans="2:38" x14ac:dyDescent="0.3">
      <c r="B12" s="23">
        <v>5</v>
      </c>
      <c r="C12" s="35" t="s">
        <v>29</v>
      </c>
      <c r="D12" s="35" t="s">
        <v>30</v>
      </c>
      <c r="E12" s="35" t="s">
        <v>26</v>
      </c>
      <c r="F12" s="35" t="s">
        <v>439</v>
      </c>
      <c r="G12" s="23" t="s">
        <v>124</v>
      </c>
      <c r="H12" s="23" t="s">
        <v>124</v>
      </c>
      <c r="I12" s="23" t="s">
        <v>124</v>
      </c>
      <c r="J12" s="23" t="s">
        <v>123</v>
      </c>
      <c r="K12" s="23" t="s">
        <v>123</v>
      </c>
      <c r="L12" s="23"/>
      <c r="M12" s="23"/>
      <c r="N12" s="23" t="s">
        <v>123</v>
      </c>
      <c r="O12" s="23" t="s">
        <v>123</v>
      </c>
      <c r="P12" s="23" t="s">
        <v>123</v>
      </c>
      <c r="Q12" s="23" t="s">
        <v>123</v>
      </c>
      <c r="R12" s="23" t="s">
        <v>123</v>
      </c>
      <c r="S12" s="23"/>
      <c r="T12" s="23"/>
      <c r="U12" s="23" t="s">
        <v>123</v>
      </c>
      <c r="V12" s="23" t="s">
        <v>123</v>
      </c>
      <c r="W12" s="23" t="s">
        <v>123</v>
      </c>
      <c r="X12" s="23" t="s">
        <v>123</v>
      </c>
      <c r="Y12" s="23" t="s">
        <v>123</v>
      </c>
      <c r="Z12" s="23"/>
      <c r="AA12" s="23"/>
      <c r="AB12" s="23" t="s">
        <v>123</v>
      </c>
      <c r="AC12" s="23" t="s">
        <v>123</v>
      </c>
      <c r="AD12" s="23" t="s">
        <v>123</v>
      </c>
      <c r="AE12" s="23" t="s">
        <v>123</v>
      </c>
      <c r="AF12" s="23" t="s">
        <v>123</v>
      </c>
      <c r="AG12" s="23"/>
      <c r="AH12" s="23"/>
      <c r="AI12" s="23" t="s">
        <v>123</v>
      </c>
      <c r="AJ12" s="23" t="s">
        <v>123</v>
      </c>
      <c r="AK12" s="23" t="s">
        <v>123</v>
      </c>
      <c r="AL12" s="22">
        <f t="shared" si="2"/>
        <v>23</v>
      </c>
    </row>
    <row r="13" spans="2:38" x14ac:dyDescent="0.3">
      <c r="B13" s="23">
        <v>6</v>
      </c>
      <c r="C13" s="35" t="s">
        <v>32</v>
      </c>
      <c r="D13" s="35" t="s">
        <v>33</v>
      </c>
      <c r="E13" s="35" t="s">
        <v>26</v>
      </c>
      <c r="F13" s="35" t="s">
        <v>439</v>
      </c>
      <c r="G13" s="23" t="s">
        <v>124</v>
      </c>
      <c r="H13" s="23" t="s">
        <v>124</v>
      </c>
      <c r="I13" s="23" t="s">
        <v>124</v>
      </c>
      <c r="J13" s="23" t="s">
        <v>123</v>
      </c>
      <c r="K13" s="23" t="s">
        <v>123</v>
      </c>
      <c r="L13" s="23"/>
      <c r="M13" s="23"/>
      <c r="N13" s="23" t="s">
        <v>123</v>
      </c>
      <c r="O13" s="23" t="s">
        <v>123</v>
      </c>
      <c r="P13" s="23" t="s">
        <v>123</v>
      </c>
      <c r="Q13" s="23" t="s">
        <v>123</v>
      </c>
      <c r="R13" s="23" t="s">
        <v>123</v>
      </c>
      <c r="S13" s="23"/>
      <c r="T13" s="23"/>
      <c r="U13" s="23" t="s">
        <v>123</v>
      </c>
      <c r="V13" s="23" t="s">
        <v>123</v>
      </c>
      <c r="W13" s="23" t="s">
        <v>123</v>
      </c>
      <c r="X13" s="23" t="s">
        <v>123</v>
      </c>
      <c r="Y13" s="23" t="s">
        <v>123</v>
      </c>
      <c r="Z13" s="23"/>
      <c r="AA13" s="23"/>
      <c r="AB13" s="23" t="s">
        <v>123</v>
      </c>
      <c r="AC13" s="23" t="s">
        <v>123</v>
      </c>
      <c r="AD13" s="23" t="s">
        <v>123</v>
      </c>
      <c r="AE13" s="23" t="s">
        <v>123</v>
      </c>
      <c r="AF13" s="23" t="s">
        <v>123</v>
      </c>
      <c r="AG13" s="23"/>
      <c r="AH13" s="23"/>
      <c r="AI13" s="23" t="s">
        <v>123</v>
      </c>
      <c r="AJ13" s="23" t="s">
        <v>123</v>
      </c>
      <c r="AK13" s="23" t="s">
        <v>123</v>
      </c>
      <c r="AL13" s="22">
        <f t="shared" si="2"/>
        <v>23</v>
      </c>
    </row>
    <row r="14" spans="2:38" x14ac:dyDescent="0.3">
      <c r="B14" s="23">
        <v>7</v>
      </c>
      <c r="C14" s="35" t="s">
        <v>35</v>
      </c>
      <c r="D14" s="35" t="s">
        <v>36</v>
      </c>
      <c r="E14" s="35" t="s">
        <v>26</v>
      </c>
      <c r="F14" s="35" t="s">
        <v>439</v>
      </c>
      <c r="G14" s="23" t="s">
        <v>124</v>
      </c>
      <c r="H14" s="23" t="s">
        <v>124</v>
      </c>
      <c r="I14" s="23" t="s">
        <v>124</v>
      </c>
      <c r="J14" s="23" t="s">
        <v>123</v>
      </c>
      <c r="K14" s="23" t="s">
        <v>123</v>
      </c>
      <c r="L14" s="23"/>
      <c r="M14" s="23"/>
      <c r="N14" s="23" t="s">
        <v>123</v>
      </c>
      <c r="O14" s="23" t="s">
        <v>123</v>
      </c>
      <c r="P14" s="23" t="s">
        <v>123</v>
      </c>
      <c r="Q14" s="23" t="s">
        <v>123</v>
      </c>
      <c r="R14" s="23" t="s">
        <v>123</v>
      </c>
      <c r="S14" s="23"/>
      <c r="T14" s="23"/>
      <c r="U14" s="23" t="s">
        <v>123</v>
      </c>
      <c r="V14" s="23" t="s">
        <v>123</v>
      </c>
      <c r="W14" s="23" t="s">
        <v>123</v>
      </c>
      <c r="X14" s="23" t="s">
        <v>123</v>
      </c>
      <c r="Y14" s="23" t="s">
        <v>123</v>
      </c>
      <c r="Z14" s="23"/>
      <c r="AA14" s="23"/>
      <c r="AB14" s="23" t="s">
        <v>123</v>
      </c>
      <c r="AC14" s="23" t="s">
        <v>123</v>
      </c>
      <c r="AD14" s="23" t="s">
        <v>123</v>
      </c>
      <c r="AE14" s="23" t="s">
        <v>123</v>
      </c>
      <c r="AF14" s="23" t="s">
        <v>123</v>
      </c>
      <c r="AG14" s="23"/>
      <c r="AH14" s="23"/>
      <c r="AI14" s="23" t="s">
        <v>123</v>
      </c>
      <c r="AJ14" s="23" t="s">
        <v>123</v>
      </c>
      <c r="AK14" s="23" t="s">
        <v>123</v>
      </c>
      <c r="AL14" s="22">
        <f t="shared" si="2"/>
        <v>23</v>
      </c>
    </row>
    <row r="15" spans="2:38" x14ac:dyDescent="0.3">
      <c r="B15" s="23">
        <v>8</v>
      </c>
      <c r="C15" s="35" t="s">
        <v>38</v>
      </c>
      <c r="D15" s="35" t="s">
        <v>39</v>
      </c>
      <c r="E15" s="35" t="s">
        <v>26</v>
      </c>
      <c r="F15" s="35" t="s">
        <v>439</v>
      </c>
      <c r="G15" s="23" t="s">
        <v>124</v>
      </c>
      <c r="H15" s="23" t="s">
        <v>124</v>
      </c>
      <c r="I15" s="23" t="s">
        <v>124</v>
      </c>
      <c r="J15" s="23" t="s">
        <v>123</v>
      </c>
      <c r="K15" s="23" t="s">
        <v>123</v>
      </c>
      <c r="L15" s="23"/>
      <c r="M15" s="23"/>
      <c r="N15" s="23" t="s">
        <v>123</v>
      </c>
      <c r="O15" s="23" t="s">
        <v>123</v>
      </c>
      <c r="P15" s="23" t="s">
        <v>123</v>
      </c>
      <c r="Q15" s="23" t="s">
        <v>123</v>
      </c>
      <c r="R15" s="23" t="s">
        <v>123</v>
      </c>
      <c r="S15" s="23"/>
      <c r="T15" s="23"/>
      <c r="U15" s="23" t="s">
        <v>123</v>
      </c>
      <c r="V15" s="23" t="s">
        <v>123</v>
      </c>
      <c r="W15" s="23" t="s">
        <v>123</v>
      </c>
      <c r="X15" s="23" t="s">
        <v>123</v>
      </c>
      <c r="Y15" s="23" t="s">
        <v>123</v>
      </c>
      <c r="Z15" s="23"/>
      <c r="AA15" s="23"/>
      <c r="AB15" s="23" t="s">
        <v>123</v>
      </c>
      <c r="AC15" s="23" t="s">
        <v>123</v>
      </c>
      <c r="AD15" s="23" t="s">
        <v>123</v>
      </c>
      <c r="AE15" s="23" t="s">
        <v>123</v>
      </c>
      <c r="AF15" s="23" t="s">
        <v>123</v>
      </c>
      <c r="AG15" s="23"/>
      <c r="AH15" s="23"/>
      <c r="AI15" s="23" t="s">
        <v>123</v>
      </c>
      <c r="AJ15" s="23" t="s">
        <v>123</v>
      </c>
      <c r="AK15" s="23" t="s">
        <v>123</v>
      </c>
      <c r="AL15" s="22">
        <f t="shared" si="2"/>
        <v>23</v>
      </c>
    </row>
    <row r="16" spans="2:38" x14ac:dyDescent="0.3">
      <c r="B16" s="23">
        <v>9</v>
      </c>
      <c r="C16" s="35" t="s">
        <v>41</v>
      </c>
      <c r="D16" s="35" t="s">
        <v>42</v>
      </c>
      <c r="E16" s="35" t="s">
        <v>26</v>
      </c>
      <c r="F16" s="35" t="s">
        <v>439</v>
      </c>
      <c r="G16" s="23" t="s">
        <v>124</v>
      </c>
      <c r="H16" s="23" t="s">
        <v>124</v>
      </c>
      <c r="I16" s="23" t="s">
        <v>124</v>
      </c>
      <c r="J16" s="23" t="s">
        <v>123</v>
      </c>
      <c r="K16" s="23" t="s">
        <v>123</v>
      </c>
      <c r="L16" s="23"/>
      <c r="M16" s="23"/>
      <c r="N16" s="23" t="s">
        <v>123</v>
      </c>
      <c r="O16" s="23" t="s">
        <v>123</v>
      </c>
      <c r="P16" s="23" t="s">
        <v>123</v>
      </c>
      <c r="Q16" s="23" t="s">
        <v>123</v>
      </c>
      <c r="R16" s="23" t="s">
        <v>123</v>
      </c>
      <c r="S16" s="23"/>
      <c r="T16" s="23"/>
      <c r="U16" s="23" t="s">
        <v>123</v>
      </c>
      <c r="V16" s="23" t="s">
        <v>123</v>
      </c>
      <c r="W16" s="23" t="s">
        <v>123</v>
      </c>
      <c r="X16" s="23" t="s">
        <v>123</v>
      </c>
      <c r="Y16" s="23" t="s">
        <v>123</v>
      </c>
      <c r="Z16" s="23"/>
      <c r="AA16" s="23"/>
      <c r="AB16" s="23" t="s">
        <v>123</v>
      </c>
      <c r="AC16" s="23" t="s">
        <v>123</v>
      </c>
      <c r="AD16" s="23" t="s">
        <v>123</v>
      </c>
      <c r="AE16" s="23" t="s">
        <v>123</v>
      </c>
      <c r="AF16" s="23" t="s">
        <v>123</v>
      </c>
      <c r="AG16" s="23"/>
      <c r="AH16" s="23"/>
      <c r="AI16" s="23" t="s">
        <v>123</v>
      </c>
      <c r="AJ16" s="23" t="s">
        <v>123</v>
      </c>
      <c r="AK16" s="23" t="s">
        <v>123</v>
      </c>
      <c r="AL16" s="22">
        <f t="shared" si="2"/>
        <v>23</v>
      </c>
    </row>
    <row r="17" spans="2:38" x14ac:dyDescent="0.3">
      <c r="B17" s="23">
        <v>10</v>
      </c>
      <c r="C17" s="35" t="s">
        <v>44</v>
      </c>
      <c r="D17" s="35" t="s">
        <v>45</v>
      </c>
      <c r="E17" s="35" t="s">
        <v>26</v>
      </c>
      <c r="F17" s="35" t="s">
        <v>439</v>
      </c>
      <c r="G17" s="23" t="s">
        <v>124</v>
      </c>
      <c r="H17" s="23" t="s">
        <v>124</v>
      </c>
      <c r="I17" s="23" t="s">
        <v>124</v>
      </c>
      <c r="J17" s="23" t="s">
        <v>123</v>
      </c>
      <c r="K17" s="23" t="s">
        <v>123</v>
      </c>
      <c r="L17" s="23"/>
      <c r="M17" s="23"/>
      <c r="N17" s="23" t="s">
        <v>123</v>
      </c>
      <c r="O17" s="23" t="s">
        <v>123</v>
      </c>
      <c r="P17" s="23" t="s">
        <v>123</v>
      </c>
      <c r="Q17" s="23" t="s">
        <v>123</v>
      </c>
      <c r="R17" s="23" t="s">
        <v>123</v>
      </c>
      <c r="S17" s="23"/>
      <c r="T17" s="23"/>
      <c r="U17" s="23" t="s">
        <v>123</v>
      </c>
      <c r="V17" s="23" t="s">
        <v>123</v>
      </c>
      <c r="W17" s="23" t="s">
        <v>123</v>
      </c>
      <c r="X17" s="23" t="s">
        <v>123</v>
      </c>
      <c r="Y17" s="23" t="s">
        <v>123</v>
      </c>
      <c r="Z17" s="23"/>
      <c r="AA17" s="23"/>
      <c r="AB17" s="23" t="s">
        <v>123</v>
      </c>
      <c r="AC17" s="23" t="s">
        <v>123</v>
      </c>
      <c r="AD17" s="23" t="s">
        <v>123</v>
      </c>
      <c r="AE17" s="23" t="s">
        <v>123</v>
      </c>
      <c r="AF17" s="23" t="s">
        <v>123</v>
      </c>
      <c r="AG17" s="23"/>
      <c r="AH17" s="23"/>
      <c r="AI17" s="23" t="s">
        <v>123</v>
      </c>
      <c r="AJ17" s="23" t="s">
        <v>123</v>
      </c>
      <c r="AK17" s="23" t="s">
        <v>123</v>
      </c>
      <c r="AL17" s="22">
        <f t="shared" si="2"/>
        <v>23</v>
      </c>
    </row>
    <row r="18" spans="2:38" x14ac:dyDescent="0.3">
      <c r="B18" s="23">
        <v>11</v>
      </c>
      <c r="C18" s="35" t="s">
        <v>47</v>
      </c>
      <c r="D18" s="35" t="s">
        <v>48</v>
      </c>
      <c r="E18" s="35" t="s">
        <v>26</v>
      </c>
      <c r="F18" s="35" t="s">
        <v>439</v>
      </c>
      <c r="G18" s="23" t="s">
        <v>124</v>
      </c>
      <c r="H18" s="23" t="s">
        <v>124</v>
      </c>
      <c r="I18" s="23" t="s">
        <v>124</v>
      </c>
      <c r="J18" s="23" t="s">
        <v>123</v>
      </c>
      <c r="K18" s="23" t="s">
        <v>123</v>
      </c>
      <c r="L18" s="23"/>
      <c r="M18" s="23"/>
      <c r="N18" s="23" t="s">
        <v>123</v>
      </c>
      <c r="O18" s="23" t="s">
        <v>123</v>
      </c>
      <c r="P18" s="23" t="s">
        <v>123</v>
      </c>
      <c r="Q18" s="23" t="s">
        <v>123</v>
      </c>
      <c r="R18" s="23" t="s">
        <v>123</v>
      </c>
      <c r="S18" s="23"/>
      <c r="T18" s="23"/>
      <c r="U18" s="23" t="s">
        <v>123</v>
      </c>
      <c r="V18" s="23" t="s">
        <v>123</v>
      </c>
      <c r="W18" s="23" t="s">
        <v>123</v>
      </c>
      <c r="X18" s="23" t="s">
        <v>123</v>
      </c>
      <c r="Y18" s="23" t="s">
        <v>123</v>
      </c>
      <c r="Z18" s="23"/>
      <c r="AA18" s="23"/>
      <c r="AB18" s="23" t="s">
        <v>123</v>
      </c>
      <c r="AC18" s="23" t="s">
        <v>123</v>
      </c>
      <c r="AD18" s="23" t="s">
        <v>123</v>
      </c>
      <c r="AE18" s="23" t="s">
        <v>123</v>
      </c>
      <c r="AF18" s="23" t="s">
        <v>123</v>
      </c>
      <c r="AG18" s="23"/>
      <c r="AH18" s="23"/>
      <c r="AI18" s="23" t="s">
        <v>123</v>
      </c>
      <c r="AJ18" s="23" t="s">
        <v>123</v>
      </c>
      <c r="AK18" s="23" t="s">
        <v>123</v>
      </c>
      <c r="AL18" s="22">
        <f t="shared" si="2"/>
        <v>23</v>
      </c>
    </row>
    <row r="19" spans="2:38" x14ac:dyDescent="0.3">
      <c r="B19" s="23">
        <v>12</v>
      </c>
      <c r="C19" s="35" t="s">
        <v>49</v>
      </c>
      <c r="D19" s="35" t="s">
        <v>50</v>
      </c>
      <c r="E19" s="35" t="s">
        <v>26</v>
      </c>
      <c r="F19" s="35" t="s">
        <v>439</v>
      </c>
      <c r="G19" s="23" t="s">
        <v>124</v>
      </c>
      <c r="H19" s="23" t="s">
        <v>124</v>
      </c>
      <c r="I19" s="23" t="s">
        <v>124</v>
      </c>
      <c r="J19" s="23" t="s">
        <v>123</v>
      </c>
      <c r="K19" s="23" t="s">
        <v>123</v>
      </c>
      <c r="L19" s="23"/>
      <c r="M19" s="23"/>
      <c r="N19" s="23" t="s">
        <v>123</v>
      </c>
      <c r="O19" s="23" t="s">
        <v>123</v>
      </c>
      <c r="P19" s="23" t="s">
        <v>123</v>
      </c>
      <c r="Q19" s="23" t="s">
        <v>123</v>
      </c>
      <c r="R19" s="23" t="s">
        <v>123</v>
      </c>
      <c r="S19" s="23"/>
      <c r="T19" s="23"/>
      <c r="U19" s="23" t="s">
        <v>123</v>
      </c>
      <c r="V19" s="23" t="s">
        <v>123</v>
      </c>
      <c r="W19" s="23" t="s">
        <v>123</v>
      </c>
      <c r="X19" s="23" t="s">
        <v>123</v>
      </c>
      <c r="Y19" s="23" t="s">
        <v>123</v>
      </c>
      <c r="Z19" s="23"/>
      <c r="AA19" s="23"/>
      <c r="AB19" s="23" t="s">
        <v>123</v>
      </c>
      <c r="AC19" s="23" t="s">
        <v>123</v>
      </c>
      <c r="AD19" s="23" t="s">
        <v>123</v>
      </c>
      <c r="AE19" s="23" t="s">
        <v>123</v>
      </c>
      <c r="AF19" s="23" t="s">
        <v>123</v>
      </c>
      <c r="AG19" s="23"/>
      <c r="AH19" s="23"/>
      <c r="AI19" s="23" t="s">
        <v>123</v>
      </c>
      <c r="AJ19" s="23" t="s">
        <v>123</v>
      </c>
      <c r="AK19" s="23" t="s">
        <v>123</v>
      </c>
      <c r="AL19" s="22">
        <f t="shared" si="2"/>
        <v>23</v>
      </c>
    </row>
    <row r="20" spans="2:38" x14ac:dyDescent="0.3">
      <c r="B20" s="23">
        <v>13</v>
      </c>
      <c r="C20" s="35" t="s">
        <v>51</v>
      </c>
      <c r="D20" s="35" t="s">
        <v>52</v>
      </c>
      <c r="E20" s="35" t="s">
        <v>26</v>
      </c>
      <c r="F20" s="35" t="s">
        <v>439</v>
      </c>
      <c r="G20" s="23" t="s">
        <v>124</v>
      </c>
      <c r="H20" s="23" t="s">
        <v>124</v>
      </c>
      <c r="I20" s="23" t="s">
        <v>124</v>
      </c>
      <c r="J20" s="23" t="s">
        <v>123</v>
      </c>
      <c r="K20" s="23" t="s">
        <v>123</v>
      </c>
      <c r="L20" s="23"/>
      <c r="M20" s="23"/>
      <c r="N20" s="23" t="s">
        <v>123</v>
      </c>
      <c r="O20" s="23" t="s">
        <v>123</v>
      </c>
      <c r="P20" s="23" t="s">
        <v>123</v>
      </c>
      <c r="Q20" s="23" t="s">
        <v>123</v>
      </c>
      <c r="R20" s="23" t="s">
        <v>123</v>
      </c>
      <c r="S20" s="23"/>
      <c r="T20" s="23"/>
      <c r="U20" s="23" t="s">
        <v>123</v>
      </c>
      <c r="V20" s="23" t="s">
        <v>123</v>
      </c>
      <c r="W20" s="23" t="s">
        <v>123</v>
      </c>
      <c r="X20" s="23" t="s">
        <v>123</v>
      </c>
      <c r="Y20" s="23" t="s">
        <v>123</v>
      </c>
      <c r="Z20" s="23"/>
      <c r="AA20" s="23"/>
      <c r="AB20" s="23" t="s">
        <v>123</v>
      </c>
      <c r="AC20" s="23" t="s">
        <v>123</v>
      </c>
      <c r="AD20" s="23" t="s">
        <v>123</v>
      </c>
      <c r="AE20" s="23" t="s">
        <v>123</v>
      </c>
      <c r="AF20" s="23" t="s">
        <v>123</v>
      </c>
      <c r="AG20" s="23"/>
      <c r="AH20" s="23"/>
      <c r="AI20" s="23" t="s">
        <v>123</v>
      </c>
      <c r="AJ20" s="23" t="s">
        <v>123</v>
      </c>
      <c r="AK20" s="23" t="s">
        <v>123</v>
      </c>
      <c r="AL20" s="22">
        <f t="shared" si="2"/>
        <v>23</v>
      </c>
    </row>
    <row r="21" spans="2:38" x14ac:dyDescent="0.3">
      <c r="B21" s="23">
        <v>14</v>
      </c>
      <c r="C21" s="35" t="s">
        <v>53</v>
      </c>
      <c r="D21" s="35" t="s">
        <v>54</v>
      </c>
      <c r="E21" s="35" t="s">
        <v>26</v>
      </c>
      <c r="F21" s="35" t="s">
        <v>439</v>
      </c>
      <c r="G21" s="23" t="s">
        <v>124</v>
      </c>
      <c r="H21" s="23" t="s">
        <v>124</v>
      </c>
      <c r="I21" s="23" t="s">
        <v>124</v>
      </c>
      <c r="J21" s="23" t="s">
        <v>123</v>
      </c>
      <c r="K21" s="23" t="s">
        <v>123</v>
      </c>
      <c r="L21" s="23"/>
      <c r="M21" s="23"/>
      <c r="N21" s="23" t="s">
        <v>123</v>
      </c>
      <c r="O21" s="23" t="s">
        <v>123</v>
      </c>
      <c r="P21" s="23" t="s">
        <v>123</v>
      </c>
      <c r="Q21" s="23" t="s">
        <v>123</v>
      </c>
      <c r="R21" s="23" t="s">
        <v>123</v>
      </c>
      <c r="S21" s="23"/>
      <c r="T21" s="23"/>
      <c r="U21" s="23" t="s">
        <v>123</v>
      </c>
      <c r="V21" s="23" t="s">
        <v>123</v>
      </c>
      <c r="W21" s="23" t="s">
        <v>123</v>
      </c>
      <c r="X21" s="23" t="s">
        <v>123</v>
      </c>
      <c r="Y21" s="23" t="s">
        <v>123</v>
      </c>
      <c r="Z21" s="23"/>
      <c r="AA21" s="23"/>
      <c r="AB21" s="23" t="s">
        <v>123</v>
      </c>
      <c r="AC21" s="23" t="s">
        <v>123</v>
      </c>
      <c r="AD21" s="23" t="s">
        <v>123</v>
      </c>
      <c r="AE21" s="23" t="s">
        <v>123</v>
      </c>
      <c r="AF21" s="23" t="s">
        <v>123</v>
      </c>
      <c r="AG21" s="23"/>
      <c r="AH21" s="23"/>
      <c r="AI21" s="23" t="s">
        <v>123</v>
      </c>
      <c r="AJ21" s="23" t="s">
        <v>123</v>
      </c>
      <c r="AK21" s="23" t="s">
        <v>123</v>
      </c>
      <c r="AL21" s="22">
        <f t="shared" si="2"/>
        <v>23</v>
      </c>
    </row>
    <row r="22" spans="2:38" x14ac:dyDescent="0.3">
      <c r="B22" s="23">
        <v>15</v>
      </c>
      <c r="C22" s="35" t="s">
        <v>55</v>
      </c>
      <c r="D22" s="35" t="s">
        <v>56</v>
      </c>
      <c r="E22" s="35" t="s">
        <v>26</v>
      </c>
      <c r="F22" s="35" t="s">
        <v>439</v>
      </c>
      <c r="G22" s="23" t="s">
        <v>124</v>
      </c>
      <c r="H22" s="23" t="s">
        <v>124</v>
      </c>
      <c r="I22" s="23" t="s">
        <v>124</v>
      </c>
      <c r="J22" s="23" t="s">
        <v>123</v>
      </c>
      <c r="K22" s="23" t="s">
        <v>123</v>
      </c>
      <c r="L22" s="23"/>
      <c r="M22" s="23"/>
      <c r="N22" s="23" t="s">
        <v>123</v>
      </c>
      <c r="O22" s="23" t="s">
        <v>123</v>
      </c>
      <c r="P22" s="23" t="s">
        <v>123</v>
      </c>
      <c r="Q22" s="23" t="s">
        <v>123</v>
      </c>
      <c r="R22" s="23" t="s">
        <v>123</v>
      </c>
      <c r="S22" s="23"/>
      <c r="T22" s="23"/>
      <c r="U22" s="23" t="s">
        <v>123</v>
      </c>
      <c r="V22" s="23" t="s">
        <v>123</v>
      </c>
      <c r="W22" s="23" t="s">
        <v>123</v>
      </c>
      <c r="X22" s="23" t="s">
        <v>123</v>
      </c>
      <c r="Y22" s="23" t="s">
        <v>123</v>
      </c>
      <c r="Z22" s="23"/>
      <c r="AA22" s="23"/>
      <c r="AB22" s="23" t="s">
        <v>123</v>
      </c>
      <c r="AC22" s="23" t="s">
        <v>123</v>
      </c>
      <c r="AD22" s="23" t="s">
        <v>123</v>
      </c>
      <c r="AE22" s="23" t="s">
        <v>123</v>
      </c>
      <c r="AF22" s="23" t="s">
        <v>123</v>
      </c>
      <c r="AG22" s="23"/>
      <c r="AH22" s="23"/>
      <c r="AI22" s="23" t="s">
        <v>123</v>
      </c>
      <c r="AJ22" s="23" t="s">
        <v>123</v>
      </c>
      <c r="AK22" s="23" t="s">
        <v>123</v>
      </c>
      <c r="AL22" s="22">
        <f t="shared" si="2"/>
        <v>23</v>
      </c>
    </row>
    <row r="25" spans="2:38" x14ac:dyDescent="0.3">
      <c r="W25" s="253">
        <f>IF(CHE_DO_NGHI=1,WORKDAY.INTL(EOMONTH(DATE(P5,L5,1),0)+1,-1,1,INDEX(DATA_NGHI_LE[],0,1)),WORKDAY.INTL(EOMONTH(DATE(P5,L5,1),0)+1,-1,11,INDEX(DATA_NGHI_LE[],0,1)))</f>
        <v>45077</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7" priority="1">
      <formula>IF(AND(CHE_DO_NGHI=1,OR(G$7="Chủ nhật",G$7="Thứ Bảy")),TRUE,IF(AND(CHE_DO_NGHI=2,G$7="Chủ nhật"),TRUE,FALSE))</formula>
    </cfRule>
  </conditionalFormatting>
  <pageMargins left="0.7" right="0.7" top="0.75" bottom="0.75" header="0.3" footer="0.3"/>
  <pageSetup paperSize="9" scale="72" fitToHeight="0" orientation="landscape" cellComments="atEnd"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A7C5E-DF48-4885-A817-3DE90EC2899B}">
  <sheetPr codeName="Sheet150">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6" width="3.33203125" style="5" customWidth="1"/>
    <col min="37" max="37" width="3.33203125" style="5" hidden="1"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6</v>
      </c>
      <c r="M5" s="252"/>
      <c r="N5" s="251" t="s">
        <v>93</v>
      </c>
      <c r="O5" s="251"/>
      <c r="P5" s="250">
        <f>Nam_Bang_Luong</f>
        <v>2023</v>
      </c>
      <c r="Q5" s="250"/>
    </row>
    <row r="6" spans="2:38" x14ac:dyDescent="0.3">
      <c r="B6" s="220" t="s">
        <v>5</v>
      </c>
      <c r="C6" s="220" t="s">
        <v>91</v>
      </c>
      <c r="D6" s="220" t="s">
        <v>6</v>
      </c>
      <c r="E6" s="220" t="s">
        <v>8</v>
      </c>
      <c r="F6" s="220" t="s">
        <v>7</v>
      </c>
      <c r="G6" s="20">
        <f>DATE(P5,L5,1)</f>
        <v>45078</v>
      </c>
      <c r="H6" s="20">
        <f>G6+1</f>
        <v>45079</v>
      </c>
      <c r="I6" s="20">
        <f t="shared" ref="I6:AK6" si="0">H6+1</f>
        <v>45080</v>
      </c>
      <c r="J6" s="20">
        <f t="shared" si="0"/>
        <v>45081</v>
      </c>
      <c r="K6" s="20">
        <f t="shared" si="0"/>
        <v>45082</v>
      </c>
      <c r="L6" s="20">
        <f t="shared" si="0"/>
        <v>45083</v>
      </c>
      <c r="M6" s="20">
        <f t="shared" si="0"/>
        <v>45084</v>
      </c>
      <c r="N6" s="20">
        <f t="shared" si="0"/>
        <v>45085</v>
      </c>
      <c r="O6" s="20">
        <f t="shared" si="0"/>
        <v>45086</v>
      </c>
      <c r="P6" s="20">
        <f t="shared" si="0"/>
        <v>45087</v>
      </c>
      <c r="Q6" s="20">
        <f t="shared" si="0"/>
        <v>45088</v>
      </c>
      <c r="R6" s="20">
        <f t="shared" si="0"/>
        <v>45089</v>
      </c>
      <c r="S6" s="20">
        <f t="shared" si="0"/>
        <v>45090</v>
      </c>
      <c r="T6" s="20">
        <f t="shared" si="0"/>
        <v>45091</v>
      </c>
      <c r="U6" s="20">
        <f t="shared" si="0"/>
        <v>45092</v>
      </c>
      <c r="V6" s="20">
        <f t="shared" si="0"/>
        <v>45093</v>
      </c>
      <c r="W6" s="20">
        <f t="shared" si="0"/>
        <v>45094</v>
      </c>
      <c r="X6" s="20">
        <f t="shared" si="0"/>
        <v>45095</v>
      </c>
      <c r="Y6" s="20">
        <f t="shared" si="0"/>
        <v>45096</v>
      </c>
      <c r="Z6" s="20">
        <f t="shared" si="0"/>
        <v>45097</v>
      </c>
      <c r="AA6" s="20">
        <f t="shared" si="0"/>
        <v>45098</v>
      </c>
      <c r="AB6" s="20">
        <f t="shared" si="0"/>
        <v>45099</v>
      </c>
      <c r="AC6" s="20">
        <f t="shared" si="0"/>
        <v>45100</v>
      </c>
      <c r="AD6" s="20">
        <f t="shared" si="0"/>
        <v>45101</v>
      </c>
      <c r="AE6" s="20">
        <f t="shared" si="0"/>
        <v>45102</v>
      </c>
      <c r="AF6" s="20">
        <f t="shared" si="0"/>
        <v>45103</v>
      </c>
      <c r="AG6" s="20">
        <f t="shared" si="0"/>
        <v>45104</v>
      </c>
      <c r="AH6" s="20">
        <f t="shared" si="0"/>
        <v>45105</v>
      </c>
      <c r="AI6" s="20">
        <f t="shared" si="0"/>
        <v>45106</v>
      </c>
      <c r="AJ6" s="20">
        <f t="shared" si="0"/>
        <v>45107</v>
      </c>
      <c r="AK6" s="20">
        <f t="shared" si="0"/>
        <v>45108</v>
      </c>
      <c r="AL6" s="217" t="s">
        <v>107</v>
      </c>
    </row>
    <row r="7" spans="2:38" ht="46.2" x14ac:dyDescent="0.3">
      <c r="B7" s="220"/>
      <c r="C7" s="220"/>
      <c r="D7" s="220"/>
      <c r="E7" s="220"/>
      <c r="F7" s="220"/>
      <c r="G7" s="21" t="str">
        <f>TEXT(G6,"[$-042A]dddd")</f>
        <v>Thứ Năm</v>
      </c>
      <c r="H7" s="21" t="str">
        <f t="shared" ref="H7:AK7" si="1">TEXT(H6,"[$-042A]dddd")</f>
        <v>Thứ Sáu</v>
      </c>
      <c r="I7" s="21" t="str">
        <f t="shared" si="1"/>
        <v>Thứ Bảy</v>
      </c>
      <c r="J7" s="21" t="str">
        <f t="shared" si="1"/>
        <v>Chủ Nhật</v>
      </c>
      <c r="K7" s="21" t="str">
        <f t="shared" si="1"/>
        <v>Thứ Hai</v>
      </c>
      <c r="L7" s="21" t="str">
        <f t="shared" si="1"/>
        <v>Thứ Ba</v>
      </c>
      <c r="M7" s="21" t="str">
        <f t="shared" si="1"/>
        <v>Thứ Tư</v>
      </c>
      <c r="N7" s="21" t="str">
        <f t="shared" si="1"/>
        <v>Thứ Năm</v>
      </c>
      <c r="O7" s="21" t="str">
        <f t="shared" si="1"/>
        <v>Thứ Sáu</v>
      </c>
      <c r="P7" s="21" t="str">
        <f t="shared" si="1"/>
        <v>Thứ Bảy</v>
      </c>
      <c r="Q7" s="21" t="str">
        <f t="shared" si="1"/>
        <v>Chủ Nhật</v>
      </c>
      <c r="R7" s="21" t="str">
        <f t="shared" si="1"/>
        <v>Thứ Hai</v>
      </c>
      <c r="S7" s="21" t="str">
        <f t="shared" si="1"/>
        <v>Thứ Ba</v>
      </c>
      <c r="T7" s="21" t="str">
        <f t="shared" si="1"/>
        <v>Thứ Tư</v>
      </c>
      <c r="U7" s="21" t="str">
        <f t="shared" si="1"/>
        <v>Thứ Năm</v>
      </c>
      <c r="V7" s="21" t="str">
        <f t="shared" si="1"/>
        <v>Thứ Sáu</v>
      </c>
      <c r="W7" s="21" t="str">
        <f t="shared" si="1"/>
        <v>Thứ Bảy</v>
      </c>
      <c r="X7" s="21" t="str">
        <f t="shared" si="1"/>
        <v>Chủ Nhật</v>
      </c>
      <c r="Y7" s="21" t="str">
        <f t="shared" si="1"/>
        <v>Thứ Hai</v>
      </c>
      <c r="Z7" s="21" t="str">
        <f t="shared" si="1"/>
        <v>Thứ Ba</v>
      </c>
      <c r="AA7" s="21" t="str">
        <f t="shared" si="1"/>
        <v>Thứ Tư</v>
      </c>
      <c r="AB7" s="21" t="str">
        <f t="shared" si="1"/>
        <v>Thứ Năm</v>
      </c>
      <c r="AC7" s="21" t="str">
        <f t="shared" si="1"/>
        <v>Thứ Sáu</v>
      </c>
      <c r="AD7" s="21" t="str">
        <f t="shared" si="1"/>
        <v>Thứ Bảy</v>
      </c>
      <c r="AE7" s="21" t="str">
        <f t="shared" si="1"/>
        <v>Chủ Nhật</v>
      </c>
      <c r="AF7" s="21" t="str">
        <f t="shared" si="1"/>
        <v>Thứ Hai</v>
      </c>
      <c r="AG7" s="21" t="str">
        <f t="shared" si="1"/>
        <v>Thứ Ba</v>
      </c>
      <c r="AH7" s="21" t="str">
        <f t="shared" si="1"/>
        <v>Thứ Tư</v>
      </c>
      <c r="AI7" s="21" t="str">
        <f t="shared" si="1"/>
        <v>Thứ Năm</v>
      </c>
      <c r="AJ7" s="21" t="str">
        <f t="shared" si="1"/>
        <v>Thứ Sáu</v>
      </c>
      <c r="AK7" s="21" t="str">
        <f t="shared" si="1"/>
        <v>Thứ Bảy</v>
      </c>
      <c r="AL7" s="217"/>
    </row>
    <row r="8" spans="2:38" x14ac:dyDescent="0.3">
      <c r="B8" s="23">
        <v>1</v>
      </c>
      <c r="C8" s="35" t="s">
        <v>9</v>
      </c>
      <c r="D8" s="35" t="s">
        <v>10</v>
      </c>
      <c r="E8" s="35" t="s">
        <v>11</v>
      </c>
      <c r="F8" s="35" t="s">
        <v>438</v>
      </c>
      <c r="G8" s="23" t="s">
        <v>123</v>
      </c>
      <c r="H8" s="23" t="s">
        <v>123</v>
      </c>
      <c r="I8" s="23"/>
      <c r="J8" s="23"/>
      <c r="K8" s="23" t="s">
        <v>123</v>
      </c>
      <c r="L8" s="24" t="s">
        <v>123</v>
      </c>
      <c r="M8" s="24" t="s">
        <v>123</v>
      </c>
      <c r="N8" s="24" t="s">
        <v>123</v>
      </c>
      <c r="O8" s="24" t="s">
        <v>123</v>
      </c>
      <c r="P8" s="24"/>
      <c r="Q8" s="24"/>
      <c r="R8" s="24" t="s">
        <v>123</v>
      </c>
      <c r="S8" s="24" t="s">
        <v>123</v>
      </c>
      <c r="T8" s="23" t="s">
        <v>123</v>
      </c>
      <c r="U8" s="23" t="s">
        <v>123</v>
      </c>
      <c r="V8" s="23" t="s">
        <v>123</v>
      </c>
      <c r="W8" s="23"/>
      <c r="X8" s="23"/>
      <c r="Y8" s="23" t="s">
        <v>123</v>
      </c>
      <c r="Z8" s="23" t="s">
        <v>123</v>
      </c>
      <c r="AA8" s="23" t="s">
        <v>123</v>
      </c>
      <c r="AB8" s="23" t="s">
        <v>123</v>
      </c>
      <c r="AC8" s="23" t="s">
        <v>123</v>
      </c>
      <c r="AD8" s="23"/>
      <c r="AE8" s="23"/>
      <c r="AF8" s="23" t="s">
        <v>123</v>
      </c>
      <c r="AG8" s="23" t="s">
        <v>123</v>
      </c>
      <c r="AH8" s="23" t="s">
        <v>123</v>
      </c>
      <c r="AI8" s="23" t="s">
        <v>123</v>
      </c>
      <c r="AJ8" s="23" t="s">
        <v>123</v>
      </c>
      <c r="AK8" s="23"/>
      <c r="AL8" s="22">
        <f t="shared" ref="AL8:AL22" si="2">COUNTIF(G8:AK8,"X")+0.5*COUNTIF(G8:AK8,"X/2")+COUNTIF(G8:AK8,"NL")</f>
        <v>22</v>
      </c>
    </row>
    <row r="9" spans="2:38" x14ac:dyDescent="0.3">
      <c r="B9" s="23">
        <v>2</v>
      </c>
      <c r="C9" s="35" t="s">
        <v>14</v>
      </c>
      <c r="D9" s="35" t="s">
        <v>15</v>
      </c>
      <c r="E9" s="35" t="s">
        <v>16</v>
      </c>
      <c r="F9" s="35" t="s">
        <v>438</v>
      </c>
      <c r="G9" s="23" t="s">
        <v>123</v>
      </c>
      <c r="H9" s="23" t="s">
        <v>123</v>
      </c>
      <c r="I9" s="23"/>
      <c r="J9" s="23"/>
      <c r="K9" s="23" t="s">
        <v>123</v>
      </c>
      <c r="L9" s="24" t="s">
        <v>123</v>
      </c>
      <c r="M9" s="24" t="s">
        <v>123</v>
      </c>
      <c r="N9" s="24" t="s">
        <v>123</v>
      </c>
      <c r="O9" s="24" t="s">
        <v>123</v>
      </c>
      <c r="P9" s="24"/>
      <c r="Q9" s="24"/>
      <c r="R9" s="24" t="s">
        <v>123</v>
      </c>
      <c r="S9" s="24" t="s">
        <v>123</v>
      </c>
      <c r="T9" s="23" t="s">
        <v>123</v>
      </c>
      <c r="U9" s="23" t="s">
        <v>123</v>
      </c>
      <c r="V9" s="23" t="s">
        <v>123</v>
      </c>
      <c r="W9" s="23"/>
      <c r="X9" s="23"/>
      <c r="Y9" s="23" t="s">
        <v>123</v>
      </c>
      <c r="Z9" s="23" t="s">
        <v>123</v>
      </c>
      <c r="AA9" s="23" t="s">
        <v>123</v>
      </c>
      <c r="AB9" s="23" t="s">
        <v>123</v>
      </c>
      <c r="AC9" s="23" t="s">
        <v>123</v>
      </c>
      <c r="AD9" s="23"/>
      <c r="AE9" s="23"/>
      <c r="AF9" s="23" t="s">
        <v>123</v>
      </c>
      <c r="AG9" s="23" t="s">
        <v>123</v>
      </c>
      <c r="AH9" s="23" t="s">
        <v>123</v>
      </c>
      <c r="AI9" s="23" t="s">
        <v>123</v>
      </c>
      <c r="AJ9" s="23" t="s">
        <v>123</v>
      </c>
      <c r="AK9" s="23"/>
      <c r="AL9" s="22">
        <f t="shared" si="2"/>
        <v>22</v>
      </c>
    </row>
    <row r="10" spans="2:38" x14ac:dyDescent="0.3">
      <c r="B10" s="23">
        <v>3</v>
      </c>
      <c r="C10" s="35" t="s">
        <v>19</v>
      </c>
      <c r="D10" s="35" t="s">
        <v>20</v>
      </c>
      <c r="E10" s="35" t="s">
        <v>21</v>
      </c>
      <c r="F10" s="35" t="s">
        <v>438</v>
      </c>
      <c r="G10" s="23" t="s">
        <v>123</v>
      </c>
      <c r="H10" s="23" t="s">
        <v>123</v>
      </c>
      <c r="I10" s="23"/>
      <c r="J10" s="23"/>
      <c r="K10" s="23" t="s">
        <v>123</v>
      </c>
      <c r="L10" s="24" t="s">
        <v>123</v>
      </c>
      <c r="M10" s="24" t="s">
        <v>123</v>
      </c>
      <c r="N10" s="24" t="s">
        <v>123</v>
      </c>
      <c r="O10" s="24" t="s">
        <v>123</v>
      </c>
      <c r="P10" s="24"/>
      <c r="Q10" s="24"/>
      <c r="R10" s="24" t="s">
        <v>123</v>
      </c>
      <c r="S10" s="24" t="s">
        <v>123</v>
      </c>
      <c r="T10" s="23" t="s">
        <v>123</v>
      </c>
      <c r="U10" s="23" t="s">
        <v>123</v>
      </c>
      <c r="V10" s="23" t="s">
        <v>123</v>
      </c>
      <c r="W10" s="23"/>
      <c r="X10" s="23"/>
      <c r="Y10" s="23" t="s">
        <v>123</v>
      </c>
      <c r="Z10" s="23" t="s">
        <v>123</v>
      </c>
      <c r="AA10" s="23" t="s">
        <v>123</v>
      </c>
      <c r="AB10" s="23" t="s">
        <v>123</v>
      </c>
      <c r="AC10" s="23" t="s">
        <v>123</v>
      </c>
      <c r="AD10" s="23"/>
      <c r="AE10" s="23"/>
      <c r="AF10" s="23" t="s">
        <v>123</v>
      </c>
      <c r="AG10" s="23" t="s">
        <v>123</v>
      </c>
      <c r="AH10" s="23" t="s">
        <v>123</v>
      </c>
      <c r="AI10" s="23" t="s">
        <v>123</v>
      </c>
      <c r="AJ10" s="23" t="s">
        <v>123</v>
      </c>
      <c r="AK10" s="23"/>
      <c r="AL10" s="22">
        <f t="shared" si="2"/>
        <v>22</v>
      </c>
    </row>
    <row r="11" spans="2:38" x14ac:dyDescent="0.3">
      <c r="B11" s="23">
        <v>4</v>
      </c>
      <c r="C11" s="35" t="s">
        <v>24</v>
      </c>
      <c r="D11" s="35" t="s">
        <v>25</v>
      </c>
      <c r="E11" s="35" t="s">
        <v>26</v>
      </c>
      <c r="F11" s="35" t="s">
        <v>439</v>
      </c>
      <c r="G11" s="23" t="s">
        <v>123</v>
      </c>
      <c r="H11" s="23" t="s">
        <v>123</v>
      </c>
      <c r="I11" s="23"/>
      <c r="J11" s="23"/>
      <c r="K11" s="23" t="s">
        <v>123</v>
      </c>
      <c r="L11" s="24" t="s">
        <v>123</v>
      </c>
      <c r="M11" s="24" t="s">
        <v>123</v>
      </c>
      <c r="N11" s="24" t="s">
        <v>123</v>
      </c>
      <c r="O11" s="24" t="s">
        <v>123</v>
      </c>
      <c r="P11" s="24"/>
      <c r="Q11" s="24"/>
      <c r="R11" s="24" t="s">
        <v>123</v>
      </c>
      <c r="S11" s="24" t="s">
        <v>123</v>
      </c>
      <c r="T11" s="23" t="s">
        <v>123</v>
      </c>
      <c r="U11" s="23" t="s">
        <v>123</v>
      </c>
      <c r="V11" s="23" t="s">
        <v>123</v>
      </c>
      <c r="W11" s="23"/>
      <c r="X11" s="23"/>
      <c r="Y11" s="23" t="s">
        <v>123</v>
      </c>
      <c r="Z11" s="23" t="s">
        <v>123</v>
      </c>
      <c r="AA11" s="23" t="s">
        <v>123</v>
      </c>
      <c r="AB11" s="23" t="s">
        <v>123</v>
      </c>
      <c r="AC11" s="23" t="s">
        <v>123</v>
      </c>
      <c r="AD11" s="23"/>
      <c r="AE11" s="23"/>
      <c r="AF11" s="23" t="s">
        <v>123</v>
      </c>
      <c r="AG11" s="23" t="s">
        <v>123</v>
      </c>
      <c r="AH11" s="23" t="s">
        <v>123</v>
      </c>
      <c r="AI11" s="23" t="s">
        <v>123</v>
      </c>
      <c r="AJ11" s="23" t="s">
        <v>123</v>
      </c>
      <c r="AK11" s="23"/>
      <c r="AL11" s="22">
        <f t="shared" si="2"/>
        <v>22</v>
      </c>
    </row>
    <row r="12" spans="2:38" x14ac:dyDescent="0.3">
      <c r="B12" s="23">
        <v>5</v>
      </c>
      <c r="C12" s="35" t="s">
        <v>29</v>
      </c>
      <c r="D12" s="35" t="s">
        <v>30</v>
      </c>
      <c r="E12" s="35" t="s">
        <v>26</v>
      </c>
      <c r="F12" s="35" t="s">
        <v>439</v>
      </c>
      <c r="G12" s="23" t="s">
        <v>123</v>
      </c>
      <c r="H12" s="23" t="s">
        <v>123</v>
      </c>
      <c r="I12" s="23"/>
      <c r="J12" s="23"/>
      <c r="K12" s="23" t="s">
        <v>123</v>
      </c>
      <c r="L12" s="23" t="s">
        <v>123</v>
      </c>
      <c r="M12" s="23" t="s">
        <v>123</v>
      </c>
      <c r="N12" s="23" t="s">
        <v>123</v>
      </c>
      <c r="O12" s="23" t="s">
        <v>123</v>
      </c>
      <c r="P12" s="23"/>
      <c r="Q12" s="23"/>
      <c r="R12" s="23" t="s">
        <v>123</v>
      </c>
      <c r="S12" s="23" t="s">
        <v>123</v>
      </c>
      <c r="T12" s="23" t="s">
        <v>123</v>
      </c>
      <c r="U12" s="23" t="s">
        <v>123</v>
      </c>
      <c r="V12" s="23" t="s">
        <v>123</v>
      </c>
      <c r="W12" s="23"/>
      <c r="X12" s="23"/>
      <c r="Y12" s="23" t="s">
        <v>123</v>
      </c>
      <c r="Z12" s="23" t="s">
        <v>123</v>
      </c>
      <c r="AA12" s="23" t="s">
        <v>123</v>
      </c>
      <c r="AB12" s="23" t="s">
        <v>123</v>
      </c>
      <c r="AC12" s="23" t="s">
        <v>123</v>
      </c>
      <c r="AD12" s="23"/>
      <c r="AE12" s="23"/>
      <c r="AF12" s="23" t="s">
        <v>123</v>
      </c>
      <c r="AG12" s="23" t="s">
        <v>123</v>
      </c>
      <c r="AH12" s="23" t="s">
        <v>123</v>
      </c>
      <c r="AI12" s="23" t="s">
        <v>123</v>
      </c>
      <c r="AJ12" s="23" t="s">
        <v>123</v>
      </c>
      <c r="AK12" s="23"/>
      <c r="AL12" s="22">
        <f t="shared" si="2"/>
        <v>22</v>
      </c>
    </row>
    <row r="13" spans="2:38" x14ac:dyDescent="0.3">
      <c r="B13" s="23">
        <v>6</v>
      </c>
      <c r="C13" s="35" t="s">
        <v>32</v>
      </c>
      <c r="D13" s="35" t="s">
        <v>33</v>
      </c>
      <c r="E13" s="35" t="s">
        <v>26</v>
      </c>
      <c r="F13" s="35" t="s">
        <v>439</v>
      </c>
      <c r="G13" s="23" t="s">
        <v>123</v>
      </c>
      <c r="H13" s="23" t="s">
        <v>123</v>
      </c>
      <c r="I13" s="23"/>
      <c r="J13" s="23"/>
      <c r="K13" s="23" t="s">
        <v>123</v>
      </c>
      <c r="L13" s="23" t="s">
        <v>123</v>
      </c>
      <c r="M13" s="23" t="s">
        <v>123</v>
      </c>
      <c r="N13" s="23" t="s">
        <v>123</v>
      </c>
      <c r="O13" s="23" t="s">
        <v>123</v>
      </c>
      <c r="P13" s="23"/>
      <c r="Q13" s="23"/>
      <c r="R13" s="23" t="s">
        <v>123</v>
      </c>
      <c r="S13" s="23" t="s">
        <v>123</v>
      </c>
      <c r="T13" s="23" t="s">
        <v>123</v>
      </c>
      <c r="U13" s="23" t="s">
        <v>123</v>
      </c>
      <c r="V13" s="23" t="s">
        <v>123</v>
      </c>
      <c r="W13" s="23"/>
      <c r="X13" s="23"/>
      <c r="Y13" s="23" t="s">
        <v>123</v>
      </c>
      <c r="Z13" s="23" t="s">
        <v>123</v>
      </c>
      <c r="AA13" s="23" t="s">
        <v>123</v>
      </c>
      <c r="AB13" s="23" t="s">
        <v>123</v>
      </c>
      <c r="AC13" s="23" t="s">
        <v>123</v>
      </c>
      <c r="AD13" s="23"/>
      <c r="AE13" s="23"/>
      <c r="AF13" s="23" t="s">
        <v>123</v>
      </c>
      <c r="AG13" s="23" t="s">
        <v>123</v>
      </c>
      <c r="AH13" s="23" t="s">
        <v>123</v>
      </c>
      <c r="AI13" s="23" t="s">
        <v>123</v>
      </c>
      <c r="AJ13" s="23" t="s">
        <v>123</v>
      </c>
      <c r="AK13" s="23"/>
      <c r="AL13" s="22">
        <f t="shared" si="2"/>
        <v>22</v>
      </c>
    </row>
    <row r="14" spans="2:38" x14ac:dyDescent="0.3">
      <c r="B14" s="23">
        <v>7</v>
      </c>
      <c r="C14" s="35" t="s">
        <v>35</v>
      </c>
      <c r="D14" s="35" t="s">
        <v>36</v>
      </c>
      <c r="E14" s="35" t="s">
        <v>26</v>
      </c>
      <c r="F14" s="35" t="s">
        <v>439</v>
      </c>
      <c r="G14" s="23" t="s">
        <v>123</v>
      </c>
      <c r="H14" s="23" t="s">
        <v>123</v>
      </c>
      <c r="I14" s="23"/>
      <c r="J14" s="23"/>
      <c r="K14" s="23" t="s">
        <v>123</v>
      </c>
      <c r="L14" s="23" t="s">
        <v>123</v>
      </c>
      <c r="M14" s="23" t="s">
        <v>123</v>
      </c>
      <c r="N14" s="23" t="s">
        <v>123</v>
      </c>
      <c r="O14" s="23" t="s">
        <v>123</v>
      </c>
      <c r="P14" s="23"/>
      <c r="Q14" s="23"/>
      <c r="R14" s="23" t="s">
        <v>123</v>
      </c>
      <c r="S14" s="23" t="s">
        <v>123</v>
      </c>
      <c r="T14" s="23" t="s">
        <v>123</v>
      </c>
      <c r="U14" s="23" t="s">
        <v>123</v>
      </c>
      <c r="V14" s="23" t="s">
        <v>123</v>
      </c>
      <c r="W14" s="23"/>
      <c r="X14" s="23"/>
      <c r="Y14" s="23" t="s">
        <v>123</v>
      </c>
      <c r="Z14" s="23" t="s">
        <v>123</v>
      </c>
      <c r="AA14" s="23" t="s">
        <v>123</v>
      </c>
      <c r="AB14" s="23" t="s">
        <v>123</v>
      </c>
      <c r="AC14" s="23" t="s">
        <v>123</v>
      </c>
      <c r="AD14" s="23"/>
      <c r="AE14" s="23"/>
      <c r="AF14" s="23" t="s">
        <v>123</v>
      </c>
      <c r="AG14" s="23" t="s">
        <v>123</v>
      </c>
      <c r="AH14" s="23" t="s">
        <v>123</v>
      </c>
      <c r="AI14" s="23" t="s">
        <v>123</v>
      </c>
      <c r="AJ14" s="23" t="s">
        <v>123</v>
      </c>
      <c r="AK14" s="23"/>
      <c r="AL14" s="22">
        <f t="shared" si="2"/>
        <v>22</v>
      </c>
    </row>
    <row r="15" spans="2:38" x14ac:dyDescent="0.3">
      <c r="B15" s="23">
        <v>8</v>
      </c>
      <c r="C15" s="35" t="s">
        <v>38</v>
      </c>
      <c r="D15" s="35" t="s">
        <v>39</v>
      </c>
      <c r="E15" s="35" t="s">
        <v>26</v>
      </c>
      <c r="F15" s="35" t="s">
        <v>439</v>
      </c>
      <c r="G15" s="23" t="s">
        <v>123</v>
      </c>
      <c r="H15" s="23" t="s">
        <v>123</v>
      </c>
      <c r="I15" s="23"/>
      <c r="J15" s="23"/>
      <c r="K15" s="23" t="s">
        <v>123</v>
      </c>
      <c r="L15" s="23" t="s">
        <v>123</v>
      </c>
      <c r="M15" s="23" t="s">
        <v>123</v>
      </c>
      <c r="N15" s="23" t="s">
        <v>123</v>
      </c>
      <c r="O15" s="23" t="s">
        <v>123</v>
      </c>
      <c r="P15" s="23"/>
      <c r="Q15" s="23"/>
      <c r="R15" s="23" t="s">
        <v>123</v>
      </c>
      <c r="S15" s="23" t="s">
        <v>123</v>
      </c>
      <c r="T15" s="23" t="s">
        <v>123</v>
      </c>
      <c r="U15" s="23" t="s">
        <v>123</v>
      </c>
      <c r="V15" s="23" t="s">
        <v>123</v>
      </c>
      <c r="W15" s="23"/>
      <c r="X15" s="23"/>
      <c r="Y15" s="23" t="s">
        <v>123</v>
      </c>
      <c r="Z15" s="23" t="s">
        <v>123</v>
      </c>
      <c r="AA15" s="23" t="s">
        <v>123</v>
      </c>
      <c r="AB15" s="23" t="s">
        <v>123</v>
      </c>
      <c r="AC15" s="23" t="s">
        <v>123</v>
      </c>
      <c r="AD15" s="23"/>
      <c r="AE15" s="23"/>
      <c r="AF15" s="23" t="s">
        <v>123</v>
      </c>
      <c r="AG15" s="23" t="s">
        <v>123</v>
      </c>
      <c r="AH15" s="23" t="s">
        <v>123</v>
      </c>
      <c r="AI15" s="23" t="s">
        <v>123</v>
      </c>
      <c r="AJ15" s="23" t="s">
        <v>123</v>
      </c>
      <c r="AK15" s="23"/>
      <c r="AL15" s="22">
        <f t="shared" si="2"/>
        <v>22</v>
      </c>
    </row>
    <row r="16" spans="2:38" x14ac:dyDescent="0.3">
      <c r="B16" s="23">
        <v>9</v>
      </c>
      <c r="C16" s="35" t="s">
        <v>41</v>
      </c>
      <c r="D16" s="35" t="s">
        <v>42</v>
      </c>
      <c r="E16" s="35" t="s">
        <v>26</v>
      </c>
      <c r="F16" s="35" t="s">
        <v>439</v>
      </c>
      <c r="G16" s="23" t="s">
        <v>123</v>
      </c>
      <c r="H16" s="23" t="s">
        <v>123</v>
      </c>
      <c r="I16" s="23"/>
      <c r="J16" s="23"/>
      <c r="K16" s="23" t="s">
        <v>123</v>
      </c>
      <c r="L16" s="23" t="s">
        <v>123</v>
      </c>
      <c r="M16" s="23" t="s">
        <v>123</v>
      </c>
      <c r="N16" s="23" t="s">
        <v>123</v>
      </c>
      <c r="O16" s="23" t="s">
        <v>123</v>
      </c>
      <c r="P16" s="23"/>
      <c r="Q16" s="23"/>
      <c r="R16" s="23" t="s">
        <v>123</v>
      </c>
      <c r="S16" s="23" t="s">
        <v>123</v>
      </c>
      <c r="T16" s="23" t="s">
        <v>123</v>
      </c>
      <c r="U16" s="23" t="s">
        <v>123</v>
      </c>
      <c r="V16" s="23" t="s">
        <v>123</v>
      </c>
      <c r="W16" s="23"/>
      <c r="X16" s="23"/>
      <c r="Y16" s="23" t="s">
        <v>123</v>
      </c>
      <c r="Z16" s="23" t="s">
        <v>123</v>
      </c>
      <c r="AA16" s="23" t="s">
        <v>123</v>
      </c>
      <c r="AB16" s="23" t="s">
        <v>123</v>
      </c>
      <c r="AC16" s="23" t="s">
        <v>123</v>
      </c>
      <c r="AD16" s="23"/>
      <c r="AE16" s="23"/>
      <c r="AF16" s="23" t="s">
        <v>123</v>
      </c>
      <c r="AG16" s="23" t="s">
        <v>123</v>
      </c>
      <c r="AH16" s="23" t="s">
        <v>123</v>
      </c>
      <c r="AI16" s="23" t="s">
        <v>123</v>
      </c>
      <c r="AJ16" s="23" t="s">
        <v>123</v>
      </c>
      <c r="AK16" s="23"/>
      <c r="AL16" s="22">
        <f t="shared" si="2"/>
        <v>22</v>
      </c>
    </row>
    <row r="17" spans="2:38" x14ac:dyDescent="0.3">
      <c r="B17" s="23">
        <v>10</v>
      </c>
      <c r="C17" s="35" t="s">
        <v>44</v>
      </c>
      <c r="D17" s="35" t="s">
        <v>45</v>
      </c>
      <c r="E17" s="35" t="s">
        <v>26</v>
      </c>
      <c r="F17" s="35" t="s">
        <v>439</v>
      </c>
      <c r="G17" s="23" t="s">
        <v>123</v>
      </c>
      <c r="H17" s="23" t="s">
        <v>123</v>
      </c>
      <c r="I17" s="23"/>
      <c r="J17" s="23"/>
      <c r="K17" s="23" t="s">
        <v>123</v>
      </c>
      <c r="L17" s="23" t="s">
        <v>123</v>
      </c>
      <c r="M17" s="23" t="s">
        <v>123</v>
      </c>
      <c r="N17" s="23" t="s">
        <v>123</v>
      </c>
      <c r="O17" s="23" t="s">
        <v>123</v>
      </c>
      <c r="P17" s="23"/>
      <c r="Q17" s="23"/>
      <c r="R17" s="23" t="s">
        <v>123</v>
      </c>
      <c r="S17" s="23" t="s">
        <v>123</v>
      </c>
      <c r="T17" s="23" t="s">
        <v>123</v>
      </c>
      <c r="U17" s="23" t="s">
        <v>123</v>
      </c>
      <c r="V17" s="23" t="s">
        <v>123</v>
      </c>
      <c r="W17" s="23"/>
      <c r="X17" s="23"/>
      <c r="Y17" s="23" t="s">
        <v>123</v>
      </c>
      <c r="Z17" s="23" t="s">
        <v>123</v>
      </c>
      <c r="AA17" s="23" t="s">
        <v>123</v>
      </c>
      <c r="AB17" s="23" t="s">
        <v>123</v>
      </c>
      <c r="AC17" s="23" t="s">
        <v>123</v>
      </c>
      <c r="AD17" s="23"/>
      <c r="AE17" s="23"/>
      <c r="AF17" s="23" t="s">
        <v>123</v>
      </c>
      <c r="AG17" s="23" t="s">
        <v>123</v>
      </c>
      <c r="AH17" s="23" t="s">
        <v>123</v>
      </c>
      <c r="AI17" s="23" t="s">
        <v>123</v>
      </c>
      <c r="AJ17" s="23" t="s">
        <v>123</v>
      </c>
      <c r="AK17" s="23"/>
      <c r="AL17" s="22">
        <f t="shared" si="2"/>
        <v>22</v>
      </c>
    </row>
    <row r="18" spans="2:38" x14ac:dyDescent="0.3">
      <c r="B18" s="23">
        <v>11</v>
      </c>
      <c r="C18" s="35" t="s">
        <v>47</v>
      </c>
      <c r="D18" s="35" t="s">
        <v>48</v>
      </c>
      <c r="E18" s="35" t="s">
        <v>26</v>
      </c>
      <c r="F18" s="35" t="s">
        <v>439</v>
      </c>
      <c r="G18" s="23" t="s">
        <v>123</v>
      </c>
      <c r="H18" s="23" t="s">
        <v>123</v>
      </c>
      <c r="I18" s="23"/>
      <c r="J18" s="23"/>
      <c r="K18" s="23" t="s">
        <v>123</v>
      </c>
      <c r="L18" s="23" t="s">
        <v>123</v>
      </c>
      <c r="M18" s="23" t="s">
        <v>123</v>
      </c>
      <c r="N18" s="23" t="s">
        <v>123</v>
      </c>
      <c r="O18" s="23" t="s">
        <v>123</v>
      </c>
      <c r="P18" s="23"/>
      <c r="Q18" s="23"/>
      <c r="R18" s="23" t="s">
        <v>123</v>
      </c>
      <c r="S18" s="23" t="s">
        <v>123</v>
      </c>
      <c r="T18" s="23" t="s">
        <v>123</v>
      </c>
      <c r="U18" s="23" t="s">
        <v>123</v>
      </c>
      <c r="V18" s="23" t="s">
        <v>123</v>
      </c>
      <c r="W18" s="23"/>
      <c r="X18" s="23"/>
      <c r="Y18" s="23" t="s">
        <v>123</v>
      </c>
      <c r="Z18" s="23" t="s">
        <v>123</v>
      </c>
      <c r="AA18" s="23" t="s">
        <v>123</v>
      </c>
      <c r="AB18" s="23" t="s">
        <v>123</v>
      </c>
      <c r="AC18" s="23" t="s">
        <v>123</v>
      </c>
      <c r="AD18" s="23"/>
      <c r="AE18" s="23"/>
      <c r="AF18" s="23" t="s">
        <v>123</v>
      </c>
      <c r="AG18" s="23" t="s">
        <v>123</v>
      </c>
      <c r="AH18" s="23" t="s">
        <v>123</v>
      </c>
      <c r="AI18" s="23" t="s">
        <v>123</v>
      </c>
      <c r="AJ18" s="23" t="s">
        <v>123</v>
      </c>
      <c r="AK18" s="23"/>
      <c r="AL18" s="22">
        <f t="shared" si="2"/>
        <v>22</v>
      </c>
    </row>
    <row r="19" spans="2:38" x14ac:dyDescent="0.3">
      <c r="B19" s="23">
        <v>12</v>
      </c>
      <c r="C19" s="35" t="s">
        <v>49</v>
      </c>
      <c r="D19" s="35" t="s">
        <v>50</v>
      </c>
      <c r="E19" s="35" t="s">
        <v>26</v>
      </c>
      <c r="F19" s="35" t="s">
        <v>439</v>
      </c>
      <c r="G19" s="23" t="s">
        <v>123</v>
      </c>
      <c r="H19" s="23" t="s">
        <v>123</v>
      </c>
      <c r="I19" s="23"/>
      <c r="J19" s="23"/>
      <c r="K19" s="23" t="s">
        <v>123</v>
      </c>
      <c r="L19" s="23" t="s">
        <v>123</v>
      </c>
      <c r="M19" s="23" t="s">
        <v>123</v>
      </c>
      <c r="N19" s="23" t="s">
        <v>123</v>
      </c>
      <c r="O19" s="23" t="s">
        <v>123</v>
      </c>
      <c r="P19" s="23"/>
      <c r="Q19" s="23"/>
      <c r="R19" s="23" t="s">
        <v>123</v>
      </c>
      <c r="S19" s="23" t="s">
        <v>123</v>
      </c>
      <c r="T19" s="23" t="s">
        <v>123</v>
      </c>
      <c r="U19" s="23" t="s">
        <v>123</v>
      </c>
      <c r="V19" s="23" t="s">
        <v>123</v>
      </c>
      <c r="W19" s="23"/>
      <c r="X19" s="23"/>
      <c r="Y19" s="23" t="s">
        <v>123</v>
      </c>
      <c r="Z19" s="23" t="s">
        <v>123</v>
      </c>
      <c r="AA19" s="23" t="s">
        <v>123</v>
      </c>
      <c r="AB19" s="23" t="s">
        <v>123</v>
      </c>
      <c r="AC19" s="23" t="s">
        <v>123</v>
      </c>
      <c r="AD19" s="23"/>
      <c r="AE19" s="23"/>
      <c r="AF19" s="23" t="s">
        <v>123</v>
      </c>
      <c r="AG19" s="23" t="s">
        <v>123</v>
      </c>
      <c r="AH19" s="23" t="s">
        <v>123</v>
      </c>
      <c r="AI19" s="23" t="s">
        <v>123</v>
      </c>
      <c r="AJ19" s="23" t="s">
        <v>123</v>
      </c>
      <c r="AK19" s="23"/>
      <c r="AL19" s="22">
        <f t="shared" si="2"/>
        <v>22</v>
      </c>
    </row>
    <row r="20" spans="2:38" x14ac:dyDescent="0.3">
      <c r="B20" s="23">
        <v>13</v>
      </c>
      <c r="C20" s="35" t="s">
        <v>51</v>
      </c>
      <c r="D20" s="35" t="s">
        <v>52</v>
      </c>
      <c r="E20" s="35" t="s">
        <v>26</v>
      </c>
      <c r="F20" s="35" t="s">
        <v>439</v>
      </c>
      <c r="G20" s="23" t="s">
        <v>123</v>
      </c>
      <c r="H20" s="23" t="s">
        <v>123</v>
      </c>
      <c r="I20" s="23"/>
      <c r="J20" s="23"/>
      <c r="K20" s="23" t="s">
        <v>123</v>
      </c>
      <c r="L20" s="23" t="s">
        <v>123</v>
      </c>
      <c r="M20" s="23" t="s">
        <v>123</v>
      </c>
      <c r="N20" s="23" t="s">
        <v>123</v>
      </c>
      <c r="O20" s="23" t="s">
        <v>123</v>
      </c>
      <c r="P20" s="23"/>
      <c r="Q20" s="23"/>
      <c r="R20" s="23" t="s">
        <v>123</v>
      </c>
      <c r="S20" s="23" t="s">
        <v>123</v>
      </c>
      <c r="T20" s="23" t="s">
        <v>123</v>
      </c>
      <c r="U20" s="23" t="s">
        <v>123</v>
      </c>
      <c r="V20" s="23" t="s">
        <v>123</v>
      </c>
      <c r="W20" s="23"/>
      <c r="X20" s="23"/>
      <c r="Y20" s="23" t="s">
        <v>123</v>
      </c>
      <c r="Z20" s="23" t="s">
        <v>123</v>
      </c>
      <c r="AA20" s="23" t="s">
        <v>123</v>
      </c>
      <c r="AB20" s="23" t="s">
        <v>123</v>
      </c>
      <c r="AC20" s="23" t="s">
        <v>123</v>
      </c>
      <c r="AD20" s="23"/>
      <c r="AE20" s="23"/>
      <c r="AF20" s="23" t="s">
        <v>123</v>
      </c>
      <c r="AG20" s="23" t="s">
        <v>123</v>
      </c>
      <c r="AH20" s="23" t="s">
        <v>123</v>
      </c>
      <c r="AI20" s="23" t="s">
        <v>123</v>
      </c>
      <c r="AJ20" s="23" t="s">
        <v>123</v>
      </c>
      <c r="AK20" s="23"/>
      <c r="AL20" s="22">
        <f t="shared" si="2"/>
        <v>22</v>
      </c>
    </row>
    <row r="21" spans="2:38" x14ac:dyDescent="0.3">
      <c r="B21" s="23">
        <v>14</v>
      </c>
      <c r="C21" s="35" t="s">
        <v>53</v>
      </c>
      <c r="D21" s="35" t="s">
        <v>54</v>
      </c>
      <c r="E21" s="35" t="s">
        <v>26</v>
      </c>
      <c r="F21" s="35" t="s">
        <v>439</v>
      </c>
      <c r="G21" s="23" t="s">
        <v>123</v>
      </c>
      <c r="H21" s="23" t="s">
        <v>123</v>
      </c>
      <c r="I21" s="23"/>
      <c r="J21" s="23"/>
      <c r="K21" s="23" t="s">
        <v>123</v>
      </c>
      <c r="L21" s="23" t="s">
        <v>123</v>
      </c>
      <c r="M21" s="23" t="s">
        <v>123</v>
      </c>
      <c r="N21" s="23" t="s">
        <v>123</v>
      </c>
      <c r="O21" s="23" t="s">
        <v>123</v>
      </c>
      <c r="P21" s="23"/>
      <c r="Q21" s="23"/>
      <c r="R21" s="23" t="s">
        <v>123</v>
      </c>
      <c r="S21" s="23" t="s">
        <v>123</v>
      </c>
      <c r="T21" s="23" t="s">
        <v>123</v>
      </c>
      <c r="U21" s="23" t="s">
        <v>123</v>
      </c>
      <c r="V21" s="23" t="s">
        <v>123</v>
      </c>
      <c r="W21" s="23"/>
      <c r="X21" s="23"/>
      <c r="Y21" s="23" t="s">
        <v>123</v>
      </c>
      <c r="Z21" s="23" t="s">
        <v>123</v>
      </c>
      <c r="AA21" s="23" t="s">
        <v>123</v>
      </c>
      <c r="AB21" s="23" t="s">
        <v>123</v>
      </c>
      <c r="AC21" s="23" t="s">
        <v>123</v>
      </c>
      <c r="AD21" s="23"/>
      <c r="AE21" s="23"/>
      <c r="AF21" s="23" t="s">
        <v>123</v>
      </c>
      <c r="AG21" s="23" t="s">
        <v>123</v>
      </c>
      <c r="AH21" s="23" t="s">
        <v>123</v>
      </c>
      <c r="AI21" s="23" t="s">
        <v>123</v>
      </c>
      <c r="AJ21" s="23" t="s">
        <v>123</v>
      </c>
      <c r="AK21" s="23"/>
      <c r="AL21" s="22">
        <f t="shared" si="2"/>
        <v>22</v>
      </c>
    </row>
    <row r="22" spans="2:38" x14ac:dyDescent="0.3">
      <c r="B22" s="23">
        <v>15</v>
      </c>
      <c r="C22" s="35" t="s">
        <v>55</v>
      </c>
      <c r="D22" s="35" t="s">
        <v>56</v>
      </c>
      <c r="E22" s="35" t="s">
        <v>26</v>
      </c>
      <c r="F22" s="35" t="s">
        <v>439</v>
      </c>
      <c r="G22" s="23" t="s">
        <v>123</v>
      </c>
      <c r="H22" s="23" t="s">
        <v>123</v>
      </c>
      <c r="I22" s="23"/>
      <c r="J22" s="23"/>
      <c r="K22" s="23" t="s">
        <v>123</v>
      </c>
      <c r="L22" s="23" t="s">
        <v>123</v>
      </c>
      <c r="M22" s="23" t="s">
        <v>123</v>
      </c>
      <c r="N22" s="23" t="s">
        <v>123</v>
      </c>
      <c r="O22" s="23" t="s">
        <v>123</v>
      </c>
      <c r="P22" s="23"/>
      <c r="Q22" s="23"/>
      <c r="R22" s="23" t="s">
        <v>123</v>
      </c>
      <c r="S22" s="23" t="s">
        <v>123</v>
      </c>
      <c r="T22" s="23" t="s">
        <v>123</v>
      </c>
      <c r="U22" s="23" t="s">
        <v>123</v>
      </c>
      <c r="V22" s="23" t="s">
        <v>123</v>
      </c>
      <c r="W22" s="23"/>
      <c r="X22" s="23"/>
      <c r="Y22" s="23" t="s">
        <v>123</v>
      </c>
      <c r="Z22" s="23" t="s">
        <v>123</v>
      </c>
      <c r="AA22" s="23" t="s">
        <v>123</v>
      </c>
      <c r="AB22" s="23" t="s">
        <v>123</v>
      </c>
      <c r="AC22" s="23" t="s">
        <v>123</v>
      </c>
      <c r="AD22" s="23"/>
      <c r="AE22" s="23"/>
      <c r="AF22" s="23" t="s">
        <v>123</v>
      </c>
      <c r="AG22" s="23" t="s">
        <v>123</v>
      </c>
      <c r="AH22" s="23" t="s">
        <v>123</v>
      </c>
      <c r="AI22" s="23" t="s">
        <v>123</v>
      </c>
      <c r="AJ22" s="23" t="s">
        <v>123</v>
      </c>
      <c r="AK22" s="23"/>
      <c r="AL22" s="22">
        <f t="shared" si="2"/>
        <v>22</v>
      </c>
    </row>
    <row r="25" spans="2:38" x14ac:dyDescent="0.3">
      <c r="W25" s="253">
        <f>IF(CHE_DO_NGHI=1,WORKDAY.INTL(EOMONTH(DATE(P5,L5,1),0)+1,-1,1,INDEX(DATA_NGHI_LE[],0,1)),WORKDAY.INTL(EOMONTH(DATE(P5,L5,1),0)+1,-1,11,INDEX(DATA_NGHI_LE[],0,1)))</f>
        <v>45107</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6" priority="1">
      <formula>IF(AND(CHE_DO_NGHI=1,OR(G$7="Chủ nhật",G$7="Thứ Bảy")),TRUE,IF(AND(CHE_DO_NGHI=2,G$7="Chủ nhật"),TRUE,FALSE))</formula>
    </cfRule>
  </conditionalFormatting>
  <pageMargins left="0.7" right="0.7" top="0.75" bottom="0.75" header="0.3" footer="0.3"/>
  <pageSetup paperSize="9" scale="73" fitToHeight="0" orientation="landscape" cellComments="atEnd"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E67C9-044E-4F2A-B5C5-AD35623CD5A6}">
  <sheetPr codeName="Sheet138">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7" width="3.33203125" style="5"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7</v>
      </c>
      <c r="M5" s="252"/>
      <c r="N5" s="251" t="s">
        <v>93</v>
      </c>
      <c r="O5" s="251"/>
      <c r="P5" s="250">
        <f>Nam_Bang_Luong</f>
        <v>2023</v>
      </c>
      <c r="Q5" s="250"/>
    </row>
    <row r="6" spans="2:38" x14ac:dyDescent="0.3">
      <c r="B6" s="220" t="s">
        <v>5</v>
      </c>
      <c r="C6" s="220" t="s">
        <v>91</v>
      </c>
      <c r="D6" s="220" t="s">
        <v>6</v>
      </c>
      <c r="E6" s="220" t="s">
        <v>8</v>
      </c>
      <c r="F6" s="220" t="s">
        <v>7</v>
      </c>
      <c r="G6" s="20">
        <f>DATE(P5,L5,1)</f>
        <v>45108</v>
      </c>
      <c r="H6" s="20">
        <f>G6+1</f>
        <v>45109</v>
      </c>
      <c r="I6" s="20">
        <f t="shared" ref="I6:AK6" si="0">H6+1</f>
        <v>45110</v>
      </c>
      <c r="J6" s="20">
        <f t="shared" si="0"/>
        <v>45111</v>
      </c>
      <c r="K6" s="20">
        <f t="shared" si="0"/>
        <v>45112</v>
      </c>
      <c r="L6" s="20">
        <f t="shared" si="0"/>
        <v>45113</v>
      </c>
      <c r="M6" s="20">
        <f t="shared" si="0"/>
        <v>45114</v>
      </c>
      <c r="N6" s="20">
        <f t="shared" si="0"/>
        <v>45115</v>
      </c>
      <c r="O6" s="20">
        <f t="shared" si="0"/>
        <v>45116</v>
      </c>
      <c r="P6" s="20">
        <f t="shared" si="0"/>
        <v>45117</v>
      </c>
      <c r="Q6" s="20">
        <f t="shared" si="0"/>
        <v>45118</v>
      </c>
      <c r="R6" s="20">
        <f t="shared" si="0"/>
        <v>45119</v>
      </c>
      <c r="S6" s="20">
        <f t="shared" si="0"/>
        <v>45120</v>
      </c>
      <c r="T6" s="20">
        <f t="shared" si="0"/>
        <v>45121</v>
      </c>
      <c r="U6" s="20">
        <f t="shared" si="0"/>
        <v>45122</v>
      </c>
      <c r="V6" s="20">
        <f t="shared" si="0"/>
        <v>45123</v>
      </c>
      <c r="W6" s="20">
        <f t="shared" si="0"/>
        <v>45124</v>
      </c>
      <c r="X6" s="20">
        <f t="shared" si="0"/>
        <v>45125</v>
      </c>
      <c r="Y6" s="20">
        <f t="shared" si="0"/>
        <v>45126</v>
      </c>
      <c r="Z6" s="20">
        <f t="shared" si="0"/>
        <v>45127</v>
      </c>
      <c r="AA6" s="20">
        <f t="shared" si="0"/>
        <v>45128</v>
      </c>
      <c r="AB6" s="20">
        <f t="shared" si="0"/>
        <v>45129</v>
      </c>
      <c r="AC6" s="20">
        <f t="shared" si="0"/>
        <v>45130</v>
      </c>
      <c r="AD6" s="20">
        <f t="shared" si="0"/>
        <v>45131</v>
      </c>
      <c r="AE6" s="20">
        <f t="shared" si="0"/>
        <v>45132</v>
      </c>
      <c r="AF6" s="20">
        <f t="shared" si="0"/>
        <v>45133</v>
      </c>
      <c r="AG6" s="20">
        <f t="shared" si="0"/>
        <v>45134</v>
      </c>
      <c r="AH6" s="20">
        <f t="shared" si="0"/>
        <v>45135</v>
      </c>
      <c r="AI6" s="20">
        <f t="shared" si="0"/>
        <v>45136</v>
      </c>
      <c r="AJ6" s="20">
        <f t="shared" si="0"/>
        <v>45137</v>
      </c>
      <c r="AK6" s="20">
        <f t="shared" si="0"/>
        <v>45138</v>
      </c>
      <c r="AL6" s="217" t="s">
        <v>107</v>
      </c>
    </row>
    <row r="7" spans="2:38" ht="46.2" x14ac:dyDescent="0.3">
      <c r="B7" s="220"/>
      <c r="C7" s="220"/>
      <c r="D7" s="220"/>
      <c r="E7" s="220"/>
      <c r="F7" s="220"/>
      <c r="G7" s="21" t="str">
        <f>TEXT(G6,"[$-042A]dddd")</f>
        <v>Thứ Bảy</v>
      </c>
      <c r="H7" s="21" t="str">
        <f t="shared" ref="H7:AK7" si="1">TEXT(H6,"[$-042A]dddd")</f>
        <v>Chủ Nhật</v>
      </c>
      <c r="I7" s="21" t="str">
        <f t="shared" si="1"/>
        <v>Thứ Hai</v>
      </c>
      <c r="J7" s="21" t="str">
        <f t="shared" si="1"/>
        <v>Thứ Ba</v>
      </c>
      <c r="K7" s="21" t="str">
        <f t="shared" si="1"/>
        <v>Thứ Tư</v>
      </c>
      <c r="L7" s="21" t="str">
        <f t="shared" si="1"/>
        <v>Thứ Năm</v>
      </c>
      <c r="M7" s="21" t="str">
        <f t="shared" si="1"/>
        <v>Thứ Sáu</v>
      </c>
      <c r="N7" s="21" t="str">
        <f t="shared" si="1"/>
        <v>Thứ Bảy</v>
      </c>
      <c r="O7" s="21" t="str">
        <f t="shared" si="1"/>
        <v>Chủ Nhật</v>
      </c>
      <c r="P7" s="21" t="str">
        <f t="shared" si="1"/>
        <v>Thứ Hai</v>
      </c>
      <c r="Q7" s="21" t="str">
        <f t="shared" si="1"/>
        <v>Thứ Ba</v>
      </c>
      <c r="R7" s="21" t="str">
        <f t="shared" si="1"/>
        <v>Thứ Tư</v>
      </c>
      <c r="S7" s="21" t="str">
        <f t="shared" si="1"/>
        <v>Thứ Năm</v>
      </c>
      <c r="T7" s="21" t="str">
        <f t="shared" si="1"/>
        <v>Thứ Sáu</v>
      </c>
      <c r="U7" s="21" t="str">
        <f t="shared" si="1"/>
        <v>Thứ Bảy</v>
      </c>
      <c r="V7" s="21" t="str">
        <f t="shared" si="1"/>
        <v>Chủ Nhật</v>
      </c>
      <c r="W7" s="21" t="str">
        <f t="shared" si="1"/>
        <v>Thứ Hai</v>
      </c>
      <c r="X7" s="21" t="str">
        <f t="shared" si="1"/>
        <v>Thứ Ba</v>
      </c>
      <c r="Y7" s="21" t="str">
        <f t="shared" si="1"/>
        <v>Thứ Tư</v>
      </c>
      <c r="Z7" s="21" t="str">
        <f t="shared" si="1"/>
        <v>Thứ Năm</v>
      </c>
      <c r="AA7" s="21" t="str">
        <f t="shared" si="1"/>
        <v>Thứ Sáu</v>
      </c>
      <c r="AB7" s="21" t="str">
        <f t="shared" si="1"/>
        <v>Thứ Bảy</v>
      </c>
      <c r="AC7" s="21" t="str">
        <f t="shared" si="1"/>
        <v>Chủ Nhật</v>
      </c>
      <c r="AD7" s="21" t="str">
        <f t="shared" si="1"/>
        <v>Thứ Hai</v>
      </c>
      <c r="AE7" s="21" t="str">
        <f t="shared" si="1"/>
        <v>Thứ Ba</v>
      </c>
      <c r="AF7" s="21" t="str">
        <f t="shared" si="1"/>
        <v>Thứ Tư</v>
      </c>
      <c r="AG7" s="21" t="str">
        <f t="shared" si="1"/>
        <v>Thứ Năm</v>
      </c>
      <c r="AH7" s="21" t="str">
        <f t="shared" si="1"/>
        <v>Thứ Sáu</v>
      </c>
      <c r="AI7" s="21" t="str">
        <f t="shared" si="1"/>
        <v>Thứ Bảy</v>
      </c>
      <c r="AJ7" s="21" t="str">
        <f t="shared" si="1"/>
        <v>Chủ Nhật</v>
      </c>
      <c r="AK7" s="21" t="str">
        <f t="shared" si="1"/>
        <v>Thứ Hai</v>
      </c>
      <c r="AL7" s="217"/>
    </row>
    <row r="8" spans="2:38" x14ac:dyDescent="0.3">
      <c r="B8" s="23">
        <v>1</v>
      </c>
      <c r="C8" s="35" t="s">
        <v>9</v>
      </c>
      <c r="D8" s="35" t="s">
        <v>10</v>
      </c>
      <c r="E8" s="35" t="s">
        <v>11</v>
      </c>
      <c r="F8" s="35" t="s">
        <v>438</v>
      </c>
      <c r="G8" s="23"/>
      <c r="H8" s="23"/>
      <c r="I8" s="23" t="s">
        <v>123</v>
      </c>
      <c r="J8" s="23" t="s">
        <v>123</v>
      </c>
      <c r="K8" s="23" t="s">
        <v>123</v>
      </c>
      <c r="L8" s="24" t="s">
        <v>123</v>
      </c>
      <c r="M8" s="24" t="s">
        <v>123</v>
      </c>
      <c r="N8" s="24"/>
      <c r="O8" s="24"/>
      <c r="P8" s="24" t="s">
        <v>123</v>
      </c>
      <c r="Q8" s="24" t="s">
        <v>123</v>
      </c>
      <c r="R8" s="24" t="s">
        <v>123</v>
      </c>
      <c r="S8" s="24" t="s">
        <v>123</v>
      </c>
      <c r="T8" s="23" t="s">
        <v>123</v>
      </c>
      <c r="U8" s="23"/>
      <c r="V8" s="23"/>
      <c r="W8" s="23" t="s">
        <v>123</v>
      </c>
      <c r="X8" s="23" t="s">
        <v>123</v>
      </c>
      <c r="Y8" s="23" t="s">
        <v>123</v>
      </c>
      <c r="Z8" s="23" t="s">
        <v>123</v>
      </c>
      <c r="AA8" s="23" t="s">
        <v>123</v>
      </c>
      <c r="AB8" s="23"/>
      <c r="AC8" s="23"/>
      <c r="AD8" s="23" t="s">
        <v>123</v>
      </c>
      <c r="AE8" s="23" t="s">
        <v>123</v>
      </c>
      <c r="AF8" s="23" t="s">
        <v>123</v>
      </c>
      <c r="AG8" s="23" t="s">
        <v>123</v>
      </c>
      <c r="AH8" s="23" t="s">
        <v>123</v>
      </c>
      <c r="AI8" s="23"/>
      <c r="AJ8" s="23"/>
      <c r="AK8" s="23" t="s">
        <v>123</v>
      </c>
      <c r="AL8" s="22">
        <f t="shared" ref="AL8:AL22" si="2">COUNTIF(G8:AK8,"X")+0.5*COUNTIF(G8:AK8,"X/2")+COUNTIF(G8:AK8,"NL")</f>
        <v>21</v>
      </c>
    </row>
    <row r="9" spans="2:38" x14ac:dyDescent="0.3">
      <c r="B9" s="23">
        <v>2</v>
      </c>
      <c r="C9" s="35" t="s">
        <v>14</v>
      </c>
      <c r="D9" s="35" t="s">
        <v>15</v>
      </c>
      <c r="E9" s="35" t="s">
        <v>16</v>
      </c>
      <c r="F9" s="35" t="s">
        <v>438</v>
      </c>
      <c r="G9" s="23"/>
      <c r="H9" s="23"/>
      <c r="I9" s="23" t="s">
        <v>123</v>
      </c>
      <c r="J9" s="23" t="s">
        <v>123</v>
      </c>
      <c r="K9" s="23" t="s">
        <v>123</v>
      </c>
      <c r="L9" s="24" t="s">
        <v>123</v>
      </c>
      <c r="M9" s="24" t="s">
        <v>123</v>
      </c>
      <c r="N9" s="24"/>
      <c r="O9" s="24"/>
      <c r="P9" s="24" t="s">
        <v>123</v>
      </c>
      <c r="Q9" s="24" t="s">
        <v>123</v>
      </c>
      <c r="R9" s="24" t="s">
        <v>123</v>
      </c>
      <c r="S9" s="24" t="s">
        <v>123</v>
      </c>
      <c r="T9" s="23" t="s">
        <v>123</v>
      </c>
      <c r="U9" s="23"/>
      <c r="V9" s="23"/>
      <c r="W9" s="23" t="s">
        <v>123</v>
      </c>
      <c r="X9" s="23" t="s">
        <v>123</v>
      </c>
      <c r="Y9" s="23" t="s">
        <v>123</v>
      </c>
      <c r="Z9" s="23" t="s">
        <v>123</v>
      </c>
      <c r="AA9" s="23" t="s">
        <v>123</v>
      </c>
      <c r="AB9" s="23"/>
      <c r="AC9" s="23"/>
      <c r="AD9" s="23" t="s">
        <v>123</v>
      </c>
      <c r="AE9" s="23" t="s">
        <v>123</v>
      </c>
      <c r="AF9" s="23" t="s">
        <v>123</v>
      </c>
      <c r="AG9" s="23" t="s">
        <v>123</v>
      </c>
      <c r="AH9" s="23" t="s">
        <v>123</v>
      </c>
      <c r="AI9" s="23"/>
      <c r="AJ9" s="23"/>
      <c r="AK9" s="23" t="s">
        <v>123</v>
      </c>
      <c r="AL9" s="22">
        <f t="shared" si="2"/>
        <v>21</v>
      </c>
    </row>
    <row r="10" spans="2:38" x14ac:dyDescent="0.3">
      <c r="B10" s="23">
        <v>3</v>
      </c>
      <c r="C10" s="35" t="s">
        <v>19</v>
      </c>
      <c r="D10" s="35" t="s">
        <v>20</v>
      </c>
      <c r="E10" s="35" t="s">
        <v>21</v>
      </c>
      <c r="F10" s="35" t="s">
        <v>438</v>
      </c>
      <c r="G10" s="23"/>
      <c r="H10" s="23"/>
      <c r="I10" s="23" t="s">
        <v>123</v>
      </c>
      <c r="J10" s="23" t="s">
        <v>123</v>
      </c>
      <c r="K10" s="23" t="s">
        <v>123</v>
      </c>
      <c r="L10" s="24" t="s">
        <v>123</v>
      </c>
      <c r="M10" s="24" t="s">
        <v>123</v>
      </c>
      <c r="N10" s="24"/>
      <c r="O10" s="24"/>
      <c r="P10" s="24" t="s">
        <v>123</v>
      </c>
      <c r="Q10" s="24" t="s">
        <v>123</v>
      </c>
      <c r="R10" s="24" t="s">
        <v>123</v>
      </c>
      <c r="S10" s="24" t="s">
        <v>123</v>
      </c>
      <c r="T10" s="23" t="s">
        <v>123</v>
      </c>
      <c r="U10" s="23"/>
      <c r="V10" s="23"/>
      <c r="W10" s="23" t="s">
        <v>123</v>
      </c>
      <c r="X10" s="23" t="s">
        <v>123</v>
      </c>
      <c r="Y10" s="23" t="s">
        <v>123</v>
      </c>
      <c r="Z10" s="23" t="s">
        <v>123</v>
      </c>
      <c r="AA10" s="23" t="s">
        <v>123</v>
      </c>
      <c r="AB10" s="23"/>
      <c r="AC10" s="23"/>
      <c r="AD10" s="23" t="s">
        <v>123</v>
      </c>
      <c r="AE10" s="23" t="s">
        <v>123</v>
      </c>
      <c r="AF10" s="23" t="s">
        <v>123</v>
      </c>
      <c r="AG10" s="23" t="s">
        <v>123</v>
      </c>
      <c r="AH10" s="23" t="s">
        <v>123</v>
      </c>
      <c r="AI10" s="23"/>
      <c r="AJ10" s="23"/>
      <c r="AK10" s="23" t="s">
        <v>123</v>
      </c>
      <c r="AL10" s="22">
        <f t="shared" si="2"/>
        <v>21</v>
      </c>
    </row>
    <row r="11" spans="2:38" x14ac:dyDescent="0.3">
      <c r="B11" s="23">
        <v>4</v>
      </c>
      <c r="C11" s="35" t="s">
        <v>24</v>
      </c>
      <c r="D11" s="35" t="s">
        <v>25</v>
      </c>
      <c r="E11" s="35" t="s">
        <v>26</v>
      </c>
      <c r="F11" s="35" t="s">
        <v>439</v>
      </c>
      <c r="G11" s="23"/>
      <c r="H11" s="23"/>
      <c r="I11" s="23" t="s">
        <v>123</v>
      </c>
      <c r="J11" s="23" t="s">
        <v>123</v>
      </c>
      <c r="K11" s="23" t="s">
        <v>123</v>
      </c>
      <c r="L11" s="24" t="s">
        <v>123</v>
      </c>
      <c r="M11" s="24" t="s">
        <v>123</v>
      </c>
      <c r="N11" s="24"/>
      <c r="O11" s="24"/>
      <c r="P11" s="24" t="s">
        <v>123</v>
      </c>
      <c r="Q11" s="24" t="s">
        <v>123</v>
      </c>
      <c r="R11" s="24" t="s">
        <v>123</v>
      </c>
      <c r="S11" s="24" t="s">
        <v>123</v>
      </c>
      <c r="T11" s="23" t="s">
        <v>123</v>
      </c>
      <c r="U11" s="23"/>
      <c r="V11" s="23"/>
      <c r="W11" s="23" t="s">
        <v>123</v>
      </c>
      <c r="X11" s="23" t="s">
        <v>123</v>
      </c>
      <c r="Y11" s="23" t="s">
        <v>123</v>
      </c>
      <c r="Z11" s="23" t="s">
        <v>123</v>
      </c>
      <c r="AA11" s="23" t="s">
        <v>123</v>
      </c>
      <c r="AB11" s="23"/>
      <c r="AC11" s="23"/>
      <c r="AD11" s="23" t="s">
        <v>123</v>
      </c>
      <c r="AE11" s="23" t="s">
        <v>123</v>
      </c>
      <c r="AF11" s="23" t="s">
        <v>123</v>
      </c>
      <c r="AG11" s="23" t="s">
        <v>123</v>
      </c>
      <c r="AH11" s="23" t="s">
        <v>123</v>
      </c>
      <c r="AI11" s="23"/>
      <c r="AJ11" s="23"/>
      <c r="AK11" s="23" t="s">
        <v>123</v>
      </c>
      <c r="AL11" s="22">
        <f t="shared" si="2"/>
        <v>21</v>
      </c>
    </row>
    <row r="12" spans="2:38" x14ac:dyDescent="0.3">
      <c r="B12" s="23">
        <v>5</v>
      </c>
      <c r="C12" s="35" t="s">
        <v>29</v>
      </c>
      <c r="D12" s="35" t="s">
        <v>30</v>
      </c>
      <c r="E12" s="35" t="s">
        <v>26</v>
      </c>
      <c r="F12" s="35" t="s">
        <v>439</v>
      </c>
      <c r="G12" s="23"/>
      <c r="H12" s="23"/>
      <c r="I12" s="23" t="s">
        <v>123</v>
      </c>
      <c r="J12" s="23" t="s">
        <v>123</v>
      </c>
      <c r="K12" s="23" t="s">
        <v>123</v>
      </c>
      <c r="L12" s="23" t="s">
        <v>123</v>
      </c>
      <c r="M12" s="23" t="s">
        <v>123</v>
      </c>
      <c r="N12" s="23"/>
      <c r="O12" s="23"/>
      <c r="P12" s="23" t="s">
        <v>123</v>
      </c>
      <c r="Q12" s="23" t="s">
        <v>123</v>
      </c>
      <c r="R12" s="23" t="s">
        <v>123</v>
      </c>
      <c r="S12" s="23" t="s">
        <v>123</v>
      </c>
      <c r="T12" s="23" t="s">
        <v>123</v>
      </c>
      <c r="U12" s="23"/>
      <c r="V12" s="23"/>
      <c r="W12" s="23" t="s">
        <v>123</v>
      </c>
      <c r="X12" s="23" t="s">
        <v>123</v>
      </c>
      <c r="Y12" s="23" t="s">
        <v>123</v>
      </c>
      <c r="Z12" s="23" t="s">
        <v>123</v>
      </c>
      <c r="AA12" s="23" t="s">
        <v>123</v>
      </c>
      <c r="AB12" s="23"/>
      <c r="AC12" s="23"/>
      <c r="AD12" s="23" t="s">
        <v>123</v>
      </c>
      <c r="AE12" s="23" t="s">
        <v>123</v>
      </c>
      <c r="AF12" s="23" t="s">
        <v>123</v>
      </c>
      <c r="AG12" s="23" t="s">
        <v>123</v>
      </c>
      <c r="AH12" s="23" t="s">
        <v>123</v>
      </c>
      <c r="AI12" s="23"/>
      <c r="AJ12" s="23"/>
      <c r="AK12" s="23" t="s">
        <v>123</v>
      </c>
      <c r="AL12" s="22">
        <f t="shared" si="2"/>
        <v>21</v>
      </c>
    </row>
    <row r="13" spans="2:38" x14ac:dyDescent="0.3">
      <c r="B13" s="23">
        <v>6</v>
      </c>
      <c r="C13" s="35" t="s">
        <v>32</v>
      </c>
      <c r="D13" s="35" t="s">
        <v>33</v>
      </c>
      <c r="E13" s="35" t="s">
        <v>26</v>
      </c>
      <c r="F13" s="35" t="s">
        <v>439</v>
      </c>
      <c r="G13" s="23"/>
      <c r="H13" s="23"/>
      <c r="I13" s="23" t="s">
        <v>123</v>
      </c>
      <c r="J13" s="23" t="s">
        <v>123</v>
      </c>
      <c r="K13" s="23" t="s">
        <v>123</v>
      </c>
      <c r="L13" s="23" t="s">
        <v>123</v>
      </c>
      <c r="M13" s="23" t="s">
        <v>123</v>
      </c>
      <c r="N13" s="23"/>
      <c r="O13" s="23"/>
      <c r="P13" s="23" t="s">
        <v>123</v>
      </c>
      <c r="Q13" s="23" t="s">
        <v>123</v>
      </c>
      <c r="R13" s="23" t="s">
        <v>123</v>
      </c>
      <c r="S13" s="23" t="s">
        <v>123</v>
      </c>
      <c r="T13" s="23" t="s">
        <v>123</v>
      </c>
      <c r="U13" s="23"/>
      <c r="V13" s="23"/>
      <c r="W13" s="23" t="s">
        <v>123</v>
      </c>
      <c r="X13" s="23" t="s">
        <v>123</v>
      </c>
      <c r="Y13" s="23" t="s">
        <v>123</v>
      </c>
      <c r="Z13" s="23" t="s">
        <v>123</v>
      </c>
      <c r="AA13" s="23" t="s">
        <v>123</v>
      </c>
      <c r="AB13" s="23"/>
      <c r="AC13" s="23"/>
      <c r="AD13" s="23" t="s">
        <v>123</v>
      </c>
      <c r="AE13" s="23" t="s">
        <v>123</v>
      </c>
      <c r="AF13" s="23" t="s">
        <v>123</v>
      </c>
      <c r="AG13" s="23" t="s">
        <v>123</v>
      </c>
      <c r="AH13" s="23" t="s">
        <v>123</v>
      </c>
      <c r="AI13" s="23"/>
      <c r="AJ13" s="23"/>
      <c r="AK13" s="23" t="s">
        <v>123</v>
      </c>
      <c r="AL13" s="22">
        <f t="shared" si="2"/>
        <v>21</v>
      </c>
    </row>
    <row r="14" spans="2:38" x14ac:dyDescent="0.3">
      <c r="B14" s="23">
        <v>7</v>
      </c>
      <c r="C14" s="35" t="s">
        <v>35</v>
      </c>
      <c r="D14" s="35" t="s">
        <v>36</v>
      </c>
      <c r="E14" s="35" t="s">
        <v>26</v>
      </c>
      <c r="F14" s="35" t="s">
        <v>439</v>
      </c>
      <c r="G14" s="23"/>
      <c r="H14" s="23"/>
      <c r="I14" s="23" t="s">
        <v>123</v>
      </c>
      <c r="J14" s="23" t="s">
        <v>123</v>
      </c>
      <c r="K14" s="23" t="s">
        <v>123</v>
      </c>
      <c r="L14" s="23" t="s">
        <v>123</v>
      </c>
      <c r="M14" s="23" t="s">
        <v>123</v>
      </c>
      <c r="N14" s="23"/>
      <c r="O14" s="23"/>
      <c r="P14" s="23" t="s">
        <v>123</v>
      </c>
      <c r="Q14" s="23" t="s">
        <v>123</v>
      </c>
      <c r="R14" s="23" t="s">
        <v>123</v>
      </c>
      <c r="S14" s="23" t="s">
        <v>123</v>
      </c>
      <c r="T14" s="23" t="s">
        <v>123</v>
      </c>
      <c r="U14" s="23"/>
      <c r="V14" s="23"/>
      <c r="W14" s="23" t="s">
        <v>123</v>
      </c>
      <c r="X14" s="23" t="s">
        <v>123</v>
      </c>
      <c r="Y14" s="23" t="s">
        <v>123</v>
      </c>
      <c r="Z14" s="23" t="s">
        <v>123</v>
      </c>
      <c r="AA14" s="23" t="s">
        <v>123</v>
      </c>
      <c r="AB14" s="23"/>
      <c r="AC14" s="23"/>
      <c r="AD14" s="23" t="s">
        <v>123</v>
      </c>
      <c r="AE14" s="23" t="s">
        <v>123</v>
      </c>
      <c r="AF14" s="23" t="s">
        <v>123</v>
      </c>
      <c r="AG14" s="23" t="s">
        <v>123</v>
      </c>
      <c r="AH14" s="23" t="s">
        <v>123</v>
      </c>
      <c r="AI14" s="23"/>
      <c r="AJ14" s="23"/>
      <c r="AK14" s="23" t="s">
        <v>123</v>
      </c>
      <c r="AL14" s="22">
        <f t="shared" si="2"/>
        <v>21</v>
      </c>
    </row>
    <row r="15" spans="2:38" x14ac:dyDescent="0.3">
      <c r="B15" s="23">
        <v>8</v>
      </c>
      <c r="C15" s="35" t="s">
        <v>38</v>
      </c>
      <c r="D15" s="35" t="s">
        <v>39</v>
      </c>
      <c r="E15" s="35" t="s">
        <v>26</v>
      </c>
      <c r="F15" s="35" t="s">
        <v>439</v>
      </c>
      <c r="G15" s="23"/>
      <c r="H15" s="23"/>
      <c r="I15" s="23" t="s">
        <v>123</v>
      </c>
      <c r="J15" s="23" t="s">
        <v>123</v>
      </c>
      <c r="K15" s="23" t="s">
        <v>123</v>
      </c>
      <c r="L15" s="23" t="s">
        <v>123</v>
      </c>
      <c r="M15" s="23" t="s">
        <v>123</v>
      </c>
      <c r="N15" s="23"/>
      <c r="O15" s="23"/>
      <c r="P15" s="23" t="s">
        <v>123</v>
      </c>
      <c r="Q15" s="23" t="s">
        <v>123</v>
      </c>
      <c r="R15" s="23" t="s">
        <v>123</v>
      </c>
      <c r="S15" s="23" t="s">
        <v>123</v>
      </c>
      <c r="T15" s="23" t="s">
        <v>123</v>
      </c>
      <c r="U15" s="23"/>
      <c r="V15" s="23"/>
      <c r="W15" s="23" t="s">
        <v>123</v>
      </c>
      <c r="X15" s="23" t="s">
        <v>123</v>
      </c>
      <c r="Y15" s="23" t="s">
        <v>123</v>
      </c>
      <c r="Z15" s="23" t="s">
        <v>123</v>
      </c>
      <c r="AA15" s="23" t="s">
        <v>123</v>
      </c>
      <c r="AB15" s="23"/>
      <c r="AC15" s="23"/>
      <c r="AD15" s="23" t="s">
        <v>123</v>
      </c>
      <c r="AE15" s="23" t="s">
        <v>123</v>
      </c>
      <c r="AF15" s="23" t="s">
        <v>123</v>
      </c>
      <c r="AG15" s="23" t="s">
        <v>123</v>
      </c>
      <c r="AH15" s="23" t="s">
        <v>123</v>
      </c>
      <c r="AI15" s="23"/>
      <c r="AJ15" s="23"/>
      <c r="AK15" s="23" t="s">
        <v>123</v>
      </c>
      <c r="AL15" s="22">
        <f t="shared" si="2"/>
        <v>21</v>
      </c>
    </row>
    <row r="16" spans="2:38" x14ac:dyDescent="0.3">
      <c r="B16" s="23">
        <v>9</v>
      </c>
      <c r="C16" s="35" t="s">
        <v>41</v>
      </c>
      <c r="D16" s="35" t="s">
        <v>42</v>
      </c>
      <c r="E16" s="35" t="s">
        <v>26</v>
      </c>
      <c r="F16" s="35" t="s">
        <v>439</v>
      </c>
      <c r="G16" s="23"/>
      <c r="H16" s="23"/>
      <c r="I16" s="23" t="s">
        <v>123</v>
      </c>
      <c r="J16" s="23" t="s">
        <v>123</v>
      </c>
      <c r="K16" s="23" t="s">
        <v>123</v>
      </c>
      <c r="L16" s="23" t="s">
        <v>123</v>
      </c>
      <c r="M16" s="23" t="s">
        <v>123</v>
      </c>
      <c r="N16" s="23"/>
      <c r="O16" s="23"/>
      <c r="P16" s="23" t="s">
        <v>123</v>
      </c>
      <c r="Q16" s="23" t="s">
        <v>123</v>
      </c>
      <c r="R16" s="23" t="s">
        <v>123</v>
      </c>
      <c r="S16" s="23" t="s">
        <v>123</v>
      </c>
      <c r="T16" s="23" t="s">
        <v>123</v>
      </c>
      <c r="U16" s="23"/>
      <c r="V16" s="23"/>
      <c r="W16" s="23" t="s">
        <v>123</v>
      </c>
      <c r="X16" s="23" t="s">
        <v>123</v>
      </c>
      <c r="Y16" s="23" t="s">
        <v>123</v>
      </c>
      <c r="Z16" s="23" t="s">
        <v>123</v>
      </c>
      <c r="AA16" s="23" t="s">
        <v>123</v>
      </c>
      <c r="AB16" s="23"/>
      <c r="AC16" s="23"/>
      <c r="AD16" s="23" t="s">
        <v>123</v>
      </c>
      <c r="AE16" s="23" t="s">
        <v>123</v>
      </c>
      <c r="AF16" s="23" t="s">
        <v>123</v>
      </c>
      <c r="AG16" s="23" t="s">
        <v>123</v>
      </c>
      <c r="AH16" s="23" t="s">
        <v>123</v>
      </c>
      <c r="AI16" s="23"/>
      <c r="AJ16" s="23"/>
      <c r="AK16" s="23" t="s">
        <v>123</v>
      </c>
      <c r="AL16" s="22">
        <f t="shared" si="2"/>
        <v>21</v>
      </c>
    </row>
    <row r="17" spans="2:38" x14ac:dyDescent="0.3">
      <c r="B17" s="23">
        <v>10</v>
      </c>
      <c r="C17" s="35" t="s">
        <v>44</v>
      </c>
      <c r="D17" s="35" t="s">
        <v>45</v>
      </c>
      <c r="E17" s="35" t="s">
        <v>26</v>
      </c>
      <c r="F17" s="35" t="s">
        <v>439</v>
      </c>
      <c r="G17" s="23"/>
      <c r="H17" s="23"/>
      <c r="I17" s="23" t="s">
        <v>123</v>
      </c>
      <c r="J17" s="23" t="s">
        <v>123</v>
      </c>
      <c r="K17" s="23" t="s">
        <v>123</v>
      </c>
      <c r="L17" s="23" t="s">
        <v>123</v>
      </c>
      <c r="M17" s="23" t="s">
        <v>123</v>
      </c>
      <c r="N17" s="23"/>
      <c r="O17" s="23"/>
      <c r="P17" s="23" t="s">
        <v>123</v>
      </c>
      <c r="Q17" s="23" t="s">
        <v>123</v>
      </c>
      <c r="R17" s="23" t="s">
        <v>123</v>
      </c>
      <c r="S17" s="23" t="s">
        <v>123</v>
      </c>
      <c r="T17" s="23" t="s">
        <v>123</v>
      </c>
      <c r="U17" s="23"/>
      <c r="V17" s="23"/>
      <c r="W17" s="23" t="s">
        <v>123</v>
      </c>
      <c r="X17" s="23" t="s">
        <v>123</v>
      </c>
      <c r="Y17" s="23" t="s">
        <v>123</v>
      </c>
      <c r="Z17" s="23" t="s">
        <v>123</v>
      </c>
      <c r="AA17" s="23" t="s">
        <v>123</v>
      </c>
      <c r="AB17" s="23"/>
      <c r="AC17" s="23"/>
      <c r="AD17" s="23" t="s">
        <v>123</v>
      </c>
      <c r="AE17" s="23" t="s">
        <v>123</v>
      </c>
      <c r="AF17" s="23" t="s">
        <v>123</v>
      </c>
      <c r="AG17" s="23" t="s">
        <v>123</v>
      </c>
      <c r="AH17" s="23" t="s">
        <v>123</v>
      </c>
      <c r="AI17" s="23"/>
      <c r="AJ17" s="23"/>
      <c r="AK17" s="23" t="s">
        <v>123</v>
      </c>
      <c r="AL17" s="22">
        <f t="shared" si="2"/>
        <v>21</v>
      </c>
    </row>
    <row r="18" spans="2:38" x14ac:dyDescent="0.3">
      <c r="B18" s="23">
        <v>11</v>
      </c>
      <c r="C18" s="35" t="s">
        <v>47</v>
      </c>
      <c r="D18" s="35" t="s">
        <v>48</v>
      </c>
      <c r="E18" s="35" t="s">
        <v>26</v>
      </c>
      <c r="F18" s="35" t="s">
        <v>439</v>
      </c>
      <c r="G18" s="23"/>
      <c r="H18" s="23"/>
      <c r="I18" s="23" t="s">
        <v>123</v>
      </c>
      <c r="J18" s="23" t="s">
        <v>123</v>
      </c>
      <c r="K18" s="23" t="s">
        <v>123</v>
      </c>
      <c r="L18" s="23" t="s">
        <v>123</v>
      </c>
      <c r="M18" s="23" t="s">
        <v>123</v>
      </c>
      <c r="N18" s="23"/>
      <c r="O18" s="23"/>
      <c r="P18" s="23" t="s">
        <v>123</v>
      </c>
      <c r="Q18" s="23" t="s">
        <v>123</v>
      </c>
      <c r="R18" s="23" t="s">
        <v>123</v>
      </c>
      <c r="S18" s="23" t="s">
        <v>123</v>
      </c>
      <c r="T18" s="23" t="s">
        <v>123</v>
      </c>
      <c r="U18" s="23"/>
      <c r="V18" s="23"/>
      <c r="W18" s="23" t="s">
        <v>123</v>
      </c>
      <c r="X18" s="23" t="s">
        <v>123</v>
      </c>
      <c r="Y18" s="23" t="s">
        <v>123</v>
      </c>
      <c r="Z18" s="23" t="s">
        <v>123</v>
      </c>
      <c r="AA18" s="23" t="s">
        <v>123</v>
      </c>
      <c r="AB18" s="23"/>
      <c r="AC18" s="23"/>
      <c r="AD18" s="23" t="s">
        <v>123</v>
      </c>
      <c r="AE18" s="23" t="s">
        <v>123</v>
      </c>
      <c r="AF18" s="23" t="s">
        <v>123</v>
      </c>
      <c r="AG18" s="23" t="s">
        <v>123</v>
      </c>
      <c r="AH18" s="23" t="s">
        <v>123</v>
      </c>
      <c r="AI18" s="23"/>
      <c r="AJ18" s="23"/>
      <c r="AK18" s="23" t="s">
        <v>123</v>
      </c>
      <c r="AL18" s="22">
        <f t="shared" si="2"/>
        <v>21</v>
      </c>
    </row>
    <row r="19" spans="2:38" x14ac:dyDescent="0.3">
      <c r="B19" s="23">
        <v>12</v>
      </c>
      <c r="C19" s="35" t="s">
        <v>49</v>
      </c>
      <c r="D19" s="35" t="s">
        <v>50</v>
      </c>
      <c r="E19" s="35" t="s">
        <v>26</v>
      </c>
      <c r="F19" s="35" t="s">
        <v>439</v>
      </c>
      <c r="G19" s="23"/>
      <c r="H19" s="23"/>
      <c r="I19" s="23" t="s">
        <v>123</v>
      </c>
      <c r="J19" s="23" t="s">
        <v>123</v>
      </c>
      <c r="K19" s="23" t="s">
        <v>123</v>
      </c>
      <c r="L19" s="23" t="s">
        <v>123</v>
      </c>
      <c r="M19" s="23" t="s">
        <v>123</v>
      </c>
      <c r="N19" s="23"/>
      <c r="O19" s="23"/>
      <c r="P19" s="23" t="s">
        <v>123</v>
      </c>
      <c r="Q19" s="23" t="s">
        <v>123</v>
      </c>
      <c r="R19" s="23" t="s">
        <v>123</v>
      </c>
      <c r="S19" s="23" t="s">
        <v>123</v>
      </c>
      <c r="T19" s="23" t="s">
        <v>123</v>
      </c>
      <c r="U19" s="23"/>
      <c r="V19" s="23"/>
      <c r="W19" s="23" t="s">
        <v>123</v>
      </c>
      <c r="X19" s="23" t="s">
        <v>123</v>
      </c>
      <c r="Y19" s="23" t="s">
        <v>123</v>
      </c>
      <c r="Z19" s="23" t="s">
        <v>123</v>
      </c>
      <c r="AA19" s="23" t="s">
        <v>123</v>
      </c>
      <c r="AB19" s="23"/>
      <c r="AC19" s="23"/>
      <c r="AD19" s="23" t="s">
        <v>123</v>
      </c>
      <c r="AE19" s="23" t="s">
        <v>123</v>
      </c>
      <c r="AF19" s="23" t="s">
        <v>123</v>
      </c>
      <c r="AG19" s="23" t="s">
        <v>123</v>
      </c>
      <c r="AH19" s="23" t="s">
        <v>123</v>
      </c>
      <c r="AI19" s="23"/>
      <c r="AJ19" s="23"/>
      <c r="AK19" s="23" t="s">
        <v>123</v>
      </c>
      <c r="AL19" s="22">
        <f t="shared" si="2"/>
        <v>21</v>
      </c>
    </row>
    <row r="20" spans="2:38" x14ac:dyDescent="0.3">
      <c r="B20" s="23">
        <v>13</v>
      </c>
      <c r="C20" s="35" t="s">
        <v>51</v>
      </c>
      <c r="D20" s="35" t="s">
        <v>52</v>
      </c>
      <c r="E20" s="35" t="s">
        <v>26</v>
      </c>
      <c r="F20" s="35" t="s">
        <v>439</v>
      </c>
      <c r="G20" s="23"/>
      <c r="H20" s="23"/>
      <c r="I20" s="23" t="s">
        <v>123</v>
      </c>
      <c r="J20" s="23" t="s">
        <v>123</v>
      </c>
      <c r="K20" s="23" t="s">
        <v>123</v>
      </c>
      <c r="L20" s="23" t="s">
        <v>123</v>
      </c>
      <c r="M20" s="23" t="s">
        <v>123</v>
      </c>
      <c r="N20" s="23"/>
      <c r="O20" s="23"/>
      <c r="P20" s="23" t="s">
        <v>123</v>
      </c>
      <c r="Q20" s="23" t="s">
        <v>123</v>
      </c>
      <c r="R20" s="23" t="s">
        <v>123</v>
      </c>
      <c r="S20" s="23" t="s">
        <v>123</v>
      </c>
      <c r="T20" s="23" t="s">
        <v>123</v>
      </c>
      <c r="U20" s="23"/>
      <c r="V20" s="23"/>
      <c r="W20" s="23" t="s">
        <v>123</v>
      </c>
      <c r="X20" s="23" t="s">
        <v>123</v>
      </c>
      <c r="Y20" s="23" t="s">
        <v>123</v>
      </c>
      <c r="Z20" s="23" t="s">
        <v>123</v>
      </c>
      <c r="AA20" s="23" t="s">
        <v>123</v>
      </c>
      <c r="AB20" s="23"/>
      <c r="AC20" s="23"/>
      <c r="AD20" s="23" t="s">
        <v>123</v>
      </c>
      <c r="AE20" s="23" t="s">
        <v>123</v>
      </c>
      <c r="AF20" s="23" t="s">
        <v>123</v>
      </c>
      <c r="AG20" s="23" t="s">
        <v>123</v>
      </c>
      <c r="AH20" s="23" t="s">
        <v>123</v>
      </c>
      <c r="AI20" s="23"/>
      <c r="AJ20" s="23"/>
      <c r="AK20" s="23" t="s">
        <v>123</v>
      </c>
      <c r="AL20" s="22">
        <f t="shared" si="2"/>
        <v>21</v>
      </c>
    </row>
    <row r="21" spans="2:38" x14ac:dyDescent="0.3">
      <c r="B21" s="23">
        <v>14</v>
      </c>
      <c r="C21" s="35" t="s">
        <v>53</v>
      </c>
      <c r="D21" s="35" t="s">
        <v>54</v>
      </c>
      <c r="E21" s="35" t="s">
        <v>26</v>
      </c>
      <c r="F21" s="35" t="s">
        <v>439</v>
      </c>
      <c r="G21" s="23"/>
      <c r="H21" s="23"/>
      <c r="I21" s="23" t="s">
        <v>123</v>
      </c>
      <c r="J21" s="23" t="s">
        <v>123</v>
      </c>
      <c r="K21" s="23" t="s">
        <v>123</v>
      </c>
      <c r="L21" s="23" t="s">
        <v>123</v>
      </c>
      <c r="M21" s="23" t="s">
        <v>123</v>
      </c>
      <c r="N21" s="23"/>
      <c r="O21" s="23"/>
      <c r="P21" s="23" t="s">
        <v>123</v>
      </c>
      <c r="Q21" s="23" t="s">
        <v>123</v>
      </c>
      <c r="R21" s="23" t="s">
        <v>123</v>
      </c>
      <c r="S21" s="23" t="s">
        <v>123</v>
      </c>
      <c r="T21" s="23" t="s">
        <v>123</v>
      </c>
      <c r="U21" s="23"/>
      <c r="V21" s="23"/>
      <c r="W21" s="23" t="s">
        <v>123</v>
      </c>
      <c r="X21" s="23" t="s">
        <v>123</v>
      </c>
      <c r="Y21" s="23" t="s">
        <v>123</v>
      </c>
      <c r="Z21" s="23" t="s">
        <v>123</v>
      </c>
      <c r="AA21" s="23" t="s">
        <v>123</v>
      </c>
      <c r="AB21" s="23"/>
      <c r="AC21" s="23"/>
      <c r="AD21" s="23" t="s">
        <v>123</v>
      </c>
      <c r="AE21" s="23" t="s">
        <v>123</v>
      </c>
      <c r="AF21" s="23" t="s">
        <v>123</v>
      </c>
      <c r="AG21" s="23" t="s">
        <v>123</v>
      </c>
      <c r="AH21" s="23" t="s">
        <v>123</v>
      </c>
      <c r="AI21" s="23"/>
      <c r="AJ21" s="23"/>
      <c r="AK21" s="23" t="s">
        <v>123</v>
      </c>
      <c r="AL21" s="22">
        <f t="shared" si="2"/>
        <v>21</v>
      </c>
    </row>
    <row r="22" spans="2:38" x14ac:dyDescent="0.3">
      <c r="B22" s="23">
        <v>15</v>
      </c>
      <c r="C22" s="35" t="s">
        <v>55</v>
      </c>
      <c r="D22" s="35" t="s">
        <v>56</v>
      </c>
      <c r="E22" s="35" t="s">
        <v>26</v>
      </c>
      <c r="F22" s="35" t="s">
        <v>439</v>
      </c>
      <c r="G22" s="23"/>
      <c r="H22" s="23"/>
      <c r="I22" s="23" t="s">
        <v>123</v>
      </c>
      <c r="J22" s="23" t="s">
        <v>123</v>
      </c>
      <c r="K22" s="23" t="s">
        <v>123</v>
      </c>
      <c r="L22" s="23" t="s">
        <v>123</v>
      </c>
      <c r="M22" s="23" t="s">
        <v>123</v>
      </c>
      <c r="N22" s="23"/>
      <c r="O22" s="23"/>
      <c r="P22" s="23" t="s">
        <v>123</v>
      </c>
      <c r="Q22" s="23" t="s">
        <v>123</v>
      </c>
      <c r="R22" s="23" t="s">
        <v>123</v>
      </c>
      <c r="S22" s="23" t="s">
        <v>123</v>
      </c>
      <c r="T22" s="23" t="s">
        <v>123</v>
      </c>
      <c r="U22" s="23"/>
      <c r="V22" s="23"/>
      <c r="W22" s="23" t="s">
        <v>123</v>
      </c>
      <c r="X22" s="23" t="s">
        <v>123</v>
      </c>
      <c r="Y22" s="23" t="s">
        <v>123</v>
      </c>
      <c r="Z22" s="23" t="s">
        <v>123</v>
      </c>
      <c r="AA22" s="23" t="s">
        <v>123</v>
      </c>
      <c r="AB22" s="23"/>
      <c r="AC22" s="23"/>
      <c r="AD22" s="23" t="s">
        <v>123</v>
      </c>
      <c r="AE22" s="23" t="s">
        <v>123</v>
      </c>
      <c r="AF22" s="23" t="s">
        <v>123</v>
      </c>
      <c r="AG22" s="23" t="s">
        <v>123</v>
      </c>
      <c r="AH22" s="23" t="s">
        <v>123</v>
      </c>
      <c r="AI22" s="23"/>
      <c r="AJ22" s="23"/>
      <c r="AK22" s="23" t="s">
        <v>123</v>
      </c>
      <c r="AL22" s="22">
        <f t="shared" si="2"/>
        <v>21</v>
      </c>
    </row>
    <row r="25" spans="2:38" x14ac:dyDescent="0.3">
      <c r="W25" s="253">
        <f>IF(CHE_DO_NGHI=1,WORKDAY.INTL(EOMONTH(DATE(P5,L5,1),0)+1,-1,1,INDEX(DATA_NGHI_LE[],0,1)),WORKDAY.INTL(EOMONTH(DATE(P5,L5,1),0)+1,-1,11,INDEX(DATA_NGHI_LE[],0,1)))</f>
        <v>45138</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5" priority="1">
      <formula>IF(AND(CHE_DO_NGHI=1,OR(G$7="Chủ nhật",G$7="Thứ Bảy")),TRUE,IF(AND(CHE_DO_NGHI=2,G$7="Chủ nhật"),TRUE,FALSE))</formula>
    </cfRule>
  </conditionalFormatting>
  <pageMargins left="0.7" right="0.7" top="0.75" bottom="0.75" header="0.3" footer="0.3"/>
  <pageSetup paperSize="9" scale="72" fitToHeight="0" orientation="landscape" cellComments="atEnd"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7E5E3-62FF-43DA-A146-1CA00133F1FF}">
  <sheetPr codeName="Sheet128">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7" width="3.33203125" style="5"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8</v>
      </c>
      <c r="M5" s="252"/>
      <c r="N5" s="251" t="s">
        <v>93</v>
      </c>
      <c r="O5" s="251"/>
      <c r="P5" s="250">
        <f>Nam_Bang_Luong</f>
        <v>2023</v>
      </c>
      <c r="Q5" s="250"/>
    </row>
    <row r="6" spans="2:38" x14ac:dyDescent="0.3">
      <c r="B6" s="220" t="s">
        <v>5</v>
      </c>
      <c r="C6" s="220" t="s">
        <v>91</v>
      </c>
      <c r="D6" s="220" t="s">
        <v>6</v>
      </c>
      <c r="E6" s="220" t="s">
        <v>8</v>
      </c>
      <c r="F6" s="220" t="s">
        <v>7</v>
      </c>
      <c r="G6" s="20">
        <f>DATE(P5,L5,1)</f>
        <v>45139</v>
      </c>
      <c r="H6" s="20">
        <f>G6+1</f>
        <v>45140</v>
      </c>
      <c r="I6" s="20">
        <f t="shared" ref="I6:AK6" si="0">H6+1</f>
        <v>45141</v>
      </c>
      <c r="J6" s="20">
        <f t="shared" si="0"/>
        <v>45142</v>
      </c>
      <c r="K6" s="20">
        <f t="shared" si="0"/>
        <v>45143</v>
      </c>
      <c r="L6" s="20">
        <f t="shared" si="0"/>
        <v>45144</v>
      </c>
      <c r="M6" s="20">
        <f t="shared" si="0"/>
        <v>45145</v>
      </c>
      <c r="N6" s="20">
        <f t="shared" si="0"/>
        <v>45146</v>
      </c>
      <c r="O6" s="20">
        <f t="shared" si="0"/>
        <v>45147</v>
      </c>
      <c r="P6" s="20">
        <f t="shared" si="0"/>
        <v>45148</v>
      </c>
      <c r="Q6" s="20">
        <f t="shared" si="0"/>
        <v>45149</v>
      </c>
      <c r="R6" s="20">
        <f t="shared" si="0"/>
        <v>45150</v>
      </c>
      <c r="S6" s="20">
        <f t="shared" si="0"/>
        <v>45151</v>
      </c>
      <c r="T6" s="20">
        <f t="shared" si="0"/>
        <v>45152</v>
      </c>
      <c r="U6" s="20">
        <f t="shared" si="0"/>
        <v>45153</v>
      </c>
      <c r="V6" s="20">
        <f t="shared" si="0"/>
        <v>45154</v>
      </c>
      <c r="W6" s="20">
        <f t="shared" si="0"/>
        <v>45155</v>
      </c>
      <c r="X6" s="20">
        <f t="shared" si="0"/>
        <v>45156</v>
      </c>
      <c r="Y6" s="20">
        <f t="shared" si="0"/>
        <v>45157</v>
      </c>
      <c r="Z6" s="20">
        <f t="shared" si="0"/>
        <v>45158</v>
      </c>
      <c r="AA6" s="20">
        <f t="shared" si="0"/>
        <v>45159</v>
      </c>
      <c r="AB6" s="20">
        <f t="shared" si="0"/>
        <v>45160</v>
      </c>
      <c r="AC6" s="20">
        <f t="shared" si="0"/>
        <v>45161</v>
      </c>
      <c r="AD6" s="20">
        <f t="shared" si="0"/>
        <v>45162</v>
      </c>
      <c r="AE6" s="20">
        <f t="shared" si="0"/>
        <v>45163</v>
      </c>
      <c r="AF6" s="20">
        <f t="shared" si="0"/>
        <v>45164</v>
      </c>
      <c r="AG6" s="20">
        <f t="shared" si="0"/>
        <v>45165</v>
      </c>
      <c r="AH6" s="20">
        <f t="shared" si="0"/>
        <v>45166</v>
      </c>
      <c r="AI6" s="20">
        <f t="shared" si="0"/>
        <v>45167</v>
      </c>
      <c r="AJ6" s="20">
        <f t="shared" si="0"/>
        <v>45168</v>
      </c>
      <c r="AK6" s="20">
        <f t="shared" si="0"/>
        <v>45169</v>
      </c>
      <c r="AL6" s="217" t="s">
        <v>107</v>
      </c>
    </row>
    <row r="7" spans="2:38" ht="46.2" x14ac:dyDescent="0.3">
      <c r="B7" s="220"/>
      <c r="C7" s="220"/>
      <c r="D7" s="220"/>
      <c r="E7" s="220"/>
      <c r="F7" s="220"/>
      <c r="G7" s="21" t="str">
        <f>TEXT(G6,"[$-042A]dddd")</f>
        <v>Thứ Ba</v>
      </c>
      <c r="H7" s="21" t="str">
        <f t="shared" ref="H7:AK7" si="1">TEXT(H6,"[$-042A]dddd")</f>
        <v>Thứ Tư</v>
      </c>
      <c r="I7" s="21" t="str">
        <f t="shared" si="1"/>
        <v>Thứ Năm</v>
      </c>
      <c r="J7" s="21" t="str">
        <f t="shared" si="1"/>
        <v>Thứ Sáu</v>
      </c>
      <c r="K7" s="21" t="str">
        <f t="shared" si="1"/>
        <v>Thứ Bảy</v>
      </c>
      <c r="L7" s="21" t="str">
        <f t="shared" si="1"/>
        <v>Chủ Nhật</v>
      </c>
      <c r="M7" s="21" t="str">
        <f t="shared" si="1"/>
        <v>Thứ Hai</v>
      </c>
      <c r="N7" s="21" t="str">
        <f t="shared" si="1"/>
        <v>Thứ Ba</v>
      </c>
      <c r="O7" s="21" t="str">
        <f t="shared" si="1"/>
        <v>Thứ Tư</v>
      </c>
      <c r="P7" s="21" t="str">
        <f t="shared" si="1"/>
        <v>Thứ Năm</v>
      </c>
      <c r="Q7" s="21" t="str">
        <f t="shared" si="1"/>
        <v>Thứ Sáu</v>
      </c>
      <c r="R7" s="21" t="str">
        <f t="shared" si="1"/>
        <v>Thứ Bảy</v>
      </c>
      <c r="S7" s="21" t="str">
        <f t="shared" si="1"/>
        <v>Chủ Nhật</v>
      </c>
      <c r="T7" s="21" t="str">
        <f t="shared" si="1"/>
        <v>Thứ Hai</v>
      </c>
      <c r="U7" s="21" t="str">
        <f t="shared" si="1"/>
        <v>Thứ Ba</v>
      </c>
      <c r="V7" s="21" t="str">
        <f t="shared" si="1"/>
        <v>Thứ Tư</v>
      </c>
      <c r="W7" s="21" t="str">
        <f t="shared" si="1"/>
        <v>Thứ Năm</v>
      </c>
      <c r="X7" s="21" t="str">
        <f t="shared" si="1"/>
        <v>Thứ Sáu</v>
      </c>
      <c r="Y7" s="21" t="str">
        <f t="shared" si="1"/>
        <v>Thứ Bảy</v>
      </c>
      <c r="Z7" s="21" t="str">
        <f t="shared" si="1"/>
        <v>Chủ Nhật</v>
      </c>
      <c r="AA7" s="21" t="str">
        <f t="shared" si="1"/>
        <v>Thứ Hai</v>
      </c>
      <c r="AB7" s="21" t="str">
        <f t="shared" si="1"/>
        <v>Thứ Ba</v>
      </c>
      <c r="AC7" s="21" t="str">
        <f t="shared" si="1"/>
        <v>Thứ Tư</v>
      </c>
      <c r="AD7" s="21" t="str">
        <f t="shared" si="1"/>
        <v>Thứ Năm</v>
      </c>
      <c r="AE7" s="21" t="str">
        <f t="shared" si="1"/>
        <v>Thứ Sáu</v>
      </c>
      <c r="AF7" s="21" t="str">
        <f t="shared" si="1"/>
        <v>Thứ Bảy</v>
      </c>
      <c r="AG7" s="21" t="str">
        <f t="shared" si="1"/>
        <v>Chủ Nhật</v>
      </c>
      <c r="AH7" s="21" t="str">
        <f t="shared" si="1"/>
        <v>Thứ Hai</v>
      </c>
      <c r="AI7" s="21" t="str">
        <f t="shared" si="1"/>
        <v>Thứ Ba</v>
      </c>
      <c r="AJ7" s="21" t="str">
        <f t="shared" si="1"/>
        <v>Thứ Tư</v>
      </c>
      <c r="AK7" s="21" t="str">
        <f t="shared" si="1"/>
        <v>Thứ Năm</v>
      </c>
      <c r="AL7" s="217"/>
    </row>
    <row r="8" spans="2:38" x14ac:dyDescent="0.3">
      <c r="B8" s="23">
        <v>1</v>
      </c>
      <c r="C8" s="35" t="s">
        <v>9</v>
      </c>
      <c r="D8" s="35" t="s">
        <v>10</v>
      </c>
      <c r="E8" s="35" t="s">
        <v>11</v>
      </c>
      <c r="F8" s="35" t="s">
        <v>438</v>
      </c>
      <c r="G8" s="23" t="s">
        <v>123</v>
      </c>
      <c r="H8" s="23" t="s">
        <v>123</v>
      </c>
      <c r="I8" s="23" t="s">
        <v>123</v>
      </c>
      <c r="J8" s="23" t="s">
        <v>123</v>
      </c>
      <c r="K8" s="23"/>
      <c r="L8" s="24"/>
      <c r="M8" s="24" t="s">
        <v>123</v>
      </c>
      <c r="N8" s="24" t="s">
        <v>123</v>
      </c>
      <c r="O8" s="24" t="s">
        <v>123</v>
      </c>
      <c r="P8" s="24" t="s">
        <v>123</v>
      </c>
      <c r="Q8" s="24" t="s">
        <v>123</v>
      </c>
      <c r="R8" s="24"/>
      <c r="S8" s="24"/>
      <c r="T8" s="23" t="s">
        <v>123</v>
      </c>
      <c r="U8" s="23" t="s">
        <v>123</v>
      </c>
      <c r="V8" s="23" t="s">
        <v>123</v>
      </c>
      <c r="W8" s="23" t="s">
        <v>123</v>
      </c>
      <c r="X8" s="23" t="s">
        <v>123</v>
      </c>
      <c r="Y8" s="23"/>
      <c r="Z8" s="23"/>
      <c r="AA8" s="23" t="s">
        <v>123</v>
      </c>
      <c r="AB8" s="23" t="s">
        <v>123</v>
      </c>
      <c r="AC8" s="23" t="s">
        <v>123</v>
      </c>
      <c r="AD8" s="23" t="s">
        <v>123</v>
      </c>
      <c r="AE8" s="23" t="s">
        <v>123</v>
      </c>
      <c r="AF8" s="23"/>
      <c r="AG8" s="23"/>
      <c r="AH8" s="23" t="s">
        <v>123</v>
      </c>
      <c r="AI8" s="23" t="s">
        <v>123</v>
      </c>
      <c r="AJ8" s="23" t="s">
        <v>123</v>
      </c>
      <c r="AK8" s="23" t="s">
        <v>123</v>
      </c>
      <c r="AL8" s="22">
        <f t="shared" ref="AL8:AL22" si="2">COUNTIF(G8:AK8,"X")+0.5*COUNTIF(G8:AK8,"X/2")+COUNTIF(G8:AK8,"NL")</f>
        <v>23</v>
      </c>
    </row>
    <row r="9" spans="2:38" x14ac:dyDescent="0.3">
      <c r="B9" s="23">
        <v>2</v>
      </c>
      <c r="C9" s="35" t="s">
        <v>14</v>
      </c>
      <c r="D9" s="35" t="s">
        <v>15</v>
      </c>
      <c r="E9" s="35" t="s">
        <v>16</v>
      </c>
      <c r="F9" s="35" t="s">
        <v>438</v>
      </c>
      <c r="G9" s="23" t="s">
        <v>123</v>
      </c>
      <c r="H9" s="23" t="s">
        <v>123</v>
      </c>
      <c r="I9" s="23" t="s">
        <v>123</v>
      </c>
      <c r="J9" s="23" t="s">
        <v>123</v>
      </c>
      <c r="K9" s="23"/>
      <c r="L9" s="24"/>
      <c r="M9" s="24" t="s">
        <v>123</v>
      </c>
      <c r="N9" s="24" t="s">
        <v>123</v>
      </c>
      <c r="O9" s="24" t="s">
        <v>123</v>
      </c>
      <c r="P9" s="24" t="s">
        <v>123</v>
      </c>
      <c r="Q9" s="24" t="s">
        <v>123</v>
      </c>
      <c r="R9" s="24"/>
      <c r="S9" s="24"/>
      <c r="T9" s="23" t="s">
        <v>123</v>
      </c>
      <c r="U9" s="23" t="s">
        <v>123</v>
      </c>
      <c r="V9" s="23" t="s">
        <v>123</v>
      </c>
      <c r="W9" s="23" t="s">
        <v>123</v>
      </c>
      <c r="X9" s="23" t="s">
        <v>123</v>
      </c>
      <c r="Y9" s="23"/>
      <c r="Z9" s="23"/>
      <c r="AA9" s="23" t="s">
        <v>123</v>
      </c>
      <c r="AB9" s="23" t="s">
        <v>123</v>
      </c>
      <c r="AC9" s="23" t="s">
        <v>123</v>
      </c>
      <c r="AD9" s="23" t="s">
        <v>123</v>
      </c>
      <c r="AE9" s="23" t="s">
        <v>123</v>
      </c>
      <c r="AF9" s="23"/>
      <c r="AG9" s="23"/>
      <c r="AH9" s="23" t="s">
        <v>123</v>
      </c>
      <c r="AI9" s="23" t="s">
        <v>123</v>
      </c>
      <c r="AJ9" s="23" t="s">
        <v>123</v>
      </c>
      <c r="AK9" s="23" t="s">
        <v>123</v>
      </c>
      <c r="AL9" s="22">
        <f t="shared" si="2"/>
        <v>23</v>
      </c>
    </row>
    <row r="10" spans="2:38" x14ac:dyDescent="0.3">
      <c r="B10" s="23">
        <v>3</v>
      </c>
      <c r="C10" s="35" t="s">
        <v>19</v>
      </c>
      <c r="D10" s="35" t="s">
        <v>20</v>
      </c>
      <c r="E10" s="35" t="s">
        <v>21</v>
      </c>
      <c r="F10" s="35" t="s">
        <v>438</v>
      </c>
      <c r="G10" s="23" t="s">
        <v>123</v>
      </c>
      <c r="H10" s="23" t="s">
        <v>123</v>
      </c>
      <c r="I10" s="23" t="s">
        <v>123</v>
      </c>
      <c r="J10" s="23" t="s">
        <v>123</v>
      </c>
      <c r="K10" s="23"/>
      <c r="L10" s="24"/>
      <c r="M10" s="24" t="s">
        <v>123</v>
      </c>
      <c r="N10" s="24" t="s">
        <v>123</v>
      </c>
      <c r="O10" s="24" t="s">
        <v>123</v>
      </c>
      <c r="P10" s="24" t="s">
        <v>123</v>
      </c>
      <c r="Q10" s="24" t="s">
        <v>123</v>
      </c>
      <c r="R10" s="24"/>
      <c r="S10" s="24"/>
      <c r="T10" s="23" t="s">
        <v>123</v>
      </c>
      <c r="U10" s="23" t="s">
        <v>123</v>
      </c>
      <c r="V10" s="23" t="s">
        <v>123</v>
      </c>
      <c r="W10" s="23" t="s">
        <v>123</v>
      </c>
      <c r="X10" s="23" t="s">
        <v>123</v>
      </c>
      <c r="Y10" s="23"/>
      <c r="Z10" s="23"/>
      <c r="AA10" s="23" t="s">
        <v>123</v>
      </c>
      <c r="AB10" s="23" t="s">
        <v>123</v>
      </c>
      <c r="AC10" s="23" t="s">
        <v>123</v>
      </c>
      <c r="AD10" s="23" t="s">
        <v>123</v>
      </c>
      <c r="AE10" s="23" t="s">
        <v>123</v>
      </c>
      <c r="AF10" s="23"/>
      <c r="AG10" s="23"/>
      <c r="AH10" s="23" t="s">
        <v>123</v>
      </c>
      <c r="AI10" s="23" t="s">
        <v>123</v>
      </c>
      <c r="AJ10" s="23" t="s">
        <v>123</v>
      </c>
      <c r="AK10" s="23" t="s">
        <v>123</v>
      </c>
      <c r="AL10" s="22">
        <f t="shared" si="2"/>
        <v>23</v>
      </c>
    </row>
    <row r="11" spans="2:38" x14ac:dyDescent="0.3">
      <c r="B11" s="23">
        <v>4</v>
      </c>
      <c r="C11" s="35" t="s">
        <v>24</v>
      </c>
      <c r="D11" s="35" t="s">
        <v>25</v>
      </c>
      <c r="E11" s="35" t="s">
        <v>26</v>
      </c>
      <c r="F11" s="35" t="s">
        <v>439</v>
      </c>
      <c r="G11" s="23" t="s">
        <v>123</v>
      </c>
      <c r="H11" s="23" t="s">
        <v>123</v>
      </c>
      <c r="I11" s="23" t="s">
        <v>123</v>
      </c>
      <c r="J11" s="23" t="s">
        <v>123</v>
      </c>
      <c r="K11" s="23"/>
      <c r="L11" s="24"/>
      <c r="M11" s="24" t="s">
        <v>123</v>
      </c>
      <c r="N11" s="24" t="s">
        <v>123</v>
      </c>
      <c r="O11" s="24" t="s">
        <v>123</v>
      </c>
      <c r="P11" s="24" t="s">
        <v>123</v>
      </c>
      <c r="Q11" s="24" t="s">
        <v>123</v>
      </c>
      <c r="R11" s="24"/>
      <c r="S11" s="24"/>
      <c r="T11" s="23" t="s">
        <v>123</v>
      </c>
      <c r="U11" s="23" t="s">
        <v>123</v>
      </c>
      <c r="V11" s="23" t="s">
        <v>123</v>
      </c>
      <c r="W11" s="23" t="s">
        <v>123</v>
      </c>
      <c r="X11" s="23" t="s">
        <v>123</v>
      </c>
      <c r="Y11" s="23"/>
      <c r="Z11" s="23"/>
      <c r="AA11" s="23" t="s">
        <v>123</v>
      </c>
      <c r="AB11" s="23" t="s">
        <v>123</v>
      </c>
      <c r="AC11" s="23" t="s">
        <v>123</v>
      </c>
      <c r="AD11" s="23" t="s">
        <v>123</v>
      </c>
      <c r="AE11" s="23" t="s">
        <v>123</v>
      </c>
      <c r="AF11" s="23"/>
      <c r="AG11" s="23"/>
      <c r="AH11" s="23" t="s">
        <v>123</v>
      </c>
      <c r="AI11" s="23" t="s">
        <v>123</v>
      </c>
      <c r="AJ11" s="23" t="s">
        <v>123</v>
      </c>
      <c r="AK11" s="23" t="s">
        <v>123</v>
      </c>
      <c r="AL11" s="22">
        <f t="shared" si="2"/>
        <v>23</v>
      </c>
    </row>
    <row r="12" spans="2:38" x14ac:dyDescent="0.3">
      <c r="B12" s="23">
        <v>5</v>
      </c>
      <c r="C12" s="35" t="s">
        <v>29</v>
      </c>
      <c r="D12" s="35" t="s">
        <v>30</v>
      </c>
      <c r="E12" s="35" t="s">
        <v>26</v>
      </c>
      <c r="F12" s="35" t="s">
        <v>439</v>
      </c>
      <c r="G12" s="23" t="s">
        <v>123</v>
      </c>
      <c r="H12" s="23" t="s">
        <v>123</v>
      </c>
      <c r="I12" s="23" t="s">
        <v>123</v>
      </c>
      <c r="J12" s="23" t="s">
        <v>123</v>
      </c>
      <c r="K12" s="23"/>
      <c r="L12" s="23"/>
      <c r="M12" s="23" t="s">
        <v>123</v>
      </c>
      <c r="N12" s="23" t="s">
        <v>123</v>
      </c>
      <c r="O12" s="23" t="s">
        <v>123</v>
      </c>
      <c r="P12" s="23" t="s">
        <v>123</v>
      </c>
      <c r="Q12" s="23" t="s">
        <v>123</v>
      </c>
      <c r="R12" s="23"/>
      <c r="S12" s="23"/>
      <c r="T12" s="23" t="s">
        <v>123</v>
      </c>
      <c r="U12" s="23" t="s">
        <v>123</v>
      </c>
      <c r="V12" s="23" t="s">
        <v>123</v>
      </c>
      <c r="W12" s="23" t="s">
        <v>123</v>
      </c>
      <c r="X12" s="23" t="s">
        <v>123</v>
      </c>
      <c r="Y12" s="23"/>
      <c r="Z12" s="23"/>
      <c r="AA12" s="23" t="s">
        <v>123</v>
      </c>
      <c r="AB12" s="23" t="s">
        <v>123</v>
      </c>
      <c r="AC12" s="23" t="s">
        <v>123</v>
      </c>
      <c r="AD12" s="23" t="s">
        <v>123</v>
      </c>
      <c r="AE12" s="23" t="s">
        <v>123</v>
      </c>
      <c r="AF12" s="23"/>
      <c r="AG12" s="23"/>
      <c r="AH12" s="23" t="s">
        <v>123</v>
      </c>
      <c r="AI12" s="23" t="s">
        <v>123</v>
      </c>
      <c r="AJ12" s="23" t="s">
        <v>123</v>
      </c>
      <c r="AK12" s="23" t="s">
        <v>123</v>
      </c>
      <c r="AL12" s="22">
        <f t="shared" si="2"/>
        <v>23</v>
      </c>
    </row>
    <row r="13" spans="2:38" x14ac:dyDescent="0.3">
      <c r="B13" s="23">
        <v>6</v>
      </c>
      <c r="C13" s="35" t="s">
        <v>32</v>
      </c>
      <c r="D13" s="35" t="s">
        <v>33</v>
      </c>
      <c r="E13" s="35" t="s">
        <v>26</v>
      </c>
      <c r="F13" s="35" t="s">
        <v>439</v>
      </c>
      <c r="G13" s="23" t="s">
        <v>123</v>
      </c>
      <c r="H13" s="23" t="s">
        <v>123</v>
      </c>
      <c r="I13" s="23" t="s">
        <v>123</v>
      </c>
      <c r="J13" s="23" t="s">
        <v>123</v>
      </c>
      <c r="K13" s="23"/>
      <c r="L13" s="23"/>
      <c r="M13" s="23" t="s">
        <v>123</v>
      </c>
      <c r="N13" s="23" t="s">
        <v>123</v>
      </c>
      <c r="O13" s="23" t="s">
        <v>123</v>
      </c>
      <c r="P13" s="23" t="s">
        <v>123</v>
      </c>
      <c r="Q13" s="23" t="s">
        <v>123</v>
      </c>
      <c r="R13" s="23"/>
      <c r="S13" s="23"/>
      <c r="T13" s="23" t="s">
        <v>123</v>
      </c>
      <c r="U13" s="23" t="s">
        <v>123</v>
      </c>
      <c r="V13" s="23" t="s">
        <v>123</v>
      </c>
      <c r="W13" s="23" t="s">
        <v>123</v>
      </c>
      <c r="X13" s="23" t="s">
        <v>123</v>
      </c>
      <c r="Y13" s="23"/>
      <c r="Z13" s="23"/>
      <c r="AA13" s="23" t="s">
        <v>123</v>
      </c>
      <c r="AB13" s="23" t="s">
        <v>123</v>
      </c>
      <c r="AC13" s="23" t="s">
        <v>123</v>
      </c>
      <c r="AD13" s="23" t="s">
        <v>123</v>
      </c>
      <c r="AE13" s="23" t="s">
        <v>123</v>
      </c>
      <c r="AF13" s="23"/>
      <c r="AG13" s="23"/>
      <c r="AH13" s="23" t="s">
        <v>123</v>
      </c>
      <c r="AI13" s="23" t="s">
        <v>123</v>
      </c>
      <c r="AJ13" s="23" t="s">
        <v>123</v>
      </c>
      <c r="AK13" s="23" t="s">
        <v>123</v>
      </c>
      <c r="AL13" s="22">
        <f t="shared" si="2"/>
        <v>23</v>
      </c>
    </row>
    <row r="14" spans="2:38" x14ac:dyDescent="0.3">
      <c r="B14" s="23">
        <v>7</v>
      </c>
      <c r="C14" s="35" t="s">
        <v>35</v>
      </c>
      <c r="D14" s="35" t="s">
        <v>36</v>
      </c>
      <c r="E14" s="35" t="s">
        <v>26</v>
      </c>
      <c r="F14" s="35" t="s">
        <v>439</v>
      </c>
      <c r="G14" s="23" t="s">
        <v>123</v>
      </c>
      <c r="H14" s="23" t="s">
        <v>123</v>
      </c>
      <c r="I14" s="23" t="s">
        <v>123</v>
      </c>
      <c r="J14" s="23" t="s">
        <v>123</v>
      </c>
      <c r="K14" s="23"/>
      <c r="L14" s="23"/>
      <c r="M14" s="23" t="s">
        <v>123</v>
      </c>
      <c r="N14" s="23" t="s">
        <v>123</v>
      </c>
      <c r="O14" s="23" t="s">
        <v>123</v>
      </c>
      <c r="P14" s="23" t="s">
        <v>123</v>
      </c>
      <c r="Q14" s="23" t="s">
        <v>123</v>
      </c>
      <c r="R14" s="23"/>
      <c r="S14" s="23"/>
      <c r="T14" s="23" t="s">
        <v>123</v>
      </c>
      <c r="U14" s="23" t="s">
        <v>123</v>
      </c>
      <c r="V14" s="23" t="s">
        <v>123</v>
      </c>
      <c r="W14" s="23" t="s">
        <v>123</v>
      </c>
      <c r="X14" s="23" t="s">
        <v>123</v>
      </c>
      <c r="Y14" s="23"/>
      <c r="Z14" s="23"/>
      <c r="AA14" s="23" t="s">
        <v>123</v>
      </c>
      <c r="AB14" s="23" t="s">
        <v>123</v>
      </c>
      <c r="AC14" s="23" t="s">
        <v>123</v>
      </c>
      <c r="AD14" s="23" t="s">
        <v>123</v>
      </c>
      <c r="AE14" s="23" t="s">
        <v>123</v>
      </c>
      <c r="AF14" s="23"/>
      <c r="AG14" s="23"/>
      <c r="AH14" s="23" t="s">
        <v>123</v>
      </c>
      <c r="AI14" s="23" t="s">
        <v>123</v>
      </c>
      <c r="AJ14" s="23" t="s">
        <v>123</v>
      </c>
      <c r="AK14" s="23" t="s">
        <v>123</v>
      </c>
      <c r="AL14" s="22">
        <f t="shared" si="2"/>
        <v>23</v>
      </c>
    </row>
    <row r="15" spans="2:38" x14ac:dyDescent="0.3">
      <c r="B15" s="23">
        <v>8</v>
      </c>
      <c r="C15" s="35" t="s">
        <v>38</v>
      </c>
      <c r="D15" s="35" t="s">
        <v>39</v>
      </c>
      <c r="E15" s="35" t="s">
        <v>26</v>
      </c>
      <c r="F15" s="35" t="s">
        <v>439</v>
      </c>
      <c r="G15" s="23" t="s">
        <v>123</v>
      </c>
      <c r="H15" s="23" t="s">
        <v>123</v>
      </c>
      <c r="I15" s="23" t="s">
        <v>123</v>
      </c>
      <c r="J15" s="23" t="s">
        <v>123</v>
      </c>
      <c r="K15" s="23"/>
      <c r="L15" s="23"/>
      <c r="M15" s="23" t="s">
        <v>123</v>
      </c>
      <c r="N15" s="23" t="s">
        <v>123</v>
      </c>
      <c r="O15" s="23" t="s">
        <v>123</v>
      </c>
      <c r="P15" s="23" t="s">
        <v>123</v>
      </c>
      <c r="Q15" s="23" t="s">
        <v>123</v>
      </c>
      <c r="R15" s="23"/>
      <c r="S15" s="23"/>
      <c r="T15" s="23" t="s">
        <v>123</v>
      </c>
      <c r="U15" s="23" t="s">
        <v>123</v>
      </c>
      <c r="V15" s="23" t="s">
        <v>123</v>
      </c>
      <c r="W15" s="23" t="s">
        <v>123</v>
      </c>
      <c r="X15" s="23" t="s">
        <v>123</v>
      </c>
      <c r="Y15" s="23"/>
      <c r="Z15" s="23"/>
      <c r="AA15" s="23" t="s">
        <v>123</v>
      </c>
      <c r="AB15" s="23" t="s">
        <v>123</v>
      </c>
      <c r="AC15" s="23" t="s">
        <v>123</v>
      </c>
      <c r="AD15" s="23" t="s">
        <v>123</v>
      </c>
      <c r="AE15" s="23" t="s">
        <v>123</v>
      </c>
      <c r="AF15" s="23"/>
      <c r="AG15" s="23"/>
      <c r="AH15" s="23" t="s">
        <v>123</v>
      </c>
      <c r="AI15" s="23" t="s">
        <v>123</v>
      </c>
      <c r="AJ15" s="23" t="s">
        <v>123</v>
      </c>
      <c r="AK15" s="23" t="s">
        <v>123</v>
      </c>
      <c r="AL15" s="22">
        <f t="shared" si="2"/>
        <v>23</v>
      </c>
    </row>
    <row r="16" spans="2:38" x14ac:dyDescent="0.3">
      <c r="B16" s="23">
        <v>9</v>
      </c>
      <c r="C16" s="35" t="s">
        <v>41</v>
      </c>
      <c r="D16" s="35" t="s">
        <v>42</v>
      </c>
      <c r="E16" s="35" t="s">
        <v>26</v>
      </c>
      <c r="F16" s="35" t="s">
        <v>439</v>
      </c>
      <c r="G16" s="23" t="s">
        <v>123</v>
      </c>
      <c r="H16" s="23" t="s">
        <v>123</v>
      </c>
      <c r="I16" s="23" t="s">
        <v>123</v>
      </c>
      <c r="J16" s="23" t="s">
        <v>123</v>
      </c>
      <c r="K16" s="23"/>
      <c r="L16" s="23"/>
      <c r="M16" s="23" t="s">
        <v>123</v>
      </c>
      <c r="N16" s="23" t="s">
        <v>123</v>
      </c>
      <c r="O16" s="23" t="s">
        <v>123</v>
      </c>
      <c r="P16" s="23" t="s">
        <v>123</v>
      </c>
      <c r="Q16" s="23" t="s">
        <v>123</v>
      </c>
      <c r="R16" s="23"/>
      <c r="S16" s="23"/>
      <c r="T16" s="23" t="s">
        <v>123</v>
      </c>
      <c r="U16" s="23" t="s">
        <v>123</v>
      </c>
      <c r="V16" s="23" t="s">
        <v>123</v>
      </c>
      <c r="W16" s="23" t="s">
        <v>123</v>
      </c>
      <c r="X16" s="23" t="s">
        <v>123</v>
      </c>
      <c r="Y16" s="23"/>
      <c r="Z16" s="23"/>
      <c r="AA16" s="23" t="s">
        <v>123</v>
      </c>
      <c r="AB16" s="23" t="s">
        <v>123</v>
      </c>
      <c r="AC16" s="23" t="s">
        <v>123</v>
      </c>
      <c r="AD16" s="23" t="s">
        <v>123</v>
      </c>
      <c r="AE16" s="23" t="s">
        <v>123</v>
      </c>
      <c r="AF16" s="23"/>
      <c r="AG16" s="23"/>
      <c r="AH16" s="23" t="s">
        <v>123</v>
      </c>
      <c r="AI16" s="23" t="s">
        <v>123</v>
      </c>
      <c r="AJ16" s="23" t="s">
        <v>123</v>
      </c>
      <c r="AK16" s="23" t="s">
        <v>123</v>
      </c>
      <c r="AL16" s="22">
        <f t="shared" si="2"/>
        <v>23</v>
      </c>
    </row>
    <row r="17" spans="2:38" x14ac:dyDescent="0.3">
      <c r="B17" s="23">
        <v>10</v>
      </c>
      <c r="C17" s="35" t="s">
        <v>44</v>
      </c>
      <c r="D17" s="35" t="s">
        <v>45</v>
      </c>
      <c r="E17" s="35" t="s">
        <v>26</v>
      </c>
      <c r="F17" s="35" t="s">
        <v>439</v>
      </c>
      <c r="G17" s="23" t="s">
        <v>123</v>
      </c>
      <c r="H17" s="23" t="s">
        <v>123</v>
      </c>
      <c r="I17" s="23" t="s">
        <v>123</v>
      </c>
      <c r="J17" s="23" t="s">
        <v>123</v>
      </c>
      <c r="K17" s="23"/>
      <c r="L17" s="23"/>
      <c r="M17" s="23" t="s">
        <v>123</v>
      </c>
      <c r="N17" s="23" t="s">
        <v>123</v>
      </c>
      <c r="O17" s="23" t="s">
        <v>123</v>
      </c>
      <c r="P17" s="23" t="s">
        <v>123</v>
      </c>
      <c r="Q17" s="23" t="s">
        <v>123</v>
      </c>
      <c r="R17" s="23"/>
      <c r="S17" s="23"/>
      <c r="T17" s="23" t="s">
        <v>123</v>
      </c>
      <c r="U17" s="23" t="s">
        <v>123</v>
      </c>
      <c r="V17" s="23" t="s">
        <v>123</v>
      </c>
      <c r="W17" s="23" t="s">
        <v>123</v>
      </c>
      <c r="X17" s="23" t="s">
        <v>123</v>
      </c>
      <c r="Y17" s="23"/>
      <c r="Z17" s="23"/>
      <c r="AA17" s="23" t="s">
        <v>123</v>
      </c>
      <c r="AB17" s="23" t="s">
        <v>123</v>
      </c>
      <c r="AC17" s="23" t="s">
        <v>123</v>
      </c>
      <c r="AD17" s="23" t="s">
        <v>123</v>
      </c>
      <c r="AE17" s="23" t="s">
        <v>123</v>
      </c>
      <c r="AF17" s="23"/>
      <c r="AG17" s="23"/>
      <c r="AH17" s="23" t="s">
        <v>123</v>
      </c>
      <c r="AI17" s="23" t="s">
        <v>123</v>
      </c>
      <c r="AJ17" s="23" t="s">
        <v>123</v>
      </c>
      <c r="AK17" s="23" t="s">
        <v>123</v>
      </c>
      <c r="AL17" s="22">
        <f t="shared" si="2"/>
        <v>23</v>
      </c>
    </row>
    <row r="18" spans="2:38" x14ac:dyDescent="0.3">
      <c r="B18" s="23">
        <v>11</v>
      </c>
      <c r="C18" s="35" t="s">
        <v>47</v>
      </c>
      <c r="D18" s="35" t="s">
        <v>48</v>
      </c>
      <c r="E18" s="35" t="s">
        <v>26</v>
      </c>
      <c r="F18" s="35" t="s">
        <v>439</v>
      </c>
      <c r="G18" s="23" t="s">
        <v>123</v>
      </c>
      <c r="H18" s="23" t="s">
        <v>123</v>
      </c>
      <c r="I18" s="23" t="s">
        <v>123</v>
      </c>
      <c r="J18" s="23" t="s">
        <v>123</v>
      </c>
      <c r="K18" s="23"/>
      <c r="L18" s="23"/>
      <c r="M18" s="23" t="s">
        <v>123</v>
      </c>
      <c r="N18" s="23" t="s">
        <v>123</v>
      </c>
      <c r="O18" s="23" t="s">
        <v>123</v>
      </c>
      <c r="P18" s="23" t="s">
        <v>123</v>
      </c>
      <c r="Q18" s="23" t="s">
        <v>123</v>
      </c>
      <c r="R18" s="23"/>
      <c r="S18" s="23"/>
      <c r="T18" s="23" t="s">
        <v>123</v>
      </c>
      <c r="U18" s="23" t="s">
        <v>123</v>
      </c>
      <c r="V18" s="23" t="s">
        <v>123</v>
      </c>
      <c r="W18" s="23" t="s">
        <v>123</v>
      </c>
      <c r="X18" s="23" t="s">
        <v>123</v>
      </c>
      <c r="Y18" s="23"/>
      <c r="Z18" s="23"/>
      <c r="AA18" s="23" t="s">
        <v>123</v>
      </c>
      <c r="AB18" s="23" t="s">
        <v>123</v>
      </c>
      <c r="AC18" s="23" t="s">
        <v>123</v>
      </c>
      <c r="AD18" s="23" t="s">
        <v>123</v>
      </c>
      <c r="AE18" s="23" t="s">
        <v>123</v>
      </c>
      <c r="AF18" s="23"/>
      <c r="AG18" s="23"/>
      <c r="AH18" s="23" t="s">
        <v>123</v>
      </c>
      <c r="AI18" s="23" t="s">
        <v>123</v>
      </c>
      <c r="AJ18" s="23" t="s">
        <v>123</v>
      </c>
      <c r="AK18" s="23" t="s">
        <v>123</v>
      </c>
      <c r="AL18" s="22">
        <f t="shared" si="2"/>
        <v>23</v>
      </c>
    </row>
    <row r="19" spans="2:38" x14ac:dyDescent="0.3">
      <c r="B19" s="23">
        <v>12</v>
      </c>
      <c r="C19" s="35" t="s">
        <v>49</v>
      </c>
      <c r="D19" s="35" t="s">
        <v>50</v>
      </c>
      <c r="E19" s="35" t="s">
        <v>26</v>
      </c>
      <c r="F19" s="35" t="s">
        <v>439</v>
      </c>
      <c r="G19" s="23" t="s">
        <v>123</v>
      </c>
      <c r="H19" s="23" t="s">
        <v>123</v>
      </c>
      <c r="I19" s="23" t="s">
        <v>123</v>
      </c>
      <c r="J19" s="23" t="s">
        <v>123</v>
      </c>
      <c r="K19" s="23"/>
      <c r="L19" s="23"/>
      <c r="M19" s="23" t="s">
        <v>123</v>
      </c>
      <c r="N19" s="23" t="s">
        <v>123</v>
      </c>
      <c r="O19" s="23" t="s">
        <v>123</v>
      </c>
      <c r="P19" s="23" t="s">
        <v>123</v>
      </c>
      <c r="Q19" s="23" t="s">
        <v>123</v>
      </c>
      <c r="R19" s="23"/>
      <c r="S19" s="23"/>
      <c r="T19" s="23" t="s">
        <v>123</v>
      </c>
      <c r="U19" s="23" t="s">
        <v>123</v>
      </c>
      <c r="V19" s="23" t="s">
        <v>123</v>
      </c>
      <c r="W19" s="23" t="s">
        <v>123</v>
      </c>
      <c r="X19" s="23" t="s">
        <v>123</v>
      </c>
      <c r="Y19" s="23"/>
      <c r="Z19" s="23"/>
      <c r="AA19" s="23" t="s">
        <v>123</v>
      </c>
      <c r="AB19" s="23" t="s">
        <v>123</v>
      </c>
      <c r="AC19" s="23" t="s">
        <v>123</v>
      </c>
      <c r="AD19" s="23" t="s">
        <v>123</v>
      </c>
      <c r="AE19" s="23" t="s">
        <v>123</v>
      </c>
      <c r="AF19" s="23"/>
      <c r="AG19" s="23"/>
      <c r="AH19" s="23" t="s">
        <v>123</v>
      </c>
      <c r="AI19" s="23" t="s">
        <v>123</v>
      </c>
      <c r="AJ19" s="23" t="s">
        <v>123</v>
      </c>
      <c r="AK19" s="23" t="s">
        <v>123</v>
      </c>
      <c r="AL19" s="22">
        <f t="shared" si="2"/>
        <v>23</v>
      </c>
    </row>
    <row r="20" spans="2:38" x14ac:dyDescent="0.3">
      <c r="B20" s="23">
        <v>13</v>
      </c>
      <c r="C20" s="35" t="s">
        <v>51</v>
      </c>
      <c r="D20" s="35" t="s">
        <v>52</v>
      </c>
      <c r="E20" s="35" t="s">
        <v>26</v>
      </c>
      <c r="F20" s="35" t="s">
        <v>439</v>
      </c>
      <c r="G20" s="23" t="s">
        <v>123</v>
      </c>
      <c r="H20" s="23" t="s">
        <v>123</v>
      </c>
      <c r="I20" s="23" t="s">
        <v>123</v>
      </c>
      <c r="J20" s="23" t="s">
        <v>123</v>
      </c>
      <c r="K20" s="23"/>
      <c r="L20" s="23"/>
      <c r="M20" s="23" t="s">
        <v>123</v>
      </c>
      <c r="N20" s="23" t="s">
        <v>123</v>
      </c>
      <c r="O20" s="23" t="s">
        <v>123</v>
      </c>
      <c r="P20" s="23" t="s">
        <v>123</v>
      </c>
      <c r="Q20" s="23" t="s">
        <v>123</v>
      </c>
      <c r="R20" s="23"/>
      <c r="S20" s="23"/>
      <c r="T20" s="23" t="s">
        <v>123</v>
      </c>
      <c r="U20" s="23" t="s">
        <v>123</v>
      </c>
      <c r="V20" s="23" t="s">
        <v>123</v>
      </c>
      <c r="W20" s="23" t="s">
        <v>123</v>
      </c>
      <c r="X20" s="23" t="s">
        <v>123</v>
      </c>
      <c r="Y20" s="23"/>
      <c r="Z20" s="23"/>
      <c r="AA20" s="23" t="s">
        <v>123</v>
      </c>
      <c r="AB20" s="23" t="s">
        <v>123</v>
      </c>
      <c r="AC20" s="23" t="s">
        <v>123</v>
      </c>
      <c r="AD20" s="23" t="s">
        <v>123</v>
      </c>
      <c r="AE20" s="23" t="s">
        <v>123</v>
      </c>
      <c r="AF20" s="23"/>
      <c r="AG20" s="23"/>
      <c r="AH20" s="23" t="s">
        <v>123</v>
      </c>
      <c r="AI20" s="23" t="s">
        <v>123</v>
      </c>
      <c r="AJ20" s="23" t="s">
        <v>123</v>
      </c>
      <c r="AK20" s="23" t="s">
        <v>123</v>
      </c>
      <c r="AL20" s="22">
        <f t="shared" si="2"/>
        <v>23</v>
      </c>
    </row>
    <row r="21" spans="2:38" x14ac:dyDescent="0.3">
      <c r="B21" s="23">
        <v>14</v>
      </c>
      <c r="C21" s="35" t="s">
        <v>53</v>
      </c>
      <c r="D21" s="35" t="s">
        <v>54</v>
      </c>
      <c r="E21" s="35" t="s">
        <v>26</v>
      </c>
      <c r="F21" s="35" t="s">
        <v>439</v>
      </c>
      <c r="G21" s="23" t="s">
        <v>123</v>
      </c>
      <c r="H21" s="23" t="s">
        <v>123</v>
      </c>
      <c r="I21" s="23" t="s">
        <v>123</v>
      </c>
      <c r="J21" s="23" t="s">
        <v>123</v>
      </c>
      <c r="K21" s="23"/>
      <c r="L21" s="23"/>
      <c r="M21" s="23" t="s">
        <v>123</v>
      </c>
      <c r="N21" s="23" t="s">
        <v>123</v>
      </c>
      <c r="O21" s="23" t="s">
        <v>123</v>
      </c>
      <c r="P21" s="23" t="s">
        <v>123</v>
      </c>
      <c r="Q21" s="23" t="s">
        <v>123</v>
      </c>
      <c r="R21" s="23"/>
      <c r="S21" s="23"/>
      <c r="T21" s="23" t="s">
        <v>123</v>
      </c>
      <c r="U21" s="23" t="s">
        <v>123</v>
      </c>
      <c r="V21" s="23" t="s">
        <v>123</v>
      </c>
      <c r="W21" s="23" t="s">
        <v>123</v>
      </c>
      <c r="X21" s="23" t="s">
        <v>123</v>
      </c>
      <c r="Y21" s="23"/>
      <c r="Z21" s="23"/>
      <c r="AA21" s="23" t="s">
        <v>123</v>
      </c>
      <c r="AB21" s="23" t="s">
        <v>123</v>
      </c>
      <c r="AC21" s="23" t="s">
        <v>123</v>
      </c>
      <c r="AD21" s="23" t="s">
        <v>123</v>
      </c>
      <c r="AE21" s="23" t="s">
        <v>123</v>
      </c>
      <c r="AF21" s="23"/>
      <c r="AG21" s="23"/>
      <c r="AH21" s="23" t="s">
        <v>123</v>
      </c>
      <c r="AI21" s="23" t="s">
        <v>123</v>
      </c>
      <c r="AJ21" s="23" t="s">
        <v>123</v>
      </c>
      <c r="AK21" s="23" t="s">
        <v>123</v>
      </c>
      <c r="AL21" s="22">
        <f t="shared" si="2"/>
        <v>23</v>
      </c>
    </row>
    <row r="22" spans="2:38" x14ac:dyDescent="0.3">
      <c r="B22" s="23">
        <v>15</v>
      </c>
      <c r="C22" s="35" t="s">
        <v>55</v>
      </c>
      <c r="D22" s="35" t="s">
        <v>56</v>
      </c>
      <c r="E22" s="35" t="s">
        <v>26</v>
      </c>
      <c r="F22" s="35" t="s">
        <v>439</v>
      </c>
      <c r="G22" s="23" t="s">
        <v>123</v>
      </c>
      <c r="H22" s="23" t="s">
        <v>123</v>
      </c>
      <c r="I22" s="23" t="s">
        <v>123</v>
      </c>
      <c r="J22" s="23" t="s">
        <v>123</v>
      </c>
      <c r="K22" s="23"/>
      <c r="L22" s="23"/>
      <c r="M22" s="23" t="s">
        <v>123</v>
      </c>
      <c r="N22" s="23" t="s">
        <v>123</v>
      </c>
      <c r="O22" s="23" t="s">
        <v>123</v>
      </c>
      <c r="P22" s="23" t="s">
        <v>123</v>
      </c>
      <c r="Q22" s="23" t="s">
        <v>123</v>
      </c>
      <c r="R22" s="23"/>
      <c r="S22" s="23"/>
      <c r="T22" s="23" t="s">
        <v>123</v>
      </c>
      <c r="U22" s="23" t="s">
        <v>123</v>
      </c>
      <c r="V22" s="23" t="s">
        <v>123</v>
      </c>
      <c r="W22" s="23" t="s">
        <v>123</v>
      </c>
      <c r="X22" s="23" t="s">
        <v>123</v>
      </c>
      <c r="Y22" s="23"/>
      <c r="Z22" s="23"/>
      <c r="AA22" s="23" t="s">
        <v>123</v>
      </c>
      <c r="AB22" s="23" t="s">
        <v>123</v>
      </c>
      <c r="AC22" s="23" t="s">
        <v>123</v>
      </c>
      <c r="AD22" s="23" t="s">
        <v>123</v>
      </c>
      <c r="AE22" s="23" t="s">
        <v>123</v>
      </c>
      <c r="AF22" s="23"/>
      <c r="AG22" s="23"/>
      <c r="AH22" s="23" t="s">
        <v>123</v>
      </c>
      <c r="AI22" s="23" t="s">
        <v>123</v>
      </c>
      <c r="AJ22" s="23" t="s">
        <v>123</v>
      </c>
      <c r="AK22" s="23" t="s">
        <v>123</v>
      </c>
      <c r="AL22" s="22">
        <f t="shared" si="2"/>
        <v>23</v>
      </c>
    </row>
    <row r="25" spans="2:38" x14ac:dyDescent="0.3">
      <c r="W25" s="253">
        <f>IF(CHE_DO_NGHI=1,WORKDAY.INTL(EOMONTH(DATE(P5,L5,1),0)+1,-1,1,INDEX(DATA_NGHI_LE[],0,1)),WORKDAY.INTL(EOMONTH(DATE(P5,L5,1),0)+1,-1,11,INDEX(DATA_NGHI_LE[],0,1)))</f>
        <v>45169</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4" priority="1">
      <formula>IF(AND(CHE_DO_NGHI=1,OR(G$7="Chủ nhật",G$7="Thứ Bảy")),TRUE,IF(AND(CHE_DO_NGHI=2,G$7="Chủ nhật"),TRUE,FALSE))</formula>
    </cfRule>
  </conditionalFormatting>
  <pageMargins left="0.7" right="0.7" top="0.75" bottom="0.75" header="0.3" footer="0.3"/>
  <pageSetup paperSize="9" scale="72" fitToHeight="0" orientation="landscape" cellComments="atEnd"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10703-3241-4F17-BF32-29D4C257DBD0}">
  <sheetPr codeName="Sheet129">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6" width="3.33203125" style="5" customWidth="1"/>
    <col min="37" max="37" width="3.33203125" style="5" hidden="1"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9</v>
      </c>
      <c r="M5" s="252"/>
      <c r="N5" s="251" t="s">
        <v>93</v>
      </c>
      <c r="O5" s="251"/>
      <c r="P5" s="250">
        <f>Nam_Bang_Luong</f>
        <v>2023</v>
      </c>
      <c r="Q5" s="250"/>
    </row>
    <row r="6" spans="2:38" x14ac:dyDescent="0.3">
      <c r="B6" s="220" t="s">
        <v>5</v>
      </c>
      <c r="C6" s="220" t="s">
        <v>91</v>
      </c>
      <c r="D6" s="220" t="s">
        <v>6</v>
      </c>
      <c r="E6" s="220" t="s">
        <v>8</v>
      </c>
      <c r="F6" s="220" t="s">
        <v>7</v>
      </c>
      <c r="G6" s="20">
        <f>DATE(P5,L5,1)</f>
        <v>45170</v>
      </c>
      <c r="H6" s="20">
        <f>G6+1</f>
        <v>45171</v>
      </c>
      <c r="I6" s="20">
        <f t="shared" ref="I6:AK6" si="0">H6+1</f>
        <v>45172</v>
      </c>
      <c r="J6" s="20">
        <f t="shared" si="0"/>
        <v>45173</v>
      </c>
      <c r="K6" s="20">
        <f t="shared" si="0"/>
        <v>45174</v>
      </c>
      <c r="L6" s="20">
        <f t="shared" si="0"/>
        <v>45175</v>
      </c>
      <c r="M6" s="20">
        <f t="shared" si="0"/>
        <v>45176</v>
      </c>
      <c r="N6" s="20">
        <f t="shared" si="0"/>
        <v>45177</v>
      </c>
      <c r="O6" s="20">
        <f t="shared" si="0"/>
        <v>45178</v>
      </c>
      <c r="P6" s="20">
        <f t="shared" si="0"/>
        <v>45179</v>
      </c>
      <c r="Q6" s="20">
        <f t="shared" si="0"/>
        <v>45180</v>
      </c>
      <c r="R6" s="20">
        <f t="shared" si="0"/>
        <v>45181</v>
      </c>
      <c r="S6" s="20">
        <f t="shared" si="0"/>
        <v>45182</v>
      </c>
      <c r="T6" s="20">
        <f t="shared" si="0"/>
        <v>45183</v>
      </c>
      <c r="U6" s="20">
        <f t="shared" si="0"/>
        <v>45184</v>
      </c>
      <c r="V6" s="20">
        <f t="shared" si="0"/>
        <v>45185</v>
      </c>
      <c r="W6" s="20">
        <f t="shared" si="0"/>
        <v>45186</v>
      </c>
      <c r="X6" s="20">
        <f t="shared" si="0"/>
        <v>45187</v>
      </c>
      <c r="Y6" s="20">
        <f t="shared" si="0"/>
        <v>45188</v>
      </c>
      <c r="Z6" s="20">
        <f t="shared" si="0"/>
        <v>45189</v>
      </c>
      <c r="AA6" s="20">
        <f t="shared" si="0"/>
        <v>45190</v>
      </c>
      <c r="AB6" s="20">
        <f t="shared" si="0"/>
        <v>45191</v>
      </c>
      <c r="AC6" s="20">
        <f t="shared" si="0"/>
        <v>45192</v>
      </c>
      <c r="AD6" s="20">
        <f t="shared" si="0"/>
        <v>45193</v>
      </c>
      <c r="AE6" s="20">
        <f t="shared" si="0"/>
        <v>45194</v>
      </c>
      <c r="AF6" s="20">
        <f t="shared" si="0"/>
        <v>45195</v>
      </c>
      <c r="AG6" s="20">
        <f t="shared" si="0"/>
        <v>45196</v>
      </c>
      <c r="AH6" s="20">
        <f t="shared" si="0"/>
        <v>45197</v>
      </c>
      <c r="AI6" s="20">
        <f t="shared" si="0"/>
        <v>45198</v>
      </c>
      <c r="AJ6" s="20">
        <f t="shared" si="0"/>
        <v>45199</v>
      </c>
      <c r="AK6" s="20">
        <f t="shared" si="0"/>
        <v>45200</v>
      </c>
      <c r="AL6" s="217" t="s">
        <v>107</v>
      </c>
    </row>
    <row r="7" spans="2:38" ht="46.2" x14ac:dyDescent="0.3">
      <c r="B7" s="220"/>
      <c r="C7" s="220"/>
      <c r="D7" s="220"/>
      <c r="E7" s="220"/>
      <c r="F7" s="220"/>
      <c r="G7" s="21" t="str">
        <f>TEXT(G6,"[$-042A]dddd")</f>
        <v>Thứ Sáu</v>
      </c>
      <c r="H7" s="21" t="str">
        <f t="shared" ref="H7:AK7" si="1">TEXT(H6,"[$-042A]dddd")</f>
        <v>Thứ Bảy</v>
      </c>
      <c r="I7" s="21" t="str">
        <f t="shared" si="1"/>
        <v>Chủ Nhật</v>
      </c>
      <c r="J7" s="21" t="str">
        <f t="shared" si="1"/>
        <v>Thứ Hai</v>
      </c>
      <c r="K7" s="21" t="str">
        <f t="shared" si="1"/>
        <v>Thứ Ba</v>
      </c>
      <c r="L7" s="21" t="str">
        <f t="shared" si="1"/>
        <v>Thứ Tư</v>
      </c>
      <c r="M7" s="21" t="str">
        <f t="shared" si="1"/>
        <v>Thứ Năm</v>
      </c>
      <c r="N7" s="21" t="str">
        <f t="shared" si="1"/>
        <v>Thứ Sáu</v>
      </c>
      <c r="O7" s="21" t="str">
        <f t="shared" si="1"/>
        <v>Thứ Bảy</v>
      </c>
      <c r="P7" s="21" t="str">
        <f t="shared" si="1"/>
        <v>Chủ Nhật</v>
      </c>
      <c r="Q7" s="21" t="str">
        <f t="shared" si="1"/>
        <v>Thứ Hai</v>
      </c>
      <c r="R7" s="21" t="str">
        <f t="shared" si="1"/>
        <v>Thứ Ba</v>
      </c>
      <c r="S7" s="21" t="str">
        <f t="shared" si="1"/>
        <v>Thứ Tư</v>
      </c>
      <c r="T7" s="21" t="str">
        <f t="shared" si="1"/>
        <v>Thứ Năm</v>
      </c>
      <c r="U7" s="21" t="str">
        <f t="shared" si="1"/>
        <v>Thứ Sáu</v>
      </c>
      <c r="V7" s="21" t="str">
        <f t="shared" si="1"/>
        <v>Thứ Bảy</v>
      </c>
      <c r="W7" s="21" t="str">
        <f t="shared" si="1"/>
        <v>Chủ Nhật</v>
      </c>
      <c r="X7" s="21" t="str">
        <f t="shared" si="1"/>
        <v>Thứ Hai</v>
      </c>
      <c r="Y7" s="21" t="str">
        <f t="shared" si="1"/>
        <v>Thứ Ba</v>
      </c>
      <c r="Z7" s="21" t="str">
        <f t="shared" si="1"/>
        <v>Thứ Tư</v>
      </c>
      <c r="AA7" s="21" t="str">
        <f t="shared" si="1"/>
        <v>Thứ Năm</v>
      </c>
      <c r="AB7" s="21" t="str">
        <f t="shared" si="1"/>
        <v>Thứ Sáu</v>
      </c>
      <c r="AC7" s="21" t="str">
        <f t="shared" si="1"/>
        <v>Thứ Bảy</v>
      </c>
      <c r="AD7" s="21" t="str">
        <f t="shared" si="1"/>
        <v>Chủ Nhật</v>
      </c>
      <c r="AE7" s="21" t="str">
        <f t="shared" si="1"/>
        <v>Thứ Hai</v>
      </c>
      <c r="AF7" s="21" t="str">
        <f t="shared" si="1"/>
        <v>Thứ Ba</v>
      </c>
      <c r="AG7" s="21" t="str">
        <f t="shared" si="1"/>
        <v>Thứ Tư</v>
      </c>
      <c r="AH7" s="21" t="str">
        <f t="shared" si="1"/>
        <v>Thứ Năm</v>
      </c>
      <c r="AI7" s="21" t="str">
        <f t="shared" si="1"/>
        <v>Thứ Sáu</v>
      </c>
      <c r="AJ7" s="21" t="str">
        <f t="shared" si="1"/>
        <v>Thứ Bảy</v>
      </c>
      <c r="AK7" s="21" t="str">
        <f t="shared" si="1"/>
        <v>Chủ Nhật</v>
      </c>
      <c r="AL7" s="217"/>
    </row>
    <row r="8" spans="2:38" x14ac:dyDescent="0.3">
      <c r="B8" s="23">
        <v>1</v>
      </c>
      <c r="C8" s="35" t="s">
        <v>9</v>
      </c>
      <c r="D8" s="35" t="s">
        <v>10</v>
      </c>
      <c r="E8" s="35" t="s">
        <v>11</v>
      </c>
      <c r="F8" s="35" t="s">
        <v>438</v>
      </c>
      <c r="G8" s="23" t="s">
        <v>123</v>
      </c>
      <c r="H8" s="23"/>
      <c r="I8" s="23"/>
      <c r="J8" s="23" t="s">
        <v>124</v>
      </c>
      <c r="K8" s="23" t="s">
        <v>123</v>
      </c>
      <c r="L8" s="24" t="s">
        <v>123</v>
      </c>
      <c r="M8" s="24" t="s">
        <v>123</v>
      </c>
      <c r="N8" s="24" t="s">
        <v>123</v>
      </c>
      <c r="O8" s="24"/>
      <c r="P8" s="24"/>
      <c r="Q8" s="24" t="s">
        <v>123</v>
      </c>
      <c r="R8" s="24" t="s">
        <v>123</v>
      </c>
      <c r="S8" s="24" t="s">
        <v>123</v>
      </c>
      <c r="T8" s="23" t="s">
        <v>123</v>
      </c>
      <c r="U8" s="23" t="s">
        <v>123</v>
      </c>
      <c r="V8" s="23"/>
      <c r="W8" s="23"/>
      <c r="X8" s="23" t="s">
        <v>123</v>
      </c>
      <c r="Y8" s="23" t="s">
        <v>123</v>
      </c>
      <c r="Z8" s="23" t="s">
        <v>123</v>
      </c>
      <c r="AA8" s="23" t="s">
        <v>123</v>
      </c>
      <c r="AB8" s="23" t="s">
        <v>123</v>
      </c>
      <c r="AC8" s="23"/>
      <c r="AD8" s="23"/>
      <c r="AE8" s="23" t="s">
        <v>123</v>
      </c>
      <c r="AF8" s="23" t="s">
        <v>123</v>
      </c>
      <c r="AG8" s="23" t="s">
        <v>123</v>
      </c>
      <c r="AH8" s="23" t="s">
        <v>123</v>
      </c>
      <c r="AI8" s="23" t="s">
        <v>123</v>
      </c>
      <c r="AJ8" s="23"/>
      <c r="AK8" s="23"/>
      <c r="AL8" s="22">
        <f t="shared" ref="AL8:AL22" si="2">COUNTIF(G8:AK8,"X")+0.5*COUNTIF(G8:AK8,"X/2")+COUNTIF(G8:AK8,"NL")</f>
        <v>21</v>
      </c>
    </row>
    <row r="9" spans="2:38" x14ac:dyDescent="0.3">
      <c r="B9" s="23">
        <v>2</v>
      </c>
      <c r="C9" s="35" t="s">
        <v>14</v>
      </c>
      <c r="D9" s="35" t="s">
        <v>15</v>
      </c>
      <c r="E9" s="35" t="s">
        <v>16</v>
      </c>
      <c r="F9" s="35" t="s">
        <v>438</v>
      </c>
      <c r="G9" s="23" t="s">
        <v>123</v>
      </c>
      <c r="H9" s="23"/>
      <c r="I9" s="23"/>
      <c r="J9" s="23" t="s">
        <v>124</v>
      </c>
      <c r="K9" s="23" t="s">
        <v>123</v>
      </c>
      <c r="L9" s="24" t="s">
        <v>123</v>
      </c>
      <c r="M9" s="24" t="s">
        <v>123</v>
      </c>
      <c r="N9" s="24" t="s">
        <v>123</v>
      </c>
      <c r="O9" s="24"/>
      <c r="P9" s="24"/>
      <c r="Q9" s="24" t="s">
        <v>123</v>
      </c>
      <c r="R9" s="24" t="s">
        <v>123</v>
      </c>
      <c r="S9" s="24" t="s">
        <v>123</v>
      </c>
      <c r="T9" s="23" t="s">
        <v>123</v>
      </c>
      <c r="U9" s="23" t="s">
        <v>123</v>
      </c>
      <c r="V9" s="23"/>
      <c r="W9" s="23"/>
      <c r="X9" s="23" t="s">
        <v>123</v>
      </c>
      <c r="Y9" s="23" t="s">
        <v>123</v>
      </c>
      <c r="Z9" s="23" t="s">
        <v>123</v>
      </c>
      <c r="AA9" s="23" t="s">
        <v>123</v>
      </c>
      <c r="AB9" s="23" t="s">
        <v>123</v>
      </c>
      <c r="AC9" s="23"/>
      <c r="AD9" s="23"/>
      <c r="AE9" s="23" t="s">
        <v>123</v>
      </c>
      <c r="AF9" s="23" t="s">
        <v>123</v>
      </c>
      <c r="AG9" s="23" t="s">
        <v>123</v>
      </c>
      <c r="AH9" s="23" t="s">
        <v>123</v>
      </c>
      <c r="AI9" s="23" t="s">
        <v>123</v>
      </c>
      <c r="AJ9" s="23"/>
      <c r="AK9" s="23"/>
      <c r="AL9" s="22">
        <f t="shared" si="2"/>
        <v>21</v>
      </c>
    </row>
    <row r="10" spans="2:38" x14ac:dyDescent="0.3">
      <c r="B10" s="23">
        <v>3</v>
      </c>
      <c r="C10" s="35" t="s">
        <v>19</v>
      </c>
      <c r="D10" s="35" t="s">
        <v>20</v>
      </c>
      <c r="E10" s="35" t="s">
        <v>21</v>
      </c>
      <c r="F10" s="35" t="s">
        <v>438</v>
      </c>
      <c r="G10" s="23" t="s">
        <v>123</v>
      </c>
      <c r="H10" s="23"/>
      <c r="I10" s="23"/>
      <c r="J10" s="23" t="s">
        <v>124</v>
      </c>
      <c r="K10" s="23" t="s">
        <v>123</v>
      </c>
      <c r="L10" s="24" t="s">
        <v>123</v>
      </c>
      <c r="M10" s="24" t="s">
        <v>123</v>
      </c>
      <c r="N10" s="24" t="s">
        <v>123</v>
      </c>
      <c r="O10" s="24"/>
      <c r="P10" s="24"/>
      <c r="Q10" s="24" t="s">
        <v>123</v>
      </c>
      <c r="R10" s="24" t="s">
        <v>123</v>
      </c>
      <c r="S10" s="24" t="s">
        <v>123</v>
      </c>
      <c r="T10" s="23" t="s">
        <v>123</v>
      </c>
      <c r="U10" s="23" t="s">
        <v>123</v>
      </c>
      <c r="V10" s="23"/>
      <c r="W10" s="23"/>
      <c r="X10" s="23" t="s">
        <v>123</v>
      </c>
      <c r="Y10" s="23" t="s">
        <v>123</v>
      </c>
      <c r="Z10" s="23" t="s">
        <v>123</v>
      </c>
      <c r="AA10" s="23" t="s">
        <v>123</v>
      </c>
      <c r="AB10" s="23" t="s">
        <v>123</v>
      </c>
      <c r="AC10" s="23"/>
      <c r="AD10" s="23"/>
      <c r="AE10" s="23" t="s">
        <v>123</v>
      </c>
      <c r="AF10" s="23" t="s">
        <v>123</v>
      </c>
      <c r="AG10" s="23" t="s">
        <v>123</v>
      </c>
      <c r="AH10" s="23" t="s">
        <v>123</v>
      </c>
      <c r="AI10" s="23" t="s">
        <v>123</v>
      </c>
      <c r="AJ10" s="23"/>
      <c r="AK10" s="23"/>
      <c r="AL10" s="22">
        <f t="shared" si="2"/>
        <v>21</v>
      </c>
    </row>
    <row r="11" spans="2:38" x14ac:dyDescent="0.3">
      <c r="B11" s="23">
        <v>4</v>
      </c>
      <c r="C11" s="35" t="s">
        <v>24</v>
      </c>
      <c r="D11" s="35" t="s">
        <v>25</v>
      </c>
      <c r="E11" s="35" t="s">
        <v>26</v>
      </c>
      <c r="F11" s="35" t="s">
        <v>439</v>
      </c>
      <c r="G11" s="23" t="s">
        <v>123</v>
      </c>
      <c r="H11" s="23"/>
      <c r="I11" s="23"/>
      <c r="J11" s="23" t="s">
        <v>124</v>
      </c>
      <c r="K11" s="23" t="s">
        <v>123</v>
      </c>
      <c r="L11" s="24" t="s">
        <v>123</v>
      </c>
      <c r="M11" s="24" t="s">
        <v>123</v>
      </c>
      <c r="N11" s="24" t="s">
        <v>123</v>
      </c>
      <c r="O11" s="24"/>
      <c r="P11" s="24"/>
      <c r="Q11" s="24" t="s">
        <v>123</v>
      </c>
      <c r="R11" s="24" t="s">
        <v>123</v>
      </c>
      <c r="S11" s="24" t="s">
        <v>123</v>
      </c>
      <c r="T11" s="23" t="s">
        <v>123</v>
      </c>
      <c r="U11" s="23" t="s">
        <v>123</v>
      </c>
      <c r="V11" s="23"/>
      <c r="W11" s="23"/>
      <c r="X11" s="23" t="s">
        <v>123</v>
      </c>
      <c r="Y11" s="23" t="s">
        <v>123</v>
      </c>
      <c r="Z11" s="23" t="s">
        <v>123</v>
      </c>
      <c r="AA11" s="23" t="s">
        <v>123</v>
      </c>
      <c r="AB11" s="23" t="s">
        <v>123</v>
      </c>
      <c r="AC11" s="23"/>
      <c r="AD11" s="23"/>
      <c r="AE11" s="23" t="s">
        <v>123</v>
      </c>
      <c r="AF11" s="23" t="s">
        <v>123</v>
      </c>
      <c r="AG11" s="23" t="s">
        <v>123</v>
      </c>
      <c r="AH11" s="23" t="s">
        <v>123</v>
      </c>
      <c r="AI11" s="23" t="s">
        <v>123</v>
      </c>
      <c r="AJ11" s="23"/>
      <c r="AK11" s="23"/>
      <c r="AL11" s="22">
        <f t="shared" si="2"/>
        <v>21</v>
      </c>
    </row>
    <row r="12" spans="2:38" x14ac:dyDescent="0.3">
      <c r="B12" s="23">
        <v>5</v>
      </c>
      <c r="C12" s="35" t="s">
        <v>29</v>
      </c>
      <c r="D12" s="35" t="s">
        <v>30</v>
      </c>
      <c r="E12" s="35" t="s">
        <v>26</v>
      </c>
      <c r="F12" s="35" t="s">
        <v>439</v>
      </c>
      <c r="G12" s="23" t="s">
        <v>123</v>
      </c>
      <c r="H12" s="23"/>
      <c r="I12" s="23"/>
      <c r="J12" s="23" t="s">
        <v>124</v>
      </c>
      <c r="K12" s="23" t="s">
        <v>123</v>
      </c>
      <c r="L12" s="23" t="s">
        <v>123</v>
      </c>
      <c r="M12" s="23" t="s">
        <v>123</v>
      </c>
      <c r="N12" s="23" t="s">
        <v>123</v>
      </c>
      <c r="O12" s="23"/>
      <c r="P12" s="23"/>
      <c r="Q12" s="23" t="s">
        <v>123</v>
      </c>
      <c r="R12" s="23" t="s">
        <v>123</v>
      </c>
      <c r="S12" s="23" t="s">
        <v>123</v>
      </c>
      <c r="T12" s="23" t="s">
        <v>123</v>
      </c>
      <c r="U12" s="23" t="s">
        <v>123</v>
      </c>
      <c r="V12" s="23"/>
      <c r="W12" s="23"/>
      <c r="X12" s="23" t="s">
        <v>123</v>
      </c>
      <c r="Y12" s="23" t="s">
        <v>123</v>
      </c>
      <c r="Z12" s="23" t="s">
        <v>123</v>
      </c>
      <c r="AA12" s="23" t="s">
        <v>123</v>
      </c>
      <c r="AB12" s="23" t="s">
        <v>123</v>
      </c>
      <c r="AC12" s="23"/>
      <c r="AD12" s="23"/>
      <c r="AE12" s="23" t="s">
        <v>123</v>
      </c>
      <c r="AF12" s="23" t="s">
        <v>123</v>
      </c>
      <c r="AG12" s="23" t="s">
        <v>123</v>
      </c>
      <c r="AH12" s="23" t="s">
        <v>123</v>
      </c>
      <c r="AI12" s="23" t="s">
        <v>123</v>
      </c>
      <c r="AJ12" s="23"/>
      <c r="AK12" s="23"/>
      <c r="AL12" s="22">
        <f t="shared" si="2"/>
        <v>21</v>
      </c>
    </row>
    <row r="13" spans="2:38" x14ac:dyDescent="0.3">
      <c r="B13" s="23">
        <v>6</v>
      </c>
      <c r="C13" s="35" t="s">
        <v>32</v>
      </c>
      <c r="D13" s="35" t="s">
        <v>33</v>
      </c>
      <c r="E13" s="35" t="s">
        <v>26</v>
      </c>
      <c r="F13" s="35" t="s">
        <v>439</v>
      </c>
      <c r="G13" s="23" t="s">
        <v>123</v>
      </c>
      <c r="H13" s="23"/>
      <c r="I13" s="23"/>
      <c r="J13" s="23" t="s">
        <v>124</v>
      </c>
      <c r="K13" s="23" t="s">
        <v>123</v>
      </c>
      <c r="L13" s="23" t="s">
        <v>123</v>
      </c>
      <c r="M13" s="23" t="s">
        <v>123</v>
      </c>
      <c r="N13" s="23" t="s">
        <v>123</v>
      </c>
      <c r="O13" s="23"/>
      <c r="P13" s="23"/>
      <c r="Q13" s="23" t="s">
        <v>123</v>
      </c>
      <c r="R13" s="23" t="s">
        <v>123</v>
      </c>
      <c r="S13" s="23" t="s">
        <v>123</v>
      </c>
      <c r="T13" s="23" t="s">
        <v>123</v>
      </c>
      <c r="U13" s="23" t="s">
        <v>123</v>
      </c>
      <c r="V13" s="23"/>
      <c r="W13" s="23"/>
      <c r="X13" s="23" t="s">
        <v>123</v>
      </c>
      <c r="Y13" s="23" t="s">
        <v>123</v>
      </c>
      <c r="Z13" s="23" t="s">
        <v>123</v>
      </c>
      <c r="AA13" s="23" t="s">
        <v>123</v>
      </c>
      <c r="AB13" s="23" t="s">
        <v>123</v>
      </c>
      <c r="AC13" s="23"/>
      <c r="AD13" s="23"/>
      <c r="AE13" s="23" t="s">
        <v>123</v>
      </c>
      <c r="AF13" s="23" t="s">
        <v>123</v>
      </c>
      <c r="AG13" s="23" t="s">
        <v>123</v>
      </c>
      <c r="AH13" s="23" t="s">
        <v>123</v>
      </c>
      <c r="AI13" s="23" t="s">
        <v>123</v>
      </c>
      <c r="AJ13" s="23"/>
      <c r="AK13" s="23"/>
      <c r="AL13" s="22">
        <f t="shared" si="2"/>
        <v>21</v>
      </c>
    </row>
    <row r="14" spans="2:38" x14ac:dyDescent="0.3">
      <c r="B14" s="23">
        <v>7</v>
      </c>
      <c r="C14" s="35" t="s">
        <v>35</v>
      </c>
      <c r="D14" s="35" t="s">
        <v>36</v>
      </c>
      <c r="E14" s="35" t="s">
        <v>26</v>
      </c>
      <c r="F14" s="35" t="s">
        <v>439</v>
      </c>
      <c r="G14" s="23" t="s">
        <v>123</v>
      </c>
      <c r="H14" s="23"/>
      <c r="I14" s="23"/>
      <c r="J14" s="23" t="s">
        <v>124</v>
      </c>
      <c r="K14" s="23" t="s">
        <v>123</v>
      </c>
      <c r="L14" s="23" t="s">
        <v>123</v>
      </c>
      <c r="M14" s="23" t="s">
        <v>123</v>
      </c>
      <c r="N14" s="23" t="s">
        <v>123</v>
      </c>
      <c r="O14" s="23"/>
      <c r="P14" s="23"/>
      <c r="Q14" s="23" t="s">
        <v>123</v>
      </c>
      <c r="R14" s="23" t="s">
        <v>123</v>
      </c>
      <c r="S14" s="23" t="s">
        <v>123</v>
      </c>
      <c r="T14" s="23" t="s">
        <v>123</v>
      </c>
      <c r="U14" s="23" t="s">
        <v>123</v>
      </c>
      <c r="V14" s="23"/>
      <c r="W14" s="23"/>
      <c r="X14" s="23" t="s">
        <v>123</v>
      </c>
      <c r="Y14" s="23" t="s">
        <v>123</v>
      </c>
      <c r="Z14" s="23" t="s">
        <v>123</v>
      </c>
      <c r="AA14" s="23" t="s">
        <v>123</v>
      </c>
      <c r="AB14" s="23" t="s">
        <v>123</v>
      </c>
      <c r="AC14" s="23"/>
      <c r="AD14" s="23"/>
      <c r="AE14" s="23" t="s">
        <v>123</v>
      </c>
      <c r="AF14" s="23" t="s">
        <v>123</v>
      </c>
      <c r="AG14" s="23" t="s">
        <v>123</v>
      </c>
      <c r="AH14" s="23" t="s">
        <v>123</v>
      </c>
      <c r="AI14" s="23" t="s">
        <v>123</v>
      </c>
      <c r="AJ14" s="23"/>
      <c r="AK14" s="23"/>
      <c r="AL14" s="22">
        <f t="shared" si="2"/>
        <v>21</v>
      </c>
    </row>
    <row r="15" spans="2:38" x14ac:dyDescent="0.3">
      <c r="B15" s="23">
        <v>8</v>
      </c>
      <c r="C15" s="35" t="s">
        <v>38</v>
      </c>
      <c r="D15" s="35" t="s">
        <v>39</v>
      </c>
      <c r="E15" s="35" t="s">
        <v>26</v>
      </c>
      <c r="F15" s="35" t="s">
        <v>439</v>
      </c>
      <c r="G15" s="23" t="s">
        <v>123</v>
      </c>
      <c r="H15" s="23"/>
      <c r="I15" s="23"/>
      <c r="J15" s="23" t="s">
        <v>124</v>
      </c>
      <c r="K15" s="23" t="s">
        <v>123</v>
      </c>
      <c r="L15" s="23" t="s">
        <v>123</v>
      </c>
      <c r="M15" s="23" t="s">
        <v>123</v>
      </c>
      <c r="N15" s="23" t="s">
        <v>123</v>
      </c>
      <c r="O15" s="23"/>
      <c r="P15" s="23"/>
      <c r="Q15" s="23" t="s">
        <v>123</v>
      </c>
      <c r="R15" s="23" t="s">
        <v>123</v>
      </c>
      <c r="S15" s="23" t="s">
        <v>123</v>
      </c>
      <c r="T15" s="23" t="s">
        <v>123</v>
      </c>
      <c r="U15" s="23" t="s">
        <v>123</v>
      </c>
      <c r="V15" s="23"/>
      <c r="W15" s="23"/>
      <c r="X15" s="23" t="s">
        <v>123</v>
      </c>
      <c r="Y15" s="23" t="s">
        <v>123</v>
      </c>
      <c r="Z15" s="23" t="s">
        <v>123</v>
      </c>
      <c r="AA15" s="23" t="s">
        <v>123</v>
      </c>
      <c r="AB15" s="23" t="s">
        <v>123</v>
      </c>
      <c r="AC15" s="23"/>
      <c r="AD15" s="23"/>
      <c r="AE15" s="23" t="s">
        <v>123</v>
      </c>
      <c r="AF15" s="23" t="s">
        <v>123</v>
      </c>
      <c r="AG15" s="23" t="s">
        <v>123</v>
      </c>
      <c r="AH15" s="23" t="s">
        <v>123</v>
      </c>
      <c r="AI15" s="23" t="s">
        <v>123</v>
      </c>
      <c r="AJ15" s="23"/>
      <c r="AK15" s="23"/>
      <c r="AL15" s="22">
        <f t="shared" si="2"/>
        <v>21</v>
      </c>
    </row>
    <row r="16" spans="2:38" x14ac:dyDescent="0.3">
      <c r="B16" s="23">
        <v>9</v>
      </c>
      <c r="C16" s="35" t="s">
        <v>41</v>
      </c>
      <c r="D16" s="35" t="s">
        <v>42</v>
      </c>
      <c r="E16" s="35" t="s">
        <v>26</v>
      </c>
      <c r="F16" s="35" t="s">
        <v>439</v>
      </c>
      <c r="G16" s="23" t="s">
        <v>123</v>
      </c>
      <c r="H16" s="23"/>
      <c r="I16" s="23"/>
      <c r="J16" s="23" t="s">
        <v>124</v>
      </c>
      <c r="K16" s="23" t="s">
        <v>123</v>
      </c>
      <c r="L16" s="23" t="s">
        <v>123</v>
      </c>
      <c r="M16" s="23" t="s">
        <v>123</v>
      </c>
      <c r="N16" s="23" t="s">
        <v>123</v>
      </c>
      <c r="O16" s="23"/>
      <c r="P16" s="23"/>
      <c r="Q16" s="23" t="s">
        <v>123</v>
      </c>
      <c r="R16" s="23" t="s">
        <v>123</v>
      </c>
      <c r="S16" s="23" t="s">
        <v>123</v>
      </c>
      <c r="T16" s="23" t="s">
        <v>123</v>
      </c>
      <c r="U16" s="23" t="s">
        <v>123</v>
      </c>
      <c r="V16" s="23"/>
      <c r="W16" s="23"/>
      <c r="X16" s="23" t="s">
        <v>123</v>
      </c>
      <c r="Y16" s="23" t="s">
        <v>123</v>
      </c>
      <c r="Z16" s="23" t="s">
        <v>123</v>
      </c>
      <c r="AA16" s="23" t="s">
        <v>123</v>
      </c>
      <c r="AB16" s="23" t="s">
        <v>123</v>
      </c>
      <c r="AC16" s="23"/>
      <c r="AD16" s="23"/>
      <c r="AE16" s="23" t="s">
        <v>123</v>
      </c>
      <c r="AF16" s="23" t="s">
        <v>123</v>
      </c>
      <c r="AG16" s="23" t="s">
        <v>123</v>
      </c>
      <c r="AH16" s="23" t="s">
        <v>123</v>
      </c>
      <c r="AI16" s="23" t="s">
        <v>123</v>
      </c>
      <c r="AJ16" s="23"/>
      <c r="AK16" s="23"/>
      <c r="AL16" s="22">
        <f t="shared" si="2"/>
        <v>21</v>
      </c>
    </row>
    <row r="17" spans="2:38" x14ac:dyDescent="0.3">
      <c r="B17" s="23">
        <v>10</v>
      </c>
      <c r="C17" s="35" t="s">
        <v>44</v>
      </c>
      <c r="D17" s="35" t="s">
        <v>45</v>
      </c>
      <c r="E17" s="35" t="s">
        <v>26</v>
      </c>
      <c r="F17" s="35" t="s">
        <v>439</v>
      </c>
      <c r="G17" s="23" t="s">
        <v>123</v>
      </c>
      <c r="H17" s="23"/>
      <c r="I17" s="23"/>
      <c r="J17" s="23" t="s">
        <v>124</v>
      </c>
      <c r="K17" s="23" t="s">
        <v>123</v>
      </c>
      <c r="L17" s="23" t="s">
        <v>123</v>
      </c>
      <c r="M17" s="23" t="s">
        <v>123</v>
      </c>
      <c r="N17" s="23" t="s">
        <v>123</v>
      </c>
      <c r="O17" s="23"/>
      <c r="P17" s="23"/>
      <c r="Q17" s="23" t="s">
        <v>123</v>
      </c>
      <c r="R17" s="23" t="s">
        <v>123</v>
      </c>
      <c r="S17" s="23" t="s">
        <v>123</v>
      </c>
      <c r="T17" s="23" t="s">
        <v>123</v>
      </c>
      <c r="U17" s="23" t="s">
        <v>123</v>
      </c>
      <c r="V17" s="23"/>
      <c r="W17" s="23"/>
      <c r="X17" s="23" t="s">
        <v>123</v>
      </c>
      <c r="Y17" s="23" t="s">
        <v>123</v>
      </c>
      <c r="Z17" s="23" t="s">
        <v>123</v>
      </c>
      <c r="AA17" s="23" t="s">
        <v>123</v>
      </c>
      <c r="AB17" s="23" t="s">
        <v>123</v>
      </c>
      <c r="AC17" s="23"/>
      <c r="AD17" s="23"/>
      <c r="AE17" s="23" t="s">
        <v>123</v>
      </c>
      <c r="AF17" s="23" t="s">
        <v>123</v>
      </c>
      <c r="AG17" s="23" t="s">
        <v>123</v>
      </c>
      <c r="AH17" s="23" t="s">
        <v>123</v>
      </c>
      <c r="AI17" s="23" t="s">
        <v>123</v>
      </c>
      <c r="AJ17" s="23"/>
      <c r="AK17" s="23"/>
      <c r="AL17" s="22">
        <f t="shared" si="2"/>
        <v>21</v>
      </c>
    </row>
    <row r="18" spans="2:38" x14ac:dyDescent="0.3">
      <c r="B18" s="23">
        <v>11</v>
      </c>
      <c r="C18" s="35" t="s">
        <v>47</v>
      </c>
      <c r="D18" s="35" t="s">
        <v>48</v>
      </c>
      <c r="E18" s="35" t="s">
        <v>26</v>
      </c>
      <c r="F18" s="35" t="s">
        <v>439</v>
      </c>
      <c r="G18" s="23" t="s">
        <v>123</v>
      </c>
      <c r="H18" s="23"/>
      <c r="I18" s="23"/>
      <c r="J18" s="23" t="s">
        <v>124</v>
      </c>
      <c r="K18" s="23" t="s">
        <v>123</v>
      </c>
      <c r="L18" s="23" t="s">
        <v>123</v>
      </c>
      <c r="M18" s="23" t="s">
        <v>123</v>
      </c>
      <c r="N18" s="23" t="s">
        <v>123</v>
      </c>
      <c r="O18" s="23"/>
      <c r="P18" s="23"/>
      <c r="Q18" s="23" t="s">
        <v>123</v>
      </c>
      <c r="R18" s="23" t="s">
        <v>123</v>
      </c>
      <c r="S18" s="23" t="s">
        <v>123</v>
      </c>
      <c r="T18" s="23" t="s">
        <v>123</v>
      </c>
      <c r="U18" s="23" t="s">
        <v>123</v>
      </c>
      <c r="V18" s="23"/>
      <c r="W18" s="23"/>
      <c r="X18" s="23" t="s">
        <v>123</v>
      </c>
      <c r="Y18" s="23" t="s">
        <v>123</v>
      </c>
      <c r="Z18" s="23" t="s">
        <v>123</v>
      </c>
      <c r="AA18" s="23" t="s">
        <v>123</v>
      </c>
      <c r="AB18" s="23" t="s">
        <v>123</v>
      </c>
      <c r="AC18" s="23"/>
      <c r="AD18" s="23"/>
      <c r="AE18" s="23" t="s">
        <v>123</v>
      </c>
      <c r="AF18" s="23" t="s">
        <v>123</v>
      </c>
      <c r="AG18" s="23" t="s">
        <v>123</v>
      </c>
      <c r="AH18" s="23" t="s">
        <v>123</v>
      </c>
      <c r="AI18" s="23" t="s">
        <v>123</v>
      </c>
      <c r="AJ18" s="23"/>
      <c r="AK18" s="23"/>
      <c r="AL18" s="22">
        <f t="shared" si="2"/>
        <v>21</v>
      </c>
    </row>
    <row r="19" spans="2:38" x14ac:dyDescent="0.3">
      <c r="B19" s="23">
        <v>12</v>
      </c>
      <c r="C19" s="35" t="s">
        <v>49</v>
      </c>
      <c r="D19" s="35" t="s">
        <v>50</v>
      </c>
      <c r="E19" s="35" t="s">
        <v>26</v>
      </c>
      <c r="F19" s="35" t="s">
        <v>439</v>
      </c>
      <c r="G19" s="23" t="s">
        <v>123</v>
      </c>
      <c r="H19" s="23"/>
      <c r="I19" s="23"/>
      <c r="J19" s="23" t="s">
        <v>124</v>
      </c>
      <c r="K19" s="23" t="s">
        <v>123</v>
      </c>
      <c r="L19" s="23" t="s">
        <v>123</v>
      </c>
      <c r="M19" s="23" t="s">
        <v>123</v>
      </c>
      <c r="N19" s="23" t="s">
        <v>123</v>
      </c>
      <c r="O19" s="23"/>
      <c r="P19" s="23"/>
      <c r="Q19" s="23" t="s">
        <v>123</v>
      </c>
      <c r="R19" s="23" t="s">
        <v>123</v>
      </c>
      <c r="S19" s="23" t="s">
        <v>123</v>
      </c>
      <c r="T19" s="23" t="s">
        <v>123</v>
      </c>
      <c r="U19" s="23" t="s">
        <v>123</v>
      </c>
      <c r="V19" s="23"/>
      <c r="W19" s="23"/>
      <c r="X19" s="23" t="s">
        <v>123</v>
      </c>
      <c r="Y19" s="23" t="s">
        <v>123</v>
      </c>
      <c r="Z19" s="23" t="s">
        <v>123</v>
      </c>
      <c r="AA19" s="23" t="s">
        <v>123</v>
      </c>
      <c r="AB19" s="23" t="s">
        <v>123</v>
      </c>
      <c r="AC19" s="23"/>
      <c r="AD19" s="23"/>
      <c r="AE19" s="23" t="s">
        <v>123</v>
      </c>
      <c r="AF19" s="23" t="s">
        <v>123</v>
      </c>
      <c r="AG19" s="23" t="s">
        <v>123</v>
      </c>
      <c r="AH19" s="23" t="s">
        <v>123</v>
      </c>
      <c r="AI19" s="23" t="s">
        <v>123</v>
      </c>
      <c r="AJ19" s="23"/>
      <c r="AK19" s="23"/>
      <c r="AL19" s="22">
        <f t="shared" si="2"/>
        <v>21</v>
      </c>
    </row>
    <row r="20" spans="2:38" x14ac:dyDescent="0.3">
      <c r="B20" s="23">
        <v>13</v>
      </c>
      <c r="C20" s="35" t="s">
        <v>51</v>
      </c>
      <c r="D20" s="35" t="s">
        <v>52</v>
      </c>
      <c r="E20" s="35" t="s">
        <v>26</v>
      </c>
      <c r="F20" s="35" t="s">
        <v>439</v>
      </c>
      <c r="G20" s="23" t="s">
        <v>123</v>
      </c>
      <c r="H20" s="23"/>
      <c r="I20" s="23"/>
      <c r="J20" s="23" t="s">
        <v>124</v>
      </c>
      <c r="K20" s="23" t="s">
        <v>123</v>
      </c>
      <c r="L20" s="23" t="s">
        <v>123</v>
      </c>
      <c r="M20" s="23" t="s">
        <v>123</v>
      </c>
      <c r="N20" s="23" t="s">
        <v>123</v>
      </c>
      <c r="O20" s="23"/>
      <c r="P20" s="23"/>
      <c r="Q20" s="23" t="s">
        <v>123</v>
      </c>
      <c r="R20" s="23" t="s">
        <v>123</v>
      </c>
      <c r="S20" s="23" t="s">
        <v>123</v>
      </c>
      <c r="T20" s="23" t="s">
        <v>123</v>
      </c>
      <c r="U20" s="23" t="s">
        <v>123</v>
      </c>
      <c r="V20" s="23"/>
      <c r="W20" s="23"/>
      <c r="X20" s="23" t="s">
        <v>123</v>
      </c>
      <c r="Y20" s="23" t="s">
        <v>123</v>
      </c>
      <c r="Z20" s="23" t="s">
        <v>123</v>
      </c>
      <c r="AA20" s="23" t="s">
        <v>123</v>
      </c>
      <c r="AB20" s="23" t="s">
        <v>123</v>
      </c>
      <c r="AC20" s="23"/>
      <c r="AD20" s="23"/>
      <c r="AE20" s="23" t="s">
        <v>123</v>
      </c>
      <c r="AF20" s="23" t="s">
        <v>123</v>
      </c>
      <c r="AG20" s="23" t="s">
        <v>123</v>
      </c>
      <c r="AH20" s="23" t="s">
        <v>123</v>
      </c>
      <c r="AI20" s="23" t="s">
        <v>123</v>
      </c>
      <c r="AJ20" s="23"/>
      <c r="AK20" s="23"/>
      <c r="AL20" s="22">
        <f t="shared" si="2"/>
        <v>21</v>
      </c>
    </row>
    <row r="21" spans="2:38" x14ac:dyDescent="0.3">
      <c r="B21" s="23">
        <v>14</v>
      </c>
      <c r="C21" s="35" t="s">
        <v>53</v>
      </c>
      <c r="D21" s="35" t="s">
        <v>54</v>
      </c>
      <c r="E21" s="35" t="s">
        <v>26</v>
      </c>
      <c r="F21" s="35" t="s">
        <v>439</v>
      </c>
      <c r="G21" s="23" t="s">
        <v>123</v>
      </c>
      <c r="H21" s="23"/>
      <c r="I21" s="23"/>
      <c r="J21" s="23" t="s">
        <v>124</v>
      </c>
      <c r="K21" s="23" t="s">
        <v>123</v>
      </c>
      <c r="L21" s="23" t="s">
        <v>123</v>
      </c>
      <c r="M21" s="23" t="s">
        <v>123</v>
      </c>
      <c r="N21" s="23" t="s">
        <v>123</v>
      </c>
      <c r="O21" s="23"/>
      <c r="P21" s="23"/>
      <c r="Q21" s="23" t="s">
        <v>123</v>
      </c>
      <c r="R21" s="23" t="s">
        <v>123</v>
      </c>
      <c r="S21" s="23" t="s">
        <v>123</v>
      </c>
      <c r="T21" s="23" t="s">
        <v>123</v>
      </c>
      <c r="U21" s="23" t="s">
        <v>123</v>
      </c>
      <c r="V21" s="23"/>
      <c r="W21" s="23"/>
      <c r="X21" s="23" t="s">
        <v>123</v>
      </c>
      <c r="Y21" s="23" t="s">
        <v>123</v>
      </c>
      <c r="Z21" s="23" t="s">
        <v>123</v>
      </c>
      <c r="AA21" s="23" t="s">
        <v>123</v>
      </c>
      <c r="AB21" s="23" t="s">
        <v>123</v>
      </c>
      <c r="AC21" s="23"/>
      <c r="AD21" s="23"/>
      <c r="AE21" s="23" t="s">
        <v>123</v>
      </c>
      <c r="AF21" s="23" t="s">
        <v>123</v>
      </c>
      <c r="AG21" s="23" t="s">
        <v>123</v>
      </c>
      <c r="AH21" s="23" t="s">
        <v>123</v>
      </c>
      <c r="AI21" s="23" t="s">
        <v>123</v>
      </c>
      <c r="AJ21" s="23"/>
      <c r="AK21" s="23"/>
      <c r="AL21" s="22">
        <f t="shared" si="2"/>
        <v>21</v>
      </c>
    </row>
    <row r="22" spans="2:38" x14ac:dyDescent="0.3">
      <c r="B22" s="23">
        <v>15</v>
      </c>
      <c r="C22" s="35" t="s">
        <v>55</v>
      </c>
      <c r="D22" s="35" t="s">
        <v>56</v>
      </c>
      <c r="E22" s="35" t="s">
        <v>26</v>
      </c>
      <c r="F22" s="35" t="s">
        <v>439</v>
      </c>
      <c r="G22" s="23" t="s">
        <v>123</v>
      </c>
      <c r="H22" s="23"/>
      <c r="I22" s="23"/>
      <c r="J22" s="23" t="s">
        <v>124</v>
      </c>
      <c r="K22" s="23" t="s">
        <v>123</v>
      </c>
      <c r="L22" s="23" t="s">
        <v>123</v>
      </c>
      <c r="M22" s="23" t="s">
        <v>123</v>
      </c>
      <c r="N22" s="23" t="s">
        <v>123</v>
      </c>
      <c r="O22" s="23"/>
      <c r="P22" s="23"/>
      <c r="Q22" s="23" t="s">
        <v>123</v>
      </c>
      <c r="R22" s="23" t="s">
        <v>123</v>
      </c>
      <c r="S22" s="23" t="s">
        <v>123</v>
      </c>
      <c r="T22" s="23" t="s">
        <v>123</v>
      </c>
      <c r="U22" s="23" t="s">
        <v>123</v>
      </c>
      <c r="V22" s="23"/>
      <c r="W22" s="23"/>
      <c r="X22" s="23" t="s">
        <v>123</v>
      </c>
      <c r="Y22" s="23" t="s">
        <v>123</v>
      </c>
      <c r="Z22" s="23" t="s">
        <v>123</v>
      </c>
      <c r="AA22" s="23" t="s">
        <v>123</v>
      </c>
      <c r="AB22" s="23" t="s">
        <v>123</v>
      </c>
      <c r="AC22" s="23"/>
      <c r="AD22" s="23"/>
      <c r="AE22" s="23" t="s">
        <v>123</v>
      </c>
      <c r="AF22" s="23" t="s">
        <v>123</v>
      </c>
      <c r="AG22" s="23" t="s">
        <v>123</v>
      </c>
      <c r="AH22" s="23" t="s">
        <v>123</v>
      </c>
      <c r="AI22" s="23" t="s">
        <v>123</v>
      </c>
      <c r="AJ22" s="23"/>
      <c r="AK22" s="23"/>
      <c r="AL22" s="22">
        <f t="shared" si="2"/>
        <v>21</v>
      </c>
    </row>
    <row r="25" spans="2:38" x14ac:dyDescent="0.3">
      <c r="W25" s="253">
        <f>IF(CHE_DO_NGHI=1,WORKDAY.INTL(EOMONTH(DATE(P5,L5,1),0)+1,-1,1,INDEX(DATA_NGHI_LE[],0,1)),WORKDAY.INTL(EOMONTH(DATE(P5,L5,1),0)+1,-1,11,INDEX(DATA_NGHI_LE[],0,1)))</f>
        <v>45198</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3" priority="1">
      <formula>IF(AND(CHE_DO_NGHI=1,OR(G$7="Chủ nhật",G$7="Thứ Bảy")),TRUE,IF(AND(CHE_DO_NGHI=2,G$7="Chủ nhật"),TRUE,FALSE))</formula>
    </cfRule>
  </conditionalFormatting>
  <pageMargins left="0.7" right="0.7" top="0.75" bottom="0.75" header="0.3" footer="0.3"/>
  <pageSetup paperSize="9" scale="73" fitToHeight="0" orientation="landscape" cellComments="atEnd"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BFDBA-908D-46DA-872B-8A552310AC7D}">
  <sheetPr codeName="Sheet130">
    <pageSetUpPr fitToPage="1"/>
  </sheetPr>
  <dimension ref="B1:AL36"/>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7" width="3.33203125" style="5"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10</v>
      </c>
      <c r="M5" s="252"/>
      <c r="N5" s="251" t="s">
        <v>93</v>
      </c>
      <c r="O5" s="251"/>
      <c r="P5" s="250">
        <f>Nam_Bang_Luong</f>
        <v>2023</v>
      </c>
      <c r="Q5" s="250"/>
    </row>
    <row r="6" spans="2:38" x14ac:dyDescent="0.3">
      <c r="B6" s="220" t="s">
        <v>5</v>
      </c>
      <c r="C6" s="220" t="s">
        <v>91</v>
      </c>
      <c r="D6" s="220" t="s">
        <v>6</v>
      </c>
      <c r="E6" s="220" t="s">
        <v>8</v>
      </c>
      <c r="F6" s="220" t="s">
        <v>7</v>
      </c>
      <c r="G6" s="20">
        <f>DATE(P5,L5,1)</f>
        <v>45200</v>
      </c>
      <c r="H6" s="20">
        <f>G6+1</f>
        <v>45201</v>
      </c>
      <c r="I6" s="20">
        <f t="shared" ref="I6:AK6" si="0">H6+1</f>
        <v>45202</v>
      </c>
      <c r="J6" s="20">
        <f t="shared" si="0"/>
        <v>45203</v>
      </c>
      <c r="K6" s="20">
        <f t="shared" si="0"/>
        <v>45204</v>
      </c>
      <c r="L6" s="20">
        <f t="shared" si="0"/>
        <v>45205</v>
      </c>
      <c r="M6" s="20">
        <f t="shared" si="0"/>
        <v>45206</v>
      </c>
      <c r="N6" s="20">
        <f t="shared" si="0"/>
        <v>45207</v>
      </c>
      <c r="O6" s="20">
        <f t="shared" si="0"/>
        <v>45208</v>
      </c>
      <c r="P6" s="20">
        <f t="shared" si="0"/>
        <v>45209</v>
      </c>
      <c r="Q6" s="20">
        <f t="shared" si="0"/>
        <v>45210</v>
      </c>
      <c r="R6" s="20">
        <f t="shared" si="0"/>
        <v>45211</v>
      </c>
      <c r="S6" s="20">
        <f t="shared" si="0"/>
        <v>45212</v>
      </c>
      <c r="T6" s="20">
        <f t="shared" si="0"/>
        <v>45213</v>
      </c>
      <c r="U6" s="20">
        <f t="shared" si="0"/>
        <v>45214</v>
      </c>
      <c r="V6" s="20">
        <f t="shared" si="0"/>
        <v>45215</v>
      </c>
      <c r="W6" s="20">
        <f t="shared" si="0"/>
        <v>45216</v>
      </c>
      <c r="X6" s="20">
        <f t="shared" si="0"/>
        <v>45217</v>
      </c>
      <c r="Y6" s="20">
        <f t="shared" si="0"/>
        <v>45218</v>
      </c>
      <c r="Z6" s="20">
        <f t="shared" si="0"/>
        <v>45219</v>
      </c>
      <c r="AA6" s="20">
        <f t="shared" si="0"/>
        <v>45220</v>
      </c>
      <c r="AB6" s="20">
        <f t="shared" si="0"/>
        <v>45221</v>
      </c>
      <c r="AC6" s="20">
        <f t="shared" si="0"/>
        <v>45222</v>
      </c>
      <c r="AD6" s="20">
        <f t="shared" si="0"/>
        <v>45223</v>
      </c>
      <c r="AE6" s="20">
        <f t="shared" si="0"/>
        <v>45224</v>
      </c>
      <c r="AF6" s="20">
        <f t="shared" si="0"/>
        <v>45225</v>
      </c>
      <c r="AG6" s="20">
        <f t="shared" si="0"/>
        <v>45226</v>
      </c>
      <c r="AH6" s="20">
        <f t="shared" si="0"/>
        <v>45227</v>
      </c>
      <c r="AI6" s="20">
        <f t="shared" si="0"/>
        <v>45228</v>
      </c>
      <c r="AJ6" s="20">
        <f t="shared" si="0"/>
        <v>45229</v>
      </c>
      <c r="AK6" s="20">
        <f t="shared" si="0"/>
        <v>45230</v>
      </c>
      <c r="AL6" s="217" t="s">
        <v>107</v>
      </c>
    </row>
    <row r="7" spans="2:38" ht="46.2" x14ac:dyDescent="0.3">
      <c r="B7" s="220"/>
      <c r="C7" s="220"/>
      <c r="D7" s="220"/>
      <c r="E7" s="220"/>
      <c r="F7" s="220"/>
      <c r="G7" s="21" t="str">
        <f>TEXT(G6,"[$-042A]dddd")</f>
        <v>Chủ Nhật</v>
      </c>
      <c r="H7" s="21" t="str">
        <f t="shared" ref="H7:AK7" si="1">TEXT(H6,"[$-042A]dddd")</f>
        <v>Thứ Hai</v>
      </c>
      <c r="I7" s="21" t="str">
        <f t="shared" si="1"/>
        <v>Thứ Ba</v>
      </c>
      <c r="J7" s="21" t="str">
        <f t="shared" si="1"/>
        <v>Thứ Tư</v>
      </c>
      <c r="K7" s="21" t="str">
        <f t="shared" si="1"/>
        <v>Thứ Năm</v>
      </c>
      <c r="L7" s="21" t="str">
        <f t="shared" si="1"/>
        <v>Thứ Sáu</v>
      </c>
      <c r="M7" s="21" t="str">
        <f t="shared" si="1"/>
        <v>Thứ Bảy</v>
      </c>
      <c r="N7" s="21" t="str">
        <f t="shared" si="1"/>
        <v>Chủ Nhật</v>
      </c>
      <c r="O7" s="21" t="str">
        <f t="shared" si="1"/>
        <v>Thứ Hai</v>
      </c>
      <c r="P7" s="21" t="str">
        <f t="shared" si="1"/>
        <v>Thứ Ba</v>
      </c>
      <c r="Q7" s="21" t="str">
        <f t="shared" si="1"/>
        <v>Thứ Tư</v>
      </c>
      <c r="R7" s="21" t="str">
        <f t="shared" si="1"/>
        <v>Thứ Năm</v>
      </c>
      <c r="S7" s="21" t="str">
        <f t="shared" si="1"/>
        <v>Thứ Sáu</v>
      </c>
      <c r="T7" s="21" t="str">
        <f t="shared" si="1"/>
        <v>Thứ Bảy</v>
      </c>
      <c r="U7" s="21" t="str">
        <f t="shared" si="1"/>
        <v>Chủ Nhật</v>
      </c>
      <c r="V7" s="21" t="str">
        <f t="shared" si="1"/>
        <v>Thứ Hai</v>
      </c>
      <c r="W7" s="21" t="str">
        <f t="shared" si="1"/>
        <v>Thứ Ba</v>
      </c>
      <c r="X7" s="21" t="str">
        <f t="shared" si="1"/>
        <v>Thứ Tư</v>
      </c>
      <c r="Y7" s="21" t="str">
        <f t="shared" si="1"/>
        <v>Thứ Năm</v>
      </c>
      <c r="Z7" s="21" t="str">
        <f t="shared" si="1"/>
        <v>Thứ Sáu</v>
      </c>
      <c r="AA7" s="21" t="str">
        <f t="shared" si="1"/>
        <v>Thứ Bảy</v>
      </c>
      <c r="AB7" s="21" t="str">
        <f t="shared" si="1"/>
        <v>Chủ Nhật</v>
      </c>
      <c r="AC7" s="21" t="str">
        <f t="shared" si="1"/>
        <v>Thứ Hai</v>
      </c>
      <c r="AD7" s="21" t="str">
        <f t="shared" si="1"/>
        <v>Thứ Ba</v>
      </c>
      <c r="AE7" s="21" t="str">
        <f t="shared" si="1"/>
        <v>Thứ Tư</v>
      </c>
      <c r="AF7" s="21" t="str">
        <f t="shared" si="1"/>
        <v>Thứ Năm</v>
      </c>
      <c r="AG7" s="21" t="str">
        <f t="shared" si="1"/>
        <v>Thứ Sáu</v>
      </c>
      <c r="AH7" s="21" t="str">
        <f t="shared" si="1"/>
        <v>Thứ Bảy</v>
      </c>
      <c r="AI7" s="21" t="str">
        <f t="shared" si="1"/>
        <v>Chủ Nhật</v>
      </c>
      <c r="AJ7" s="21" t="str">
        <f t="shared" si="1"/>
        <v>Thứ Hai</v>
      </c>
      <c r="AK7" s="21" t="str">
        <f t="shared" si="1"/>
        <v>Thứ Ba</v>
      </c>
      <c r="AL7" s="217"/>
    </row>
    <row r="8" spans="2:38" x14ac:dyDescent="0.3">
      <c r="B8" s="23">
        <v>1</v>
      </c>
      <c r="C8" s="35" t="s">
        <v>9</v>
      </c>
      <c r="D8" s="35" t="s">
        <v>10</v>
      </c>
      <c r="E8" s="35" t="s">
        <v>11</v>
      </c>
      <c r="F8" s="35" t="s">
        <v>438</v>
      </c>
      <c r="G8" s="23"/>
      <c r="H8" s="23" t="s">
        <v>123</v>
      </c>
      <c r="I8" s="23" t="s">
        <v>123</v>
      </c>
      <c r="J8" s="23" t="s">
        <v>123</v>
      </c>
      <c r="K8" s="23" t="s">
        <v>123</v>
      </c>
      <c r="L8" s="24" t="s">
        <v>123</v>
      </c>
      <c r="M8" s="24"/>
      <c r="N8" s="24"/>
      <c r="O8" s="24" t="s">
        <v>123</v>
      </c>
      <c r="P8" s="24" t="s">
        <v>123</v>
      </c>
      <c r="Q8" s="24" t="s">
        <v>123</v>
      </c>
      <c r="R8" s="24" t="s">
        <v>123</v>
      </c>
      <c r="S8" s="24" t="s">
        <v>123</v>
      </c>
      <c r="T8" s="23"/>
      <c r="U8" s="23"/>
      <c r="V8" s="23" t="s">
        <v>123</v>
      </c>
      <c r="W8" s="23" t="s">
        <v>123</v>
      </c>
      <c r="X8" s="23" t="s">
        <v>123</v>
      </c>
      <c r="Y8" s="23" t="s">
        <v>123</v>
      </c>
      <c r="Z8" s="23" t="s">
        <v>123</v>
      </c>
      <c r="AA8" s="23"/>
      <c r="AB8" s="23"/>
      <c r="AC8" s="23" t="s">
        <v>123</v>
      </c>
      <c r="AD8" s="23" t="s">
        <v>123</v>
      </c>
      <c r="AE8" s="23" t="s">
        <v>123</v>
      </c>
      <c r="AF8" s="23" t="s">
        <v>123</v>
      </c>
      <c r="AG8" s="23" t="s">
        <v>123</v>
      </c>
      <c r="AH8" s="23"/>
      <c r="AI8" s="23"/>
      <c r="AJ8" s="23" t="s">
        <v>123</v>
      </c>
      <c r="AK8" s="23" t="s">
        <v>123</v>
      </c>
      <c r="AL8" s="22">
        <f t="shared" ref="AL8:AL22" si="2">COUNTIF(G8:AK8,"X")+0.5*COUNTIF(G8:AK8,"X/2")+COUNTIF(G8:AK8,"NL")</f>
        <v>22</v>
      </c>
    </row>
    <row r="9" spans="2:38" x14ac:dyDescent="0.3">
      <c r="B9" s="23">
        <v>2</v>
      </c>
      <c r="C9" s="35" t="s">
        <v>14</v>
      </c>
      <c r="D9" s="35" t="s">
        <v>15</v>
      </c>
      <c r="E9" s="35" t="s">
        <v>16</v>
      </c>
      <c r="F9" s="35" t="s">
        <v>438</v>
      </c>
      <c r="G9" s="23"/>
      <c r="H9" s="23" t="s">
        <v>123</v>
      </c>
      <c r="I9" s="23" t="s">
        <v>123</v>
      </c>
      <c r="J9" s="23" t="s">
        <v>123</v>
      </c>
      <c r="K9" s="23" t="s">
        <v>123</v>
      </c>
      <c r="L9" s="24" t="s">
        <v>123</v>
      </c>
      <c r="M9" s="24"/>
      <c r="N9" s="24"/>
      <c r="O9" s="24" t="s">
        <v>123</v>
      </c>
      <c r="P9" s="24" t="s">
        <v>123</v>
      </c>
      <c r="Q9" s="24" t="s">
        <v>123</v>
      </c>
      <c r="R9" s="24" t="s">
        <v>123</v>
      </c>
      <c r="S9" s="24" t="s">
        <v>123</v>
      </c>
      <c r="T9" s="23"/>
      <c r="U9" s="23"/>
      <c r="V9" s="23" t="s">
        <v>123</v>
      </c>
      <c r="W9" s="23" t="s">
        <v>123</v>
      </c>
      <c r="X9" s="23" t="s">
        <v>123</v>
      </c>
      <c r="Y9" s="23" t="s">
        <v>123</v>
      </c>
      <c r="Z9" s="23" t="s">
        <v>123</v>
      </c>
      <c r="AA9" s="23"/>
      <c r="AB9" s="23"/>
      <c r="AC9" s="23" t="s">
        <v>123</v>
      </c>
      <c r="AD9" s="23" t="s">
        <v>123</v>
      </c>
      <c r="AE9" s="23" t="s">
        <v>123</v>
      </c>
      <c r="AF9" s="23" t="s">
        <v>123</v>
      </c>
      <c r="AG9" s="23" t="s">
        <v>123</v>
      </c>
      <c r="AH9" s="23"/>
      <c r="AI9" s="23"/>
      <c r="AJ9" s="23" t="s">
        <v>123</v>
      </c>
      <c r="AK9" s="23" t="s">
        <v>123</v>
      </c>
      <c r="AL9" s="22">
        <f t="shared" si="2"/>
        <v>22</v>
      </c>
    </row>
    <row r="10" spans="2:38" x14ac:dyDescent="0.3">
      <c r="B10" s="23">
        <v>3</v>
      </c>
      <c r="C10" s="35" t="s">
        <v>19</v>
      </c>
      <c r="D10" s="35" t="s">
        <v>20</v>
      </c>
      <c r="E10" s="35" t="s">
        <v>21</v>
      </c>
      <c r="F10" s="35" t="s">
        <v>438</v>
      </c>
      <c r="G10" s="23"/>
      <c r="H10" s="23" t="s">
        <v>123</v>
      </c>
      <c r="I10" s="23" t="s">
        <v>123</v>
      </c>
      <c r="J10" s="23" t="s">
        <v>123</v>
      </c>
      <c r="K10" s="23" t="s">
        <v>123</v>
      </c>
      <c r="L10" s="24" t="s">
        <v>123</v>
      </c>
      <c r="M10" s="24"/>
      <c r="N10" s="24"/>
      <c r="O10" s="24" t="s">
        <v>123</v>
      </c>
      <c r="P10" s="24" t="s">
        <v>123</v>
      </c>
      <c r="Q10" s="24" t="s">
        <v>123</v>
      </c>
      <c r="R10" s="24" t="s">
        <v>123</v>
      </c>
      <c r="S10" s="24" t="s">
        <v>123</v>
      </c>
      <c r="T10" s="23"/>
      <c r="U10" s="23"/>
      <c r="V10" s="23" t="s">
        <v>123</v>
      </c>
      <c r="W10" s="23" t="s">
        <v>123</v>
      </c>
      <c r="X10" s="23" t="s">
        <v>123</v>
      </c>
      <c r="Y10" s="23" t="s">
        <v>123</v>
      </c>
      <c r="Z10" s="23" t="s">
        <v>123</v>
      </c>
      <c r="AA10" s="23"/>
      <c r="AB10" s="23"/>
      <c r="AC10" s="23" t="s">
        <v>123</v>
      </c>
      <c r="AD10" s="23" t="s">
        <v>123</v>
      </c>
      <c r="AE10" s="23" t="s">
        <v>123</v>
      </c>
      <c r="AF10" s="23" t="s">
        <v>123</v>
      </c>
      <c r="AG10" s="23" t="s">
        <v>123</v>
      </c>
      <c r="AH10" s="23"/>
      <c r="AI10" s="23"/>
      <c r="AJ10" s="23" t="s">
        <v>123</v>
      </c>
      <c r="AK10" s="23" t="s">
        <v>123</v>
      </c>
      <c r="AL10" s="22">
        <f t="shared" si="2"/>
        <v>22</v>
      </c>
    </row>
    <row r="11" spans="2:38" x14ac:dyDescent="0.3">
      <c r="B11" s="23">
        <v>4</v>
      </c>
      <c r="C11" s="35" t="s">
        <v>24</v>
      </c>
      <c r="D11" s="35" t="s">
        <v>25</v>
      </c>
      <c r="E11" s="35" t="s">
        <v>26</v>
      </c>
      <c r="F11" s="35" t="s">
        <v>439</v>
      </c>
      <c r="G11" s="23"/>
      <c r="H11" s="23" t="s">
        <v>123</v>
      </c>
      <c r="I11" s="23" t="s">
        <v>123</v>
      </c>
      <c r="J11" s="23" t="s">
        <v>123</v>
      </c>
      <c r="K11" s="23" t="s">
        <v>123</v>
      </c>
      <c r="L11" s="24" t="s">
        <v>123</v>
      </c>
      <c r="M11" s="24"/>
      <c r="N11" s="24"/>
      <c r="O11" s="24" t="s">
        <v>123</v>
      </c>
      <c r="P11" s="24" t="s">
        <v>123</v>
      </c>
      <c r="Q11" s="24" t="s">
        <v>123</v>
      </c>
      <c r="R11" s="24" t="s">
        <v>123</v>
      </c>
      <c r="S11" s="24" t="s">
        <v>123</v>
      </c>
      <c r="T11" s="23"/>
      <c r="U11" s="23"/>
      <c r="V11" s="23" t="s">
        <v>123</v>
      </c>
      <c r="W11" s="23" t="s">
        <v>123</v>
      </c>
      <c r="X11" s="23" t="s">
        <v>123</v>
      </c>
      <c r="Y11" s="23" t="s">
        <v>123</v>
      </c>
      <c r="Z11" s="23" t="s">
        <v>123</v>
      </c>
      <c r="AA11" s="23"/>
      <c r="AB11" s="23"/>
      <c r="AC11" s="23" t="s">
        <v>123</v>
      </c>
      <c r="AD11" s="23" t="s">
        <v>123</v>
      </c>
      <c r="AE11" s="23" t="s">
        <v>123</v>
      </c>
      <c r="AF11" s="23" t="s">
        <v>123</v>
      </c>
      <c r="AG11" s="23" t="s">
        <v>123</v>
      </c>
      <c r="AH11" s="23"/>
      <c r="AI11" s="23"/>
      <c r="AJ11" s="23" t="s">
        <v>123</v>
      </c>
      <c r="AK11" s="23" t="s">
        <v>123</v>
      </c>
      <c r="AL11" s="22">
        <f t="shared" si="2"/>
        <v>22</v>
      </c>
    </row>
    <row r="12" spans="2:38" x14ac:dyDescent="0.3">
      <c r="B12" s="23">
        <v>5</v>
      </c>
      <c r="C12" s="35" t="s">
        <v>29</v>
      </c>
      <c r="D12" s="35" t="s">
        <v>30</v>
      </c>
      <c r="E12" s="35" t="s">
        <v>26</v>
      </c>
      <c r="F12" s="35" t="s">
        <v>439</v>
      </c>
      <c r="G12" s="23"/>
      <c r="H12" s="23" t="s">
        <v>123</v>
      </c>
      <c r="I12" s="23" t="s">
        <v>123</v>
      </c>
      <c r="J12" s="23" t="s">
        <v>123</v>
      </c>
      <c r="K12" s="23" t="s">
        <v>123</v>
      </c>
      <c r="L12" s="23" t="s">
        <v>123</v>
      </c>
      <c r="M12" s="23"/>
      <c r="N12" s="23"/>
      <c r="O12" s="23" t="s">
        <v>123</v>
      </c>
      <c r="P12" s="23" t="s">
        <v>123</v>
      </c>
      <c r="Q12" s="23" t="s">
        <v>123</v>
      </c>
      <c r="R12" s="23" t="s">
        <v>123</v>
      </c>
      <c r="S12" s="23" t="s">
        <v>123</v>
      </c>
      <c r="T12" s="23"/>
      <c r="U12" s="23"/>
      <c r="V12" s="23" t="s">
        <v>123</v>
      </c>
      <c r="W12" s="23" t="s">
        <v>123</v>
      </c>
      <c r="X12" s="23" t="s">
        <v>123</v>
      </c>
      <c r="Y12" s="23" t="s">
        <v>123</v>
      </c>
      <c r="Z12" s="23" t="s">
        <v>123</v>
      </c>
      <c r="AA12" s="23"/>
      <c r="AB12" s="23"/>
      <c r="AC12" s="23" t="s">
        <v>123</v>
      </c>
      <c r="AD12" s="23" t="s">
        <v>123</v>
      </c>
      <c r="AE12" s="23" t="s">
        <v>123</v>
      </c>
      <c r="AF12" s="23" t="s">
        <v>123</v>
      </c>
      <c r="AG12" s="23" t="s">
        <v>123</v>
      </c>
      <c r="AH12" s="23"/>
      <c r="AI12" s="23"/>
      <c r="AJ12" s="23" t="s">
        <v>123</v>
      </c>
      <c r="AK12" s="23" t="s">
        <v>123</v>
      </c>
      <c r="AL12" s="22">
        <f t="shared" si="2"/>
        <v>22</v>
      </c>
    </row>
    <row r="13" spans="2:38" x14ac:dyDescent="0.3">
      <c r="B13" s="23">
        <v>6</v>
      </c>
      <c r="C13" s="35" t="s">
        <v>32</v>
      </c>
      <c r="D13" s="35" t="s">
        <v>33</v>
      </c>
      <c r="E13" s="35" t="s">
        <v>26</v>
      </c>
      <c r="F13" s="35" t="s">
        <v>439</v>
      </c>
      <c r="G13" s="23"/>
      <c r="H13" s="23" t="s">
        <v>123</v>
      </c>
      <c r="I13" s="23" t="s">
        <v>123</v>
      </c>
      <c r="J13" s="23" t="s">
        <v>123</v>
      </c>
      <c r="K13" s="23" t="s">
        <v>123</v>
      </c>
      <c r="L13" s="23" t="s">
        <v>123</v>
      </c>
      <c r="M13" s="23"/>
      <c r="N13" s="23"/>
      <c r="O13" s="23" t="s">
        <v>123</v>
      </c>
      <c r="P13" s="23" t="s">
        <v>123</v>
      </c>
      <c r="Q13" s="23" t="s">
        <v>123</v>
      </c>
      <c r="R13" s="23" t="s">
        <v>123</v>
      </c>
      <c r="S13" s="23" t="s">
        <v>123</v>
      </c>
      <c r="T13" s="23"/>
      <c r="U13" s="23"/>
      <c r="V13" s="23" t="s">
        <v>123</v>
      </c>
      <c r="W13" s="23" t="s">
        <v>123</v>
      </c>
      <c r="X13" s="23" t="s">
        <v>123</v>
      </c>
      <c r="Y13" s="23" t="s">
        <v>123</v>
      </c>
      <c r="Z13" s="23" t="s">
        <v>123</v>
      </c>
      <c r="AA13" s="23"/>
      <c r="AB13" s="23"/>
      <c r="AC13" s="23" t="s">
        <v>123</v>
      </c>
      <c r="AD13" s="23" t="s">
        <v>123</v>
      </c>
      <c r="AE13" s="23" t="s">
        <v>123</v>
      </c>
      <c r="AF13" s="23" t="s">
        <v>123</v>
      </c>
      <c r="AG13" s="23" t="s">
        <v>123</v>
      </c>
      <c r="AH13" s="23"/>
      <c r="AI13" s="23"/>
      <c r="AJ13" s="23" t="s">
        <v>123</v>
      </c>
      <c r="AK13" s="23" t="s">
        <v>123</v>
      </c>
      <c r="AL13" s="22">
        <f t="shared" si="2"/>
        <v>22</v>
      </c>
    </row>
    <row r="14" spans="2:38" x14ac:dyDescent="0.3">
      <c r="B14" s="23">
        <v>7</v>
      </c>
      <c r="C14" s="35" t="s">
        <v>35</v>
      </c>
      <c r="D14" s="35" t="s">
        <v>36</v>
      </c>
      <c r="E14" s="35" t="s">
        <v>26</v>
      </c>
      <c r="F14" s="35" t="s">
        <v>439</v>
      </c>
      <c r="G14" s="23"/>
      <c r="H14" s="23" t="s">
        <v>123</v>
      </c>
      <c r="I14" s="23" t="s">
        <v>123</v>
      </c>
      <c r="J14" s="23" t="s">
        <v>123</v>
      </c>
      <c r="K14" s="23" t="s">
        <v>123</v>
      </c>
      <c r="L14" s="23" t="s">
        <v>123</v>
      </c>
      <c r="M14" s="23"/>
      <c r="N14" s="23"/>
      <c r="O14" s="23" t="s">
        <v>123</v>
      </c>
      <c r="P14" s="23" t="s">
        <v>123</v>
      </c>
      <c r="Q14" s="23" t="s">
        <v>123</v>
      </c>
      <c r="R14" s="23" t="s">
        <v>123</v>
      </c>
      <c r="S14" s="23" t="s">
        <v>123</v>
      </c>
      <c r="T14" s="23"/>
      <c r="U14" s="23"/>
      <c r="V14" s="23" t="s">
        <v>123</v>
      </c>
      <c r="W14" s="23" t="s">
        <v>123</v>
      </c>
      <c r="X14" s="23" t="s">
        <v>123</v>
      </c>
      <c r="Y14" s="23" t="s">
        <v>123</v>
      </c>
      <c r="Z14" s="23" t="s">
        <v>123</v>
      </c>
      <c r="AA14" s="23"/>
      <c r="AB14" s="23"/>
      <c r="AC14" s="23" t="s">
        <v>123</v>
      </c>
      <c r="AD14" s="23" t="s">
        <v>123</v>
      </c>
      <c r="AE14" s="23" t="s">
        <v>123</v>
      </c>
      <c r="AF14" s="23" t="s">
        <v>123</v>
      </c>
      <c r="AG14" s="23" t="s">
        <v>123</v>
      </c>
      <c r="AH14" s="23"/>
      <c r="AI14" s="23"/>
      <c r="AJ14" s="23" t="s">
        <v>123</v>
      </c>
      <c r="AK14" s="23" t="s">
        <v>123</v>
      </c>
      <c r="AL14" s="22">
        <f t="shared" si="2"/>
        <v>22</v>
      </c>
    </row>
    <row r="15" spans="2:38" x14ac:dyDescent="0.3">
      <c r="B15" s="23">
        <v>8</v>
      </c>
      <c r="C15" s="35" t="s">
        <v>38</v>
      </c>
      <c r="D15" s="35" t="s">
        <v>39</v>
      </c>
      <c r="E15" s="35" t="s">
        <v>26</v>
      </c>
      <c r="F15" s="35" t="s">
        <v>439</v>
      </c>
      <c r="G15" s="23"/>
      <c r="H15" s="23" t="s">
        <v>123</v>
      </c>
      <c r="I15" s="23" t="s">
        <v>123</v>
      </c>
      <c r="J15" s="23" t="s">
        <v>123</v>
      </c>
      <c r="K15" s="23" t="s">
        <v>123</v>
      </c>
      <c r="L15" s="23" t="s">
        <v>123</v>
      </c>
      <c r="M15" s="23"/>
      <c r="N15" s="23"/>
      <c r="O15" s="23" t="s">
        <v>123</v>
      </c>
      <c r="P15" s="23" t="s">
        <v>123</v>
      </c>
      <c r="Q15" s="23" t="s">
        <v>123</v>
      </c>
      <c r="R15" s="23" t="s">
        <v>123</v>
      </c>
      <c r="S15" s="23" t="s">
        <v>123</v>
      </c>
      <c r="T15" s="23"/>
      <c r="U15" s="23"/>
      <c r="V15" s="23" t="s">
        <v>123</v>
      </c>
      <c r="W15" s="23" t="s">
        <v>123</v>
      </c>
      <c r="X15" s="23" t="s">
        <v>123</v>
      </c>
      <c r="Y15" s="23" t="s">
        <v>123</v>
      </c>
      <c r="Z15" s="23" t="s">
        <v>123</v>
      </c>
      <c r="AA15" s="23"/>
      <c r="AB15" s="23"/>
      <c r="AC15" s="23" t="s">
        <v>123</v>
      </c>
      <c r="AD15" s="23" t="s">
        <v>123</v>
      </c>
      <c r="AE15" s="23" t="s">
        <v>123</v>
      </c>
      <c r="AF15" s="23" t="s">
        <v>123</v>
      </c>
      <c r="AG15" s="23" t="s">
        <v>123</v>
      </c>
      <c r="AH15" s="23"/>
      <c r="AI15" s="23"/>
      <c r="AJ15" s="23" t="s">
        <v>123</v>
      </c>
      <c r="AK15" s="23" t="s">
        <v>123</v>
      </c>
      <c r="AL15" s="22">
        <f t="shared" si="2"/>
        <v>22</v>
      </c>
    </row>
    <row r="16" spans="2:38" x14ac:dyDescent="0.3">
      <c r="B16" s="23">
        <v>9</v>
      </c>
      <c r="C16" s="35" t="s">
        <v>41</v>
      </c>
      <c r="D16" s="35" t="s">
        <v>42</v>
      </c>
      <c r="E16" s="35" t="s">
        <v>26</v>
      </c>
      <c r="F16" s="35" t="s">
        <v>439</v>
      </c>
      <c r="G16" s="23"/>
      <c r="H16" s="23" t="s">
        <v>123</v>
      </c>
      <c r="I16" s="23" t="s">
        <v>123</v>
      </c>
      <c r="J16" s="23" t="s">
        <v>123</v>
      </c>
      <c r="K16" s="23" t="s">
        <v>123</v>
      </c>
      <c r="L16" s="23" t="s">
        <v>123</v>
      </c>
      <c r="M16" s="23"/>
      <c r="N16" s="23"/>
      <c r="O16" s="23" t="s">
        <v>123</v>
      </c>
      <c r="P16" s="23" t="s">
        <v>123</v>
      </c>
      <c r="Q16" s="23" t="s">
        <v>123</v>
      </c>
      <c r="R16" s="23" t="s">
        <v>123</v>
      </c>
      <c r="S16" s="23" t="s">
        <v>123</v>
      </c>
      <c r="T16" s="23"/>
      <c r="U16" s="23"/>
      <c r="V16" s="23" t="s">
        <v>123</v>
      </c>
      <c r="W16" s="23" t="s">
        <v>123</v>
      </c>
      <c r="X16" s="23" t="s">
        <v>123</v>
      </c>
      <c r="Y16" s="23" t="s">
        <v>123</v>
      </c>
      <c r="Z16" s="23" t="s">
        <v>123</v>
      </c>
      <c r="AA16" s="23"/>
      <c r="AB16" s="23"/>
      <c r="AC16" s="23" t="s">
        <v>123</v>
      </c>
      <c r="AD16" s="23" t="s">
        <v>123</v>
      </c>
      <c r="AE16" s="23" t="s">
        <v>123</v>
      </c>
      <c r="AF16" s="23" t="s">
        <v>123</v>
      </c>
      <c r="AG16" s="23" t="s">
        <v>123</v>
      </c>
      <c r="AH16" s="23"/>
      <c r="AI16" s="23"/>
      <c r="AJ16" s="23" t="s">
        <v>123</v>
      </c>
      <c r="AK16" s="23" t="s">
        <v>123</v>
      </c>
      <c r="AL16" s="22">
        <f t="shared" si="2"/>
        <v>22</v>
      </c>
    </row>
    <row r="17" spans="2:38" x14ac:dyDescent="0.3">
      <c r="B17" s="23">
        <v>10</v>
      </c>
      <c r="C17" s="35" t="s">
        <v>44</v>
      </c>
      <c r="D17" s="35" t="s">
        <v>45</v>
      </c>
      <c r="E17" s="35" t="s">
        <v>26</v>
      </c>
      <c r="F17" s="35" t="s">
        <v>439</v>
      </c>
      <c r="G17" s="23"/>
      <c r="H17" s="23" t="s">
        <v>123</v>
      </c>
      <c r="I17" s="23" t="s">
        <v>123</v>
      </c>
      <c r="J17" s="23" t="s">
        <v>123</v>
      </c>
      <c r="K17" s="23" t="s">
        <v>123</v>
      </c>
      <c r="L17" s="23" t="s">
        <v>123</v>
      </c>
      <c r="M17" s="23"/>
      <c r="N17" s="23"/>
      <c r="O17" s="23" t="s">
        <v>123</v>
      </c>
      <c r="P17" s="23" t="s">
        <v>123</v>
      </c>
      <c r="Q17" s="23" t="s">
        <v>123</v>
      </c>
      <c r="R17" s="23" t="s">
        <v>123</v>
      </c>
      <c r="S17" s="23" t="s">
        <v>123</v>
      </c>
      <c r="T17" s="23"/>
      <c r="U17" s="23"/>
      <c r="V17" s="23" t="s">
        <v>123</v>
      </c>
      <c r="W17" s="23" t="s">
        <v>123</v>
      </c>
      <c r="X17" s="23" t="s">
        <v>123</v>
      </c>
      <c r="Y17" s="23" t="s">
        <v>123</v>
      </c>
      <c r="Z17" s="23" t="s">
        <v>123</v>
      </c>
      <c r="AA17" s="23"/>
      <c r="AB17" s="23"/>
      <c r="AC17" s="23" t="s">
        <v>123</v>
      </c>
      <c r="AD17" s="23" t="s">
        <v>123</v>
      </c>
      <c r="AE17" s="23" t="s">
        <v>123</v>
      </c>
      <c r="AF17" s="23" t="s">
        <v>123</v>
      </c>
      <c r="AG17" s="23" t="s">
        <v>123</v>
      </c>
      <c r="AH17" s="23"/>
      <c r="AI17" s="23"/>
      <c r="AJ17" s="23" t="s">
        <v>123</v>
      </c>
      <c r="AK17" s="23" t="s">
        <v>123</v>
      </c>
      <c r="AL17" s="22">
        <f t="shared" si="2"/>
        <v>22</v>
      </c>
    </row>
    <row r="18" spans="2:38" x14ac:dyDescent="0.3">
      <c r="B18" s="23">
        <v>11</v>
      </c>
      <c r="C18" s="35" t="s">
        <v>47</v>
      </c>
      <c r="D18" s="35" t="s">
        <v>48</v>
      </c>
      <c r="E18" s="35" t="s">
        <v>26</v>
      </c>
      <c r="F18" s="35" t="s">
        <v>439</v>
      </c>
      <c r="G18" s="23"/>
      <c r="H18" s="23" t="s">
        <v>123</v>
      </c>
      <c r="I18" s="23" t="s">
        <v>123</v>
      </c>
      <c r="J18" s="23" t="s">
        <v>123</v>
      </c>
      <c r="K18" s="23" t="s">
        <v>123</v>
      </c>
      <c r="L18" s="23" t="s">
        <v>123</v>
      </c>
      <c r="M18" s="23"/>
      <c r="N18" s="23"/>
      <c r="O18" s="23" t="s">
        <v>123</v>
      </c>
      <c r="P18" s="23" t="s">
        <v>123</v>
      </c>
      <c r="Q18" s="23" t="s">
        <v>123</v>
      </c>
      <c r="R18" s="23" t="s">
        <v>123</v>
      </c>
      <c r="S18" s="23" t="s">
        <v>123</v>
      </c>
      <c r="T18" s="23"/>
      <c r="U18" s="23"/>
      <c r="V18" s="23" t="s">
        <v>123</v>
      </c>
      <c r="W18" s="23" t="s">
        <v>123</v>
      </c>
      <c r="X18" s="23" t="s">
        <v>123</v>
      </c>
      <c r="Y18" s="23" t="s">
        <v>123</v>
      </c>
      <c r="Z18" s="23" t="s">
        <v>123</v>
      </c>
      <c r="AA18" s="23"/>
      <c r="AB18" s="23"/>
      <c r="AC18" s="23" t="s">
        <v>123</v>
      </c>
      <c r="AD18" s="23" t="s">
        <v>123</v>
      </c>
      <c r="AE18" s="23" t="s">
        <v>123</v>
      </c>
      <c r="AF18" s="23" t="s">
        <v>123</v>
      </c>
      <c r="AG18" s="23" t="s">
        <v>123</v>
      </c>
      <c r="AH18" s="23"/>
      <c r="AI18" s="23"/>
      <c r="AJ18" s="23" t="s">
        <v>123</v>
      </c>
      <c r="AK18" s="23" t="s">
        <v>123</v>
      </c>
      <c r="AL18" s="22">
        <f t="shared" si="2"/>
        <v>22</v>
      </c>
    </row>
    <row r="19" spans="2:38" x14ac:dyDescent="0.3">
      <c r="B19" s="23">
        <v>12</v>
      </c>
      <c r="C19" s="35" t="s">
        <v>49</v>
      </c>
      <c r="D19" s="35" t="s">
        <v>50</v>
      </c>
      <c r="E19" s="35" t="s">
        <v>26</v>
      </c>
      <c r="F19" s="35" t="s">
        <v>439</v>
      </c>
      <c r="G19" s="23"/>
      <c r="H19" s="23" t="s">
        <v>123</v>
      </c>
      <c r="I19" s="23" t="s">
        <v>123</v>
      </c>
      <c r="J19" s="23" t="s">
        <v>123</v>
      </c>
      <c r="K19" s="23" t="s">
        <v>123</v>
      </c>
      <c r="L19" s="23" t="s">
        <v>123</v>
      </c>
      <c r="M19" s="23"/>
      <c r="N19" s="23"/>
      <c r="O19" s="23" t="s">
        <v>123</v>
      </c>
      <c r="P19" s="23" t="s">
        <v>123</v>
      </c>
      <c r="Q19" s="23" t="s">
        <v>123</v>
      </c>
      <c r="R19" s="23" t="s">
        <v>123</v>
      </c>
      <c r="S19" s="23" t="s">
        <v>123</v>
      </c>
      <c r="T19" s="23"/>
      <c r="U19" s="23"/>
      <c r="V19" s="23" t="s">
        <v>123</v>
      </c>
      <c r="W19" s="23" t="s">
        <v>123</v>
      </c>
      <c r="X19" s="23" t="s">
        <v>123</v>
      </c>
      <c r="Y19" s="23" t="s">
        <v>123</v>
      </c>
      <c r="Z19" s="23" t="s">
        <v>123</v>
      </c>
      <c r="AA19" s="23"/>
      <c r="AB19" s="23"/>
      <c r="AC19" s="23" t="s">
        <v>123</v>
      </c>
      <c r="AD19" s="23" t="s">
        <v>123</v>
      </c>
      <c r="AE19" s="23" t="s">
        <v>123</v>
      </c>
      <c r="AF19" s="23" t="s">
        <v>123</v>
      </c>
      <c r="AG19" s="23" t="s">
        <v>123</v>
      </c>
      <c r="AH19" s="23"/>
      <c r="AI19" s="23"/>
      <c r="AJ19" s="23" t="s">
        <v>123</v>
      </c>
      <c r="AK19" s="23" t="s">
        <v>123</v>
      </c>
      <c r="AL19" s="22">
        <f t="shared" si="2"/>
        <v>22</v>
      </c>
    </row>
    <row r="20" spans="2:38" x14ac:dyDescent="0.3">
      <c r="B20" s="23">
        <v>13</v>
      </c>
      <c r="C20" s="35" t="s">
        <v>51</v>
      </c>
      <c r="D20" s="35" t="s">
        <v>52</v>
      </c>
      <c r="E20" s="35" t="s">
        <v>26</v>
      </c>
      <c r="F20" s="35" t="s">
        <v>439</v>
      </c>
      <c r="G20" s="23"/>
      <c r="H20" s="23" t="s">
        <v>123</v>
      </c>
      <c r="I20" s="23" t="s">
        <v>123</v>
      </c>
      <c r="J20" s="23" t="s">
        <v>123</v>
      </c>
      <c r="K20" s="23" t="s">
        <v>123</v>
      </c>
      <c r="L20" s="23" t="s">
        <v>123</v>
      </c>
      <c r="M20" s="23"/>
      <c r="N20" s="23"/>
      <c r="O20" s="23" t="s">
        <v>123</v>
      </c>
      <c r="P20" s="23" t="s">
        <v>123</v>
      </c>
      <c r="Q20" s="23" t="s">
        <v>123</v>
      </c>
      <c r="R20" s="23" t="s">
        <v>123</v>
      </c>
      <c r="S20" s="23" t="s">
        <v>123</v>
      </c>
      <c r="T20" s="23"/>
      <c r="U20" s="23"/>
      <c r="V20" s="23" t="s">
        <v>123</v>
      </c>
      <c r="W20" s="23" t="s">
        <v>123</v>
      </c>
      <c r="X20" s="23" t="s">
        <v>123</v>
      </c>
      <c r="Y20" s="23" t="s">
        <v>123</v>
      </c>
      <c r="Z20" s="23" t="s">
        <v>123</v>
      </c>
      <c r="AA20" s="23"/>
      <c r="AB20" s="23"/>
      <c r="AC20" s="23" t="s">
        <v>123</v>
      </c>
      <c r="AD20" s="23" t="s">
        <v>123</v>
      </c>
      <c r="AE20" s="23" t="s">
        <v>123</v>
      </c>
      <c r="AF20" s="23" t="s">
        <v>123</v>
      </c>
      <c r="AG20" s="23" t="s">
        <v>123</v>
      </c>
      <c r="AH20" s="23"/>
      <c r="AI20" s="23"/>
      <c r="AJ20" s="23" t="s">
        <v>123</v>
      </c>
      <c r="AK20" s="23" t="s">
        <v>123</v>
      </c>
      <c r="AL20" s="22">
        <f t="shared" si="2"/>
        <v>22</v>
      </c>
    </row>
    <row r="21" spans="2:38" x14ac:dyDescent="0.3">
      <c r="B21" s="23">
        <v>14</v>
      </c>
      <c r="C21" s="35" t="s">
        <v>53</v>
      </c>
      <c r="D21" s="35" t="s">
        <v>54</v>
      </c>
      <c r="E21" s="35" t="s">
        <v>26</v>
      </c>
      <c r="F21" s="35" t="s">
        <v>439</v>
      </c>
      <c r="G21" s="23"/>
      <c r="H21" s="23" t="s">
        <v>123</v>
      </c>
      <c r="I21" s="23" t="s">
        <v>123</v>
      </c>
      <c r="J21" s="23" t="s">
        <v>123</v>
      </c>
      <c r="K21" s="23" t="s">
        <v>123</v>
      </c>
      <c r="L21" s="23" t="s">
        <v>123</v>
      </c>
      <c r="M21" s="23"/>
      <c r="N21" s="23"/>
      <c r="O21" s="23" t="s">
        <v>123</v>
      </c>
      <c r="P21" s="23" t="s">
        <v>123</v>
      </c>
      <c r="Q21" s="23" t="s">
        <v>123</v>
      </c>
      <c r="R21" s="23" t="s">
        <v>123</v>
      </c>
      <c r="S21" s="23" t="s">
        <v>123</v>
      </c>
      <c r="T21" s="23"/>
      <c r="U21" s="23"/>
      <c r="V21" s="23" t="s">
        <v>123</v>
      </c>
      <c r="W21" s="23" t="s">
        <v>123</v>
      </c>
      <c r="X21" s="23" t="s">
        <v>123</v>
      </c>
      <c r="Y21" s="23" t="s">
        <v>123</v>
      </c>
      <c r="Z21" s="23" t="s">
        <v>123</v>
      </c>
      <c r="AA21" s="23"/>
      <c r="AB21" s="23"/>
      <c r="AC21" s="23" t="s">
        <v>123</v>
      </c>
      <c r="AD21" s="23" t="s">
        <v>123</v>
      </c>
      <c r="AE21" s="23" t="s">
        <v>123</v>
      </c>
      <c r="AF21" s="23" t="s">
        <v>123</v>
      </c>
      <c r="AG21" s="23" t="s">
        <v>123</v>
      </c>
      <c r="AH21" s="23"/>
      <c r="AI21" s="23"/>
      <c r="AJ21" s="23" t="s">
        <v>123</v>
      </c>
      <c r="AK21" s="23" t="s">
        <v>123</v>
      </c>
      <c r="AL21" s="22">
        <f t="shared" si="2"/>
        <v>22</v>
      </c>
    </row>
    <row r="22" spans="2:38" x14ac:dyDescent="0.3">
      <c r="B22" s="23">
        <v>15</v>
      </c>
      <c r="C22" s="35" t="s">
        <v>55</v>
      </c>
      <c r="D22" s="35" t="s">
        <v>56</v>
      </c>
      <c r="E22" s="35" t="s">
        <v>26</v>
      </c>
      <c r="F22" s="35" t="s">
        <v>439</v>
      </c>
      <c r="G22" s="23"/>
      <c r="H22" s="23" t="s">
        <v>123</v>
      </c>
      <c r="I22" s="23" t="s">
        <v>123</v>
      </c>
      <c r="J22" s="23" t="s">
        <v>123</v>
      </c>
      <c r="K22" s="23" t="s">
        <v>123</v>
      </c>
      <c r="L22" s="23" t="s">
        <v>123</v>
      </c>
      <c r="M22" s="23"/>
      <c r="N22" s="23"/>
      <c r="O22" s="23" t="s">
        <v>123</v>
      </c>
      <c r="P22" s="23" t="s">
        <v>123</v>
      </c>
      <c r="Q22" s="23" t="s">
        <v>123</v>
      </c>
      <c r="R22" s="23" t="s">
        <v>123</v>
      </c>
      <c r="S22" s="23" t="s">
        <v>123</v>
      </c>
      <c r="T22" s="23"/>
      <c r="U22" s="23"/>
      <c r="V22" s="23" t="s">
        <v>123</v>
      </c>
      <c r="W22" s="23" t="s">
        <v>123</v>
      </c>
      <c r="X22" s="23" t="s">
        <v>123</v>
      </c>
      <c r="Y22" s="23" t="s">
        <v>123</v>
      </c>
      <c r="Z22" s="23" t="s">
        <v>123</v>
      </c>
      <c r="AA22" s="23"/>
      <c r="AB22" s="23"/>
      <c r="AC22" s="23" t="s">
        <v>123</v>
      </c>
      <c r="AD22" s="23" t="s">
        <v>123</v>
      </c>
      <c r="AE22" s="23" t="s">
        <v>123</v>
      </c>
      <c r="AF22" s="23" t="s">
        <v>123</v>
      </c>
      <c r="AG22" s="23" t="s">
        <v>123</v>
      </c>
      <c r="AH22" s="23"/>
      <c r="AI22" s="23"/>
      <c r="AJ22" s="23" t="s">
        <v>123</v>
      </c>
      <c r="AK22" s="23" t="s">
        <v>123</v>
      </c>
      <c r="AL22" s="22">
        <f t="shared" si="2"/>
        <v>22</v>
      </c>
    </row>
    <row r="25" spans="2:38" x14ac:dyDescent="0.3">
      <c r="W25" s="253">
        <f>IF(CHE_DO_NGHI=1,WORKDAY.INTL(EOMONTH(DATE(P5,L5,1),0)+1,-1,1,INDEX(DATA_NGHI_LE[],0,1)),WORKDAY.INTL(EOMONTH(DATE(P5,L5,1),0)+1,-1,11,INDEX(DATA_NGHI_LE[],0,1)))</f>
        <v>45230</v>
      </c>
      <c r="X25" s="253"/>
      <c r="Y25" s="253"/>
      <c r="Z25" s="253"/>
      <c r="AA25" s="253"/>
      <c r="AB25" s="253"/>
      <c r="AC25" s="253"/>
      <c r="AD25" s="253"/>
      <c r="AE25" s="253"/>
      <c r="AF25" s="253"/>
      <c r="AG25" s="253"/>
      <c r="AH25" s="253"/>
      <c r="AI25" s="253"/>
      <c r="AJ25" s="253"/>
      <c r="AK25" s="28"/>
    </row>
    <row r="26" spans="2:38" x14ac:dyDescent="0.3">
      <c r="D26" s="256" t="s">
        <v>94</v>
      </c>
      <c r="E26" s="256"/>
      <c r="F26" s="36"/>
      <c r="H26" s="247" t="s">
        <v>96</v>
      </c>
      <c r="I26" s="247"/>
      <c r="J26" s="247"/>
      <c r="K26" s="247"/>
      <c r="L26" s="247"/>
      <c r="M26" s="247"/>
      <c r="N26" s="247"/>
      <c r="O26" s="247"/>
      <c r="P26" s="4"/>
      <c r="Q26" s="4"/>
      <c r="R26" s="4"/>
      <c r="S26" s="4"/>
      <c r="T26" s="4"/>
      <c r="U26" s="4"/>
      <c r="W26" s="247" t="s">
        <v>11</v>
      </c>
      <c r="X26" s="247"/>
      <c r="Y26" s="247"/>
      <c r="Z26" s="247"/>
      <c r="AA26" s="247"/>
      <c r="AB26" s="247"/>
      <c r="AC26" s="247"/>
      <c r="AD26" s="247"/>
      <c r="AE26" s="247"/>
      <c r="AF26" s="247"/>
      <c r="AG26" s="247"/>
      <c r="AH26" s="247"/>
      <c r="AI26" s="247"/>
      <c r="AJ26" s="247"/>
      <c r="AK26" s="4"/>
    </row>
    <row r="27" spans="2:38" x14ac:dyDescent="0.3">
      <c r="D27" s="257" t="s">
        <v>95</v>
      </c>
      <c r="E27" s="257"/>
      <c r="F27" s="37"/>
      <c r="H27" s="248" t="s">
        <v>95</v>
      </c>
      <c r="I27" s="248"/>
      <c r="J27" s="248"/>
      <c r="K27" s="248"/>
      <c r="L27" s="248"/>
      <c r="M27" s="248"/>
      <c r="N27" s="248"/>
      <c r="O27" s="248"/>
      <c r="P27" s="11"/>
      <c r="Q27" s="11"/>
      <c r="R27" s="11"/>
      <c r="S27" s="11"/>
      <c r="T27" s="11"/>
      <c r="U27" s="11"/>
      <c r="W27" s="248" t="s">
        <v>97</v>
      </c>
      <c r="X27" s="248"/>
      <c r="Y27" s="248"/>
      <c r="Z27" s="248"/>
      <c r="AA27" s="248"/>
      <c r="AB27" s="248"/>
      <c r="AC27" s="248"/>
      <c r="AD27" s="248"/>
      <c r="AE27" s="248"/>
      <c r="AF27" s="248"/>
      <c r="AG27" s="248"/>
      <c r="AH27" s="248"/>
      <c r="AI27" s="248"/>
      <c r="AJ27" s="248"/>
      <c r="AK27" s="11"/>
    </row>
    <row r="33" spans="2:12" x14ac:dyDescent="0.3">
      <c r="B33" s="4" t="s">
        <v>98</v>
      </c>
    </row>
    <row r="34" spans="2:12" x14ac:dyDescent="0.3">
      <c r="B34" s="7" t="s">
        <v>99</v>
      </c>
      <c r="E34" s="7" t="s">
        <v>102</v>
      </c>
      <c r="L34" s="7" t="s">
        <v>105</v>
      </c>
    </row>
    <row r="35" spans="2:12" x14ac:dyDescent="0.3">
      <c r="B35" s="7" t="s">
        <v>100</v>
      </c>
      <c r="E35" s="7" t="s">
        <v>103</v>
      </c>
    </row>
    <row r="36" spans="2:12" x14ac:dyDescent="0.3">
      <c r="B36" s="7" t="s">
        <v>101</v>
      </c>
      <c r="E36" s="7" t="s">
        <v>104</v>
      </c>
    </row>
  </sheetData>
  <mergeCells count="21">
    <mergeCell ref="W25:AJ25"/>
    <mergeCell ref="D26:E26"/>
    <mergeCell ref="H26:O26"/>
    <mergeCell ref="W26:AJ26"/>
    <mergeCell ref="D27:E27"/>
    <mergeCell ref="H27:O27"/>
    <mergeCell ref="W27:AJ27"/>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2">
    <cfRule type="expression" dxfId="2" priority="1">
      <formula>IF(AND(CHE_DO_NGHI=1,OR(G$7="Chủ nhật",G$7="Thứ Bảy")),TRUE,IF(AND(CHE_DO_NGHI=2,G$7="Chủ nhật"),TRUE,FALSE))</formula>
    </cfRule>
  </conditionalFormatting>
  <pageMargins left="0.7" right="0.7" top="0.75" bottom="0.75" header="0.3" footer="0.3"/>
  <pageSetup paperSize="9" scale="72" fitToHeight="0" orientation="landscape" cellComments="atEnd"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94EA5-5CE3-4C68-B2F0-038AF79F8AEE}">
  <sheetPr codeName="Sheet131">
    <pageSetUpPr fitToPage="1"/>
  </sheetPr>
  <dimension ref="B1:AL34"/>
  <sheetViews>
    <sheetView workbookViewId="0">
      <selection sqref="A1:XFD1048576"/>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6" width="3.33203125" style="5" customWidth="1"/>
    <col min="37" max="37" width="3.33203125" style="5" hidden="1"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11</v>
      </c>
      <c r="M5" s="252"/>
      <c r="N5" s="251" t="s">
        <v>93</v>
      </c>
      <c r="O5" s="251"/>
      <c r="P5" s="250">
        <f>Nam_Bang_Luong</f>
        <v>2023</v>
      </c>
      <c r="Q5" s="250"/>
    </row>
    <row r="6" spans="2:38" x14ac:dyDescent="0.3">
      <c r="B6" s="220" t="s">
        <v>5</v>
      </c>
      <c r="C6" s="220" t="s">
        <v>91</v>
      </c>
      <c r="D6" s="220" t="s">
        <v>6</v>
      </c>
      <c r="E6" s="220" t="s">
        <v>8</v>
      </c>
      <c r="F6" s="220" t="s">
        <v>7</v>
      </c>
      <c r="G6" s="20">
        <f>DATE(P5,L5,1)</f>
        <v>45231</v>
      </c>
      <c r="H6" s="20">
        <f>G6+1</f>
        <v>45232</v>
      </c>
      <c r="I6" s="20">
        <f t="shared" ref="I6:AK6" si="0">H6+1</f>
        <v>45233</v>
      </c>
      <c r="J6" s="20">
        <f t="shared" si="0"/>
        <v>45234</v>
      </c>
      <c r="K6" s="20">
        <f t="shared" si="0"/>
        <v>45235</v>
      </c>
      <c r="L6" s="20">
        <f t="shared" si="0"/>
        <v>45236</v>
      </c>
      <c r="M6" s="20">
        <f t="shared" si="0"/>
        <v>45237</v>
      </c>
      <c r="N6" s="20">
        <f t="shared" si="0"/>
        <v>45238</v>
      </c>
      <c r="O6" s="20">
        <f t="shared" si="0"/>
        <v>45239</v>
      </c>
      <c r="P6" s="20">
        <f t="shared" si="0"/>
        <v>45240</v>
      </c>
      <c r="Q6" s="20">
        <f t="shared" si="0"/>
        <v>45241</v>
      </c>
      <c r="R6" s="20">
        <f t="shared" si="0"/>
        <v>45242</v>
      </c>
      <c r="S6" s="20">
        <f t="shared" si="0"/>
        <v>45243</v>
      </c>
      <c r="T6" s="20">
        <f t="shared" si="0"/>
        <v>45244</v>
      </c>
      <c r="U6" s="20">
        <f t="shared" si="0"/>
        <v>45245</v>
      </c>
      <c r="V6" s="20">
        <f t="shared" si="0"/>
        <v>45246</v>
      </c>
      <c r="W6" s="20">
        <f t="shared" si="0"/>
        <v>45247</v>
      </c>
      <c r="X6" s="20">
        <f t="shared" si="0"/>
        <v>45248</v>
      </c>
      <c r="Y6" s="20">
        <f t="shared" si="0"/>
        <v>45249</v>
      </c>
      <c r="Z6" s="20">
        <f t="shared" si="0"/>
        <v>45250</v>
      </c>
      <c r="AA6" s="20">
        <f t="shared" si="0"/>
        <v>45251</v>
      </c>
      <c r="AB6" s="20">
        <f t="shared" si="0"/>
        <v>45252</v>
      </c>
      <c r="AC6" s="20">
        <f t="shared" si="0"/>
        <v>45253</v>
      </c>
      <c r="AD6" s="20">
        <f t="shared" si="0"/>
        <v>45254</v>
      </c>
      <c r="AE6" s="20">
        <f t="shared" si="0"/>
        <v>45255</v>
      </c>
      <c r="AF6" s="20">
        <f t="shared" si="0"/>
        <v>45256</v>
      </c>
      <c r="AG6" s="20">
        <f t="shared" si="0"/>
        <v>45257</v>
      </c>
      <c r="AH6" s="20">
        <f t="shared" si="0"/>
        <v>45258</v>
      </c>
      <c r="AI6" s="20">
        <f t="shared" si="0"/>
        <v>45259</v>
      </c>
      <c r="AJ6" s="20">
        <f t="shared" si="0"/>
        <v>45260</v>
      </c>
      <c r="AK6" s="20">
        <f t="shared" si="0"/>
        <v>45261</v>
      </c>
      <c r="AL6" s="217" t="s">
        <v>107</v>
      </c>
    </row>
    <row r="7" spans="2:38" ht="46.2" x14ac:dyDescent="0.3">
      <c r="B7" s="220"/>
      <c r="C7" s="220"/>
      <c r="D7" s="220"/>
      <c r="E7" s="220"/>
      <c r="F7" s="220"/>
      <c r="G7" s="21" t="str">
        <f>TEXT(G6,"[$-042A]dddd")</f>
        <v>Thứ Tư</v>
      </c>
      <c r="H7" s="21" t="str">
        <f t="shared" ref="H7:AK7" si="1">TEXT(H6,"[$-042A]dddd")</f>
        <v>Thứ Năm</v>
      </c>
      <c r="I7" s="21" t="str">
        <f t="shared" si="1"/>
        <v>Thứ Sáu</v>
      </c>
      <c r="J7" s="21" t="str">
        <f t="shared" si="1"/>
        <v>Thứ Bảy</v>
      </c>
      <c r="K7" s="21" t="str">
        <f t="shared" si="1"/>
        <v>Chủ Nhật</v>
      </c>
      <c r="L7" s="21" t="str">
        <f t="shared" si="1"/>
        <v>Thứ Hai</v>
      </c>
      <c r="M7" s="21" t="str">
        <f t="shared" si="1"/>
        <v>Thứ Ba</v>
      </c>
      <c r="N7" s="21" t="str">
        <f t="shared" si="1"/>
        <v>Thứ Tư</v>
      </c>
      <c r="O7" s="21" t="str">
        <f t="shared" si="1"/>
        <v>Thứ Năm</v>
      </c>
      <c r="P7" s="21" t="str">
        <f t="shared" si="1"/>
        <v>Thứ Sáu</v>
      </c>
      <c r="Q7" s="21" t="str">
        <f t="shared" si="1"/>
        <v>Thứ Bảy</v>
      </c>
      <c r="R7" s="21" t="str">
        <f t="shared" si="1"/>
        <v>Chủ Nhật</v>
      </c>
      <c r="S7" s="21" t="str">
        <f t="shared" si="1"/>
        <v>Thứ Hai</v>
      </c>
      <c r="T7" s="21" t="str">
        <f t="shared" si="1"/>
        <v>Thứ Ba</v>
      </c>
      <c r="U7" s="21" t="str">
        <f t="shared" si="1"/>
        <v>Thứ Tư</v>
      </c>
      <c r="V7" s="21" t="str">
        <f t="shared" si="1"/>
        <v>Thứ Năm</v>
      </c>
      <c r="W7" s="21" t="str">
        <f t="shared" si="1"/>
        <v>Thứ Sáu</v>
      </c>
      <c r="X7" s="21" t="str">
        <f t="shared" si="1"/>
        <v>Thứ Bảy</v>
      </c>
      <c r="Y7" s="21" t="str">
        <f t="shared" si="1"/>
        <v>Chủ Nhật</v>
      </c>
      <c r="Z7" s="21" t="str">
        <f t="shared" si="1"/>
        <v>Thứ Hai</v>
      </c>
      <c r="AA7" s="21" t="str">
        <f t="shared" si="1"/>
        <v>Thứ Ba</v>
      </c>
      <c r="AB7" s="21" t="str">
        <f t="shared" si="1"/>
        <v>Thứ Tư</v>
      </c>
      <c r="AC7" s="21" t="str">
        <f t="shared" si="1"/>
        <v>Thứ Năm</v>
      </c>
      <c r="AD7" s="21" t="str">
        <f t="shared" si="1"/>
        <v>Thứ Sáu</v>
      </c>
      <c r="AE7" s="21" t="str">
        <f t="shared" si="1"/>
        <v>Thứ Bảy</v>
      </c>
      <c r="AF7" s="21" t="str">
        <f t="shared" si="1"/>
        <v>Chủ Nhật</v>
      </c>
      <c r="AG7" s="21" t="str">
        <f t="shared" si="1"/>
        <v>Thứ Hai</v>
      </c>
      <c r="AH7" s="21" t="str">
        <f t="shared" si="1"/>
        <v>Thứ Ba</v>
      </c>
      <c r="AI7" s="21" t="str">
        <f t="shared" si="1"/>
        <v>Thứ Tư</v>
      </c>
      <c r="AJ7" s="21" t="str">
        <f t="shared" si="1"/>
        <v>Thứ Năm</v>
      </c>
      <c r="AK7" s="21" t="str">
        <f t="shared" si="1"/>
        <v>Thứ Sáu</v>
      </c>
      <c r="AL7" s="217"/>
    </row>
    <row r="8" spans="2:38" x14ac:dyDescent="0.3">
      <c r="B8" s="23">
        <v>1</v>
      </c>
      <c r="C8" s="35" t="s">
        <v>9</v>
      </c>
      <c r="D8" s="35" t="s">
        <v>10</v>
      </c>
      <c r="E8" s="35" t="s">
        <v>11</v>
      </c>
      <c r="F8" s="35" t="s">
        <v>438</v>
      </c>
      <c r="G8" s="23" t="s">
        <v>123</v>
      </c>
      <c r="H8" s="23" t="s">
        <v>123</v>
      </c>
      <c r="I8" s="23" t="s">
        <v>123</v>
      </c>
      <c r="J8" s="23"/>
      <c r="K8" s="23"/>
      <c r="L8" s="24" t="s">
        <v>123</v>
      </c>
      <c r="M8" s="24" t="s">
        <v>123</v>
      </c>
      <c r="N8" s="24" t="s">
        <v>123</v>
      </c>
      <c r="O8" s="24" t="s">
        <v>123</v>
      </c>
      <c r="P8" s="24" t="s">
        <v>123</v>
      </c>
      <c r="Q8" s="24"/>
      <c r="R8" s="24"/>
      <c r="S8" s="24" t="s">
        <v>123</v>
      </c>
      <c r="T8" s="23" t="s">
        <v>123</v>
      </c>
      <c r="U8" s="23" t="s">
        <v>123</v>
      </c>
      <c r="V8" s="23" t="s">
        <v>123</v>
      </c>
      <c r="W8" s="23" t="s">
        <v>123</v>
      </c>
      <c r="X8" s="23"/>
      <c r="Y8" s="23"/>
      <c r="Z8" s="23" t="s">
        <v>123</v>
      </c>
      <c r="AA8" s="23" t="s">
        <v>123</v>
      </c>
      <c r="AB8" s="23" t="s">
        <v>123</v>
      </c>
      <c r="AC8" s="23" t="s">
        <v>123</v>
      </c>
      <c r="AD8" s="23" t="s">
        <v>123</v>
      </c>
      <c r="AE8" s="23"/>
      <c r="AF8" s="23"/>
      <c r="AG8" s="23" t="s">
        <v>123</v>
      </c>
      <c r="AH8" s="23" t="s">
        <v>123</v>
      </c>
      <c r="AI8" s="23" t="s">
        <v>123</v>
      </c>
      <c r="AJ8" s="23" t="s">
        <v>123</v>
      </c>
      <c r="AK8" s="23"/>
      <c r="AL8" s="22">
        <f t="shared" ref="AL8:AL20" si="2">COUNTIF(G8:AK8,"X")+0.5*COUNTIF(G8:AK8,"X/2")+COUNTIF(G8:AK8,"NL")</f>
        <v>22</v>
      </c>
    </row>
    <row r="9" spans="2:38" x14ac:dyDescent="0.3">
      <c r="B9" s="23">
        <v>2</v>
      </c>
      <c r="C9" s="35" t="s">
        <v>14</v>
      </c>
      <c r="D9" s="35" t="s">
        <v>15</v>
      </c>
      <c r="E9" s="35" t="s">
        <v>16</v>
      </c>
      <c r="F9" s="35" t="s">
        <v>438</v>
      </c>
      <c r="G9" s="23" t="s">
        <v>123</v>
      </c>
      <c r="H9" s="23" t="s">
        <v>123</v>
      </c>
      <c r="I9" s="23" t="s">
        <v>123</v>
      </c>
      <c r="J9" s="23"/>
      <c r="K9" s="23"/>
      <c r="L9" s="24" t="s">
        <v>123</v>
      </c>
      <c r="M9" s="24" t="s">
        <v>123</v>
      </c>
      <c r="N9" s="24" t="s">
        <v>123</v>
      </c>
      <c r="O9" s="24" t="s">
        <v>123</v>
      </c>
      <c r="P9" s="24" t="s">
        <v>123</v>
      </c>
      <c r="Q9" s="24"/>
      <c r="R9" s="24"/>
      <c r="S9" s="24" t="s">
        <v>123</v>
      </c>
      <c r="T9" s="23" t="s">
        <v>123</v>
      </c>
      <c r="U9" s="23" t="s">
        <v>123</v>
      </c>
      <c r="V9" s="23" t="s">
        <v>123</v>
      </c>
      <c r="W9" s="23" t="s">
        <v>123</v>
      </c>
      <c r="X9" s="23"/>
      <c r="Y9" s="23"/>
      <c r="Z9" s="23" t="s">
        <v>123</v>
      </c>
      <c r="AA9" s="23" t="s">
        <v>123</v>
      </c>
      <c r="AB9" s="23" t="s">
        <v>123</v>
      </c>
      <c r="AC9" s="23" t="s">
        <v>123</v>
      </c>
      <c r="AD9" s="23" t="s">
        <v>123</v>
      </c>
      <c r="AE9" s="23"/>
      <c r="AF9" s="23"/>
      <c r="AG9" s="23" t="s">
        <v>123</v>
      </c>
      <c r="AH9" s="23" t="s">
        <v>123</v>
      </c>
      <c r="AI9" s="23" t="s">
        <v>123</v>
      </c>
      <c r="AJ9" s="23" t="s">
        <v>123</v>
      </c>
      <c r="AK9" s="23"/>
      <c r="AL9" s="22">
        <f t="shared" si="2"/>
        <v>22</v>
      </c>
    </row>
    <row r="10" spans="2:38" x14ac:dyDescent="0.3">
      <c r="B10" s="23">
        <v>3</v>
      </c>
      <c r="C10" s="35" t="s">
        <v>19</v>
      </c>
      <c r="D10" s="35" t="s">
        <v>20</v>
      </c>
      <c r="E10" s="35" t="s">
        <v>21</v>
      </c>
      <c r="F10" s="35" t="s">
        <v>438</v>
      </c>
      <c r="G10" s="23" t="s">
        <v>123</v>
      </c>
      <c r="H10" s="23" t="s">
        <v>123</v>
      </c>
      <c r="I10" s="23" t="s">
        <v>123</v>
      </c>
      <c r="J10" s="23"/>
      <c r="K10" s="23"/>
      <c r="L10" s="24" t="s">
        <v>123</v>
      </c>
      <c r="M10" s="24" t="s">
        <v>123</v>
      </c>
      <c r="N10" s="24" t="s">
        <v>123</v>
      </c>
      <c r="O10" s="24" t="s">
        <v>123</v>
      </c>
      <c r="P10" s="24" t="s">
        <v>123</v>
      </c>
      <c r="Q10" s="24"/>
      <c r="R10" s="24"/>
      <c r="S10" s="24" t="s">
        <v>123</v>
      </c>
      <c r="T10" s="23" t="s">
        <v>123</v>
      </c>
      <c r="U10" s="23" t="s">
        <v>123</v>
      </c>
      <c r="V10" s="23" t="s">
        <v>123</v>
      </c>
      <c r="W10" s="23" t="s">
        <v>123</v>
      </c>
      <c r="X10" s="23"/>
      <c r="Y10" s="23"/>
      <c r="Z10" s="23" t="s">
        <v>123</v>
      </c>
      <c r="AA10" s="23" t="s">
        <v>123</v>
      </c>
      <c r="AB10" s="23" t="s">
        <v>123</v>
      </c>
      <c r="AC10" s="23" t="s">
        <v>123</v>
      </c>
      <c r="AD10" s="23" t="s">
        <v>123</v>
      </c>
      <c r="AE10" s="23"/>
      <c r="AF10" s="23"/>
      <c r="AG10" s="23" t="s">
        <v>123</v>
      </c>
      <c r="AH10" s="23" t="s">
        <v>123</v>
      </c>
      <c r="AI10" s="23" t="s">
        <v>123</v>
      </c>
      <c r="AJ10" s="23" t="s">
        <v>123</v>
      </c>
      <c r="AK10" s="23"/>
      <c r="AL10" s="22">
        <f t="shared" si="2"/>
        <v>22</v>
      </c>
    </row>
    <row r="11" spans="2:38" x14ac:dyDescent="0.3">
      <c r="B11" s="23">
        <v>4</v>
      </c>
      <c r="C11" s="35" t="s">
        <v>24</v>
      </c>
      <c r="D11" s="35" t="s">
        <v>25</v>
      </c>
      <c r="E11" s="35" t="s">
        <v>26</v>
      </c>
      <c r="F11" s="35" t="s">
        <v>439</v>
      </c>
      <c r="G11" s="23" t="s">
        <v>123</v>
      </c>
      <c r="H11" s="23" t="s">
        <v>123</v>
      </c>
      <c r="I11" s="23" t="s">
        <v>123</v>
      </c>
      <c r="J11" s="23"/>
      <c r="K11" s="23"/>
      <c r="L11" s="24" t="s">
        <v>123</v>
      </c>
      <c r="M11" s="24" t="s">
        <v>123</v>
      </c>
      <c r="N11" s="24" t="s">
        <v>123</v>
      </c>
      <c r="O11" s="24" t="s">
        <v>123</v>
      </c>
      <c r="P11" s="24" t="s">
        <v>123</v>
      </c>
      <c r="Q11" s="24"/>
      <c r="R11" s="24"/>
      <c r="S11" s="24" t="s">
        <v>123</v>
      </c>
      <c r="T11" s="23" t="s">
        <v>123</v>
      </c>
      <c r="U11" s="23" t="s">
        <v>123</v>
      </c>
      <c r="V11" s="23" t="s">
        <v>123</v>
      </c>
      <c r="W11" s="23" t="s">
        <v>123</v>
      </c>
      <c r="X11" s="23"/>
      <c r="Y11" s="23"/>
      <c r="Z11" s="23" t="s">
        <v>123</v>
      </c>
      <c r="AA11" s="23" t="s">
        <v>123</v>
      </c>
      <c r="AB11" s="23" t="s">
        <v>123</v>
      </c>
      <c r="AC11" s="23" t="s">
        <v>123</v>
      </c>
      <c r="AD11" s="23" t="s">
        <v>123</v>
      </c>
      <c r="AE11" s="23"/>
      <c r="AF11" s="23"/>
      <c r="AG11" s="23" t="s">
        <v>123</v>
      </c>
      <c r="AH11" s="23" t="s">
        <v>123</v>
      </c>
      <c r="AI11" s="23" t="s">
        <v>123</v>
      </c>
      <c r="AJ11" s="23" t="s">
        <v>123</v>
      </c>
      <c r="AK11" s="23"/>
      <c r="AL11" s="22">
        <f t="shared" si="2"/>
        <v>22</v>
      </c>
    </row>
    <row r="12" spans="2:38" x14ac:dyDescent="0.3">
      <c r="B12" s="23">
        <v>5</v>
      </c>
      <c r="C12" s="35" t="s">
        <v>29</v>
      </c>
      <c r="D12" s="35" t="s">
        <v>30</v>
      </c>
      <c r="E12" s="35" t="s">
        <v>26</v>
      </c>
      <c r="F12" s="35" t="s">
        <v>439</v>
      </c>
      <c r="G12" s="23" t="s">
        <v>123</v>
      </c>
      <c r="H12" s="23" t="s">
        <v>123</v>
      </c>
      <c r="I12" s="23" t="s">
        <v>123</v>
      </c>
      <c r="J12" s="23"/>
      <c r="K12" s="23"/>
      <c r="L12" s="23" t="s">
        <v>123</v>
      </c>
      <c r="M12" s="23" t="s">
        <v>123</v>
      </c>
      <c r="N12" s="23" t="s">
        <v>123</v>
      </c>
      <c r="O12" s="23" t="s">
        <v>123</v>
      </c>
      <c r="P12" s="23" t="s">
        <v>123</v>
      </c>
      <c r="Q12" s="23"/>
      <c r="R12" s="23"/>
      <c r="S12" s="23" t="s">
        <v>123</v>
      </c>
      <c r="T12" s="23" t="s">
        <v>123</v>
      </c>
      <c r="U12" s="23" t="s">
        <v>123</v>
      </c>
      <c r="V12" s="23" t="s">
        <v>123</v>
      </c>
      <c r="W12" s="23" t="s">
        <v>123</v>
      </c>
      <c r="X12" s="23"/>
      <c r="Y12" s="23"/>
      <c r="Z12" s="23" t="s">
        <v>123</v>
      </c>
      <c r="AA12" s="23" t="s">
        <v>123</v>
      </c>
      <c r="AB12" s="23" t="s">
        <v>123</v>
      </c>
      <c r="AC12" s="23" t="s">
        <v>123</v>
      </c>
      <c r="AD12" s="23" t="s">
        <v>123</v>
      </c>
      <c r="AE12" s="23"/>
      <c r="AF12" s="23"/>
      <c r="AG12" s="23" t="s">
        <v>123</v>
      </c>
      <c r="AH12" s="23" t="s">
        <v>123</v>
      </c>
      <c r="AI12" s="23" t="s">
        <v>123</v>
      </c>
      <c r="AJ12" s="23" t="s">
        <v>123</v>
      </c>
      <c r="AK12" s="23"/>
      <c r="AL12" s="22">
        <f t="shared" si="2"/>
        <v>22</v>
      </c>
    </row>
    <row r="13" spans="2:38" x14ac:dyDescent="0.3">
      <c r="B13" s="23">
        <v>6</v>
      </c>
      <c r="C13" s="35" t="s">
        <v>32</v>
      </c>
      <c r="D13" s="35" t="s">
        <v>33</v>
      </c>
      <c r="E13" s="35" t="s">
        <v>26</v>
      </c>
      <c r="F13" s="35" t="s">
        <v>439</v>
      </c>
      <c r="G13" s="23" t="s">
        <v>123</v>
      </c>
      <c r="H13" s="23" t="s">
        <v>123</v>
      </c>
      <c r="I13" s="23" t="s">
        <v>123</v>
      </c>
      <c r="J13" s="23"/>
      <c r="K13" s="23"/>
      <c r="L13" s="23" t="s">
        <v>123</v>
      </c>
      <c r="M13" s="23" t="s">
        <v>123</v>
      </c>
      <c r="N13" s="23" t="s">
        <v>123</v>
      </c>
      <c r="O13" s="23" t="s">
        <v>123</v>
      </c>
      <c r="P13" s="23" t="s">
        <v>123</v>
      </c>
      <c r="Q13" s="23"/>
      <c r="R13" s="23"/>
      <c r="S13" s="23" t="s">
        <v>123</v>
      </c>
      <c r="T13" s="23" t="s">
        <v>123</v>
      </c>
      <c r="U13" s="23" t="s">
        <v>123</v>
      </c>
      <c r="V13" s="23" t="s">
        <v>123</v>
      </c>
      <c r="W13" s="23" t="s">
        <v>123</v>
      </c>
      <c r="X13" s="23"/>
      <c r="Y13" s="23"/>
      <c r="Z13" s="23" t="s">
        <v>123</v>
      </c>
      <c r="AA13" s="23" t="s">
        <v>123</v>
      </c>
      <c r="AB13" s="23" t="s">
        <v>123</v>
      </c>
      <c r="AC13" s="23" t="s">
        <v>123</v>
      </c>
      <c r="AD13" s="23" t="s">
        <v>123</v>
      </c>
      <c r="AE13" s="23"/>
      <c r="AF13" s="23"/>
      <c r="AG13" s="23" t="s">
        <v>123</v>
      </c>
      <c r="AH13" s="23" t="s">
        <v>123</v>
      </c>
      <c r="AI13" s="23" t="s">
        <v>123</v>
      </c>
      <c r="AJ13" s="23" t="s">
        <v>123</v>
      </c>
      <c r="AK13" s="23"/>
      <c r="AL13" s="22">
        <f t="shared" si="2"/>
        <v>22</v>
      </c>
    </row>
    <row r="14" spans="2:38" x14ac:dyDescent="0.3">
      <c r="B14" s="23">
        <v>7</v>
      </c>
      <c r="C14" s="35" t="s">
        <v>35</v>
      </c>
      <c r="D14" s="35" t="s">
        <v>36</v>
      </c>
      <c r="E14" s="35" t="s">
        <v>26</v>
      </c>
      <c r="F14" s="35" t="s">
        <v>439</v>
      </c>
      <c r="G14" s="23" t="s">
        <v>123</v>
      </c>
      <c r="H14" s="23" t="s">
        <v>123</v>
      </c>
      <c r="I14" s="23" t="s">
        <v>123</v>
      </c>
      <c r="J14" s="23"/>
      <c r="K14" s="23"/>
      <c r="L14" s="23" t="s">
        <v>123</v>
      </c>
      <c r="M14" s="23" t="s">
        <v>123</v>
      </c>
      <c r="N14" s="23" t="s">
        <v>123</v>
      </c>
      <c r="O14" s="23" t="s">
        <v>123</v>
      </c>
      <c r="P14" s="23" t="s">
        <v>123</v>
      </c>
      <c r="Q14" s="23"/>
      <c r="R14" s="23"/>
      <c r="S14" s="23" t="s">
        <v>123</v>
      </c>
      <c r="T14" s="23" t="s">
        <v>123</v>
      </c>
      <c r="U14" s="23" t="s">
        <v>123</v>
      </c>
      <c r="V14" s="23" t="s">
        <v>123</v>
      </c>
      <c r="W14" s="23" t="s">
        <v>123</v>
      </c>
      <c r="X14" s="23"/>
      <c r="Y14" s="23"/>
      <c r="Z14" s="23" t="s">
        <v>123</v>
      </c>
      <c r="AA14" s="23" t="s">
        <v>123</v>
      </c>
      <c r="AB14" s="23" t="s">
        <v>123</v>
      </c>
      <c r="AC14" s="23" t="s">
        <v>123</v>
      </c>
      <c r="AD14" s="23" t="s">
        <v>123</v>
      </c>
      <c r="AE14" s="23"/>
      <c r="AF14" s="23"/>
      <c r="AG14" s="23" t="s">
        <v>123</v>
      </c>
      <c r="AH14" s="23" t="s">
        <v>123</v>
      </c>
      <c r="AI14" s="23" t="s">
        <v>123</v>
      </c>
      <c r="AJ14" s="23" t="s">
        <v>123</v>
      </c>
      <c r="AK14" s="23"/>
      <c r="AL14" s="22">
        <f t="shared" si="2"/>
        <v>22</v>
      </c>
    </row>
    <row r="15" spans="2:38" x14ac:dyDescent="0.3">
      <c r="B15" s="23">
        <v>8</v>
      </c>
      <c r="C15" s="35" t="s">
        <v>38</v>
      </c>
      <c r="D15" s="35" t="s">
        <v>39</v>
      </c>
      <c r="E15" s="35" t="s">
        <v>26</v>
      </c>
      <c r="F15" s="35" t="s">
        <v>439</v>
      </c>
      <c r="G15" s="23" t="s">
        <v>123</v>
      </c>
      <c r="H15" s="23" t="s">
        <v>123</v>
      </c>
      <c r="I15" s="23" t="s">
        <v>123</v>
      </c>
      <c r="J15" s="23"/>
      <c r="K15" s="23"/>
      <c r="L15" s="23" t="s">
        <v>123</v>
      </c>
      <c r="M15" s="23" t="s">
        <v>123</v>
      </c>
      <c r="N15" s="23" t="s">
        <v>123</v>
      </c>
      <c r="O15" s="23" t="s">
        <v>123</v>
      </c>
      <c r="P15" s="23" t="s">
        <v>123</v>
      </c>
      <c r="Q15" s="23"/>
      <c r="R15" s="23"/>
      <c r="S15" s="23" t="s">
        <v>123</v>
      </c>
      <c r="T15" s="23" t="s">
        <v>123</v>
      </c>
      <c r="U15" s="23" t="s">
        <v>123</v>
      </c>
      <c r="V15" s="23" t="s">
        <v>123</v>
      </c>
      <c r="W15" s="23" t="s">
        <v>123</v>
      </c>
      <c r="X15" s="23"/>
      <c r="Y15" s="23"/>
      <c r="Z15" s="23" t="s">
        <v>123</v>
      </c>
      <c r="AA15" s="23" t="s">
        <v>123</v>
      </c>
      <c r="AB15" s="23" t="s">
        <v>123</v>
      </c>
      <c r="AC15" s="23" t="s">
        <v>123</v>
      </c>
      <c r="AD15" s="23" t="s">
        <v>123</v>
      </c>
      <c r="AE15" s="23"/>
      <c r="AF15" s="23"/>
      <c r="AG15" s="23" t="s">
        <v>123</v>
      </c>
      <c r="AH15" s="23" t="s">
        <v>123</v>
      </c>
      <c r="AI15" s="23" t="s">
        <v>123</v>
      </c>
      <c r="AJ15" s="23" t="s">
        <v>123</v>
      </c>
      <c r="AK15" s="23"/>
      <c r="AL15" s="22">
        <f t="shared" si="2"/>
        <v>22</v>
      </c>
    </row>
    <row r="16" spans="2:38" x14ac:dyDescent="0.3">
      <c r="B16" s="23">
        <v>9</v>
      </c>
      <c r="C16" s="35" t="s">
        <v>41</v>
      </c>
      <c r="D16" s="35" t="s">
        <v>42</v>
      </c>
      <c r="E16" s="35" t="s">
        <v>26</v>
      </c>
      <c r="F16" s="35" t="s">
        <v>439</v>
      </c>
      <c r="G16" s="23" t="s">
        <v>123</v>
      </c>
      <c r="H16" s="23" t="s">
        <v>123</v>
      </c>
      <c r="I16" s="23" t="s">
        <v>123</v>
      </c>
      <c r="J16" s="23"/>
      <c r="K16" s="23"/>
      <c r="L16" s="23" t="s">
        <v>123</v>
      </c>
      <c r="M16" s="23" t="s">
        <v>123</v>
      </c>
      <c r="N16" s="23" t="s">
        <v>123</v>
      </c>
      <c r="O16" s="23" t="s">
        <v>123</v>
      </c>
      <c r="P16" s="23" t="s">
        <v>123</v>
      </c>
      <c r="Q16" s="23"/>
      <c r="R16" s="23"/>
      <c r="S16" s="23" t="s">
        <v>123</v>
      </c>
      <c r="T16" s="23" t="s">
        <v>123</v>
      </c>
      <c r="U16" s="23" t="s">
        <v>123</v>
      </c>
      <c r="V16" s="23" t="s">
        <v>123</v>
      </c>
      <c r="W16" s="23" t="s">
        <v>123</v>
      </c>
      <c r="X16" s="23"/>
      <c r="Y16" s="23"/>
      <c r="Z16" s="23" t="s">
        <v>123</v>
      </c>
      <c r="AA16" s="23" t="s">
        <v>123</v>
      </c>
      <c r="AB16" s="23" t="s">
        <v>123</v>
      </c>
      <c r="AC16" s="23" t="s">
        <v>123</v>
      </c>
      <c r="AD16" s="23" t="s">
        <v>123</v>
      </c>
      <c r="AE16" s="23"/>
      <c r="AF16" s="23"/>
      <c r="AG16" s="23" t="s">
        <v>123</v>
      </c>
      <c r="AH16" s="23" t="s">
        <v>123</v>
      </c>
      <c r="AI16" s="23" t="s">
        <v>123</v>
      </c>
      <c r="AJ16" s="23" t="s">
        <v>123</v>
      </c>
      <c r="AK16" s="23"/>
      <c r="AL16" s="22">
        <f t="shared" si="2"/>
        <v>22</v>
      </c>
    </row>
    <row r="17" spans="2:38" x14ac:dyDescent="0.3">
      <c r="B17" s="23">
        <v>10</v>
      </c>
      <c r="C17" s="35" t="s">
        <v>44</v>
      </c>
      <c r="D17" s="35" t="s">
        <v>45</v>
      </c>
      <c r="E17" s="35" t="s">
        <v>26</v>
      </c>
      <c r="F17" s="35" t="s">
        <v>439</v>
      </c>
      <c r="G17" s="23" t="s">
        <v>123</v>
      </c>
      <c r="H17" s="23" t="s">
        <v>123</v>
      </c>
      <c r="I17" s="23" t="s">
        <v>123</v>
      </c>
      <c r="J17" s="23"/>
      <c r="K17" s="23"/>
      <c r="L17" s="23" t="s">
        <v>123</v>
      </c>
      <c r="M17" s="23" t="s">
        <v>123</v>
      </c>
      <c r="N17" s="23" t="s">
        <v>123</v>
      </c>
      <c r="O17" s="23" t="s">
        <v>123</v>
      </c>
      <c r="P17" s="23" t="s">
        <v>123</v>
      </c>
      <c r="Q17" s="23"/>
      <c r="R17" s="23"/>
      <c r="S17" s="23" t="s">
        <v>123</v>
      </c>
      <c r="T17" s="23" t="s">
        <v>123</v>
      </c>
      <c r="U17" s="23" t="s">
        <v>123</v>
      </c>
      <c r="V17" s="23" t="s">
        <v>123</v>
      </c>
      <c r="W17" s="23" t="s">
        <v>123</v>
      </c>
      <c r="X17" s="23"/>
      <c r="Y17" s="23"/>
      <c r="Z17" s="23" t="s">
        <v>123</v>
      </c>
      <c r="AA17" s="23" t="s">
        <v>123</v>
      </c>
      <c r="AB17" s="23" t="s">
        <v>123</v>
      </c>
      <c r="AC17" s="23" t="s">
        <v>123</v>
      </c>
      <c r="AD17" s="23" t="s">
        <v>123</v>
      </c>
      <c r="AE17" s="23"/>
      <c r="AF17" s="23"/>
      <c r="AG17" s="23" t="s">
        <v>123</v>
      </c>
      <c r="AH17" s="23" t="s">
        <v>123</v>
      </c>
      <c r="AI17" s="23" t="s">
        <v>123</v>
      </c>
      <c r="AJ17" s="23" t="s">
        <v>123</v>
      </c>
      <c r="AK17" s="23"/>
      <c r="AL17" s="22">
        <f t="shared" si="2"/>
        <v>22</v>
      </c>
    </row>
    <row r="18" spans="2:38" x14ac:dyDescent="0.3">
      <c r="B18" s="23">
        <v>11</v>
      </c>
      <c r="C18" s="35" t="s">
        <v>47</v>
      </c>
      <c r="D18" s="35" t="s">
        <v>48</v>
      </c>
      <c r="E18" s="35" t="s">
        <v>26</v>
      </c>
      <c r="F18" s="35" t="s">
        <v>439</v>
      </c>
      <c r="G18" s="23" t="s">
        <v>123</v>
      </c>
      <c r="H18" s="23" t="s">
        <v>123</v>
      </c>
      <c r="I18" s="23" t="s">
        <v>123</v>
      </c>
      <c r="J18" s="23"/>
      <c r="K18" s="23"/>
      <c r="L18" s="23" t="s">
        <v>123</v>
      </c>
      <c r="M18" s="23" t="s">
        <v>123</v>
      </c>
      <c r="N18" s="23" t="s">
        <v>123</v>
      </c>
      <c r="O18" s="23" t="s">
        <v>123</v>
      </c>
      <c r="P18" s="23" t="s">
        <v>123</v>
      </c>
      <c r="Q18" s="23"/>
      <c r="R18" s="23"/>
      <c r="S18" s="23" t="s">
        <v>123</v>
      </c>
      <c r="T18" s="23" t="s">
        <v>123</v>
      </c>
      <c r="U18" s="23" t="s">
        <v>123</v>
      </c>
      <c r="V18" s="23" t="s">
        <v>123</v>
      </c>
      <c r="W18" s="23" t="s">
        <v>123</v>
      </c>
      <c r="X18" s="23"/>
      <c r="Y18" s="23"/>
      <c r="Z18" s="23" t="s">
        <v>123</v>
      </c>
      <c r="AA18" s="23" t="s">
        <v>123</v>
      </c>
      <c r="AB18" s="23" t="s">
        <v>123</v>
      </c>
      <c r="AC18" s="23" t="s">
        <v>123</v>
      </c>
      <c r="AD18" s="23" t="s">
        <v>123</v>
      </c>
      <c r="AE18" s="23"/>
      <c r="AF18" s="23"/>
      <c r="AG18" s="23" t="s">
        <v>123</v>
      </c>
      <c r="AH18" s="23" t="s">
        <v>123</v>
      </c>
      <c r="AI18" s="23" t="s">
        <v>123</v>
      </c>
      <c r="AJ18" s="23" t="s">
        <v>123</v>
      </c>
      <c r="AK18" s="23"/>
      <c r="AL18" s="22">
        <f t="shared" si="2"/>
        <v>22</v>
      </c>
    </row>
    <row r="19" spans="2:38" x14ac:dyDescent="0.3">
      <c r="B19" s="23">
        <v>12</v>
      </c>
      <c r="C19" s="35" t="s">
        <v>49</v>
      </c>
      <c r="D19" s="35" t="s">
        <v>50</v>
      </c>
      <c r="E19" s="35" t="s">
        <v>26</v>
      </c>
      <c r="F19" s="35" t="s">
        <v>439</v>
      </c>
      <c r="G19" s="23" t="s">
        <v>123</v>
      </c>
      <c r="H19" s="23" t="s">
        <v>123</v>
      </c>
      <c r="I19" s="23" t="s">
        <v>123</v>
      </c>
      <c r="J19" s="23"/>
      <c r="K19" s="23"/>
      <c r="L19" s="23" t="s">
        <v>123</v>
      </c>
      <c r="M19" s="23" t="s">
        <v>123</v>
      </c>
      <c r="N19" s="23" t="s">
        <v>123</v>
      </c>
      <c r="O19" s="23" t="s">
        <v>123</v>
      </c>
      <c r="P19" s="23" t="s">
        <v>123</v>
      </c>
      <c r="Q19" s="23"/>
      <c r="R19" s="23"/>
      <c r="S19" s="23" t="s">
        <v>123</v>
      </c>
      <c r="T19" s="23" t="s">
        <v>123</v>
      </c>
      <c r="U19" s="23" t="s">
        <v>123</v>
      </c>
      <c r="V19" s="23" t="s">
        <v>123</v>
      </c>
      <c r="W19" s="23" t="s">
        <v>123</v>
      </c>
      <c r="X19" s="23"/>
      <c r="Y19" s="23"/>
      <c r="Z19" s="23" t="s">
        <v>123</v>
      </c>
      <c r="AA19" s="23" t="s">
        <v>123</v>
      </c>
      <c r="AB19" s="23" t="s">
        <v>123</v>
      </c>
      <c r="AC19" s="23" t="s">
        <v>123</v>
      </c>
      <c r="AD19" s="23" t="s">
        <v>123</v>
      </c>
      <c r="AE19" s="23"/>
      <c r="AF19" s="23"/>
      <c r="AG19" s="23" t="s">
        <v>123</v>
      </c>
      <c r="AH19" s="23" t="s">
        <v>123</v>
      </c>
      <c r="AI19" s="23" t="s">
        <v>123</v>
      </c>
      <c r="AJ19" s="23" t="s">
        <v>123</v>
      </c>
      <c r="AK19" s="23"/>
      <c r="AL19" s="22">
        <f t="shared" si="2"/>
        <v>22</v>
      </c>
    </row>
    <row r="20" spans="2:38" x14ac:dyDescent="0.3">
      <c r="B20" s="23">
        <v>13</v>
      </c>
      <c r="C20" s="35" t="s">
        <v>51</v>
      </c>
      <c r="D20" s="35" t="s">
        <v>52</v>
      </c>
      <c r="E20" s="35" t="s">
        <v>26</v>
      </c>
      <c r="F20" s="35" t="s">
        <v>439</v>
      </c>
      <c r="G20" s="23" t="s">
        <v>123</v>
      </c>
      <c r="H20" s="23" t="s">
        <v>123</v>
      </c>
      <c r="I20" s="23" t="s">
        <v>123</v>
      </c>
      <c r="J20" s="23"/>
      <c r="K20" s="23"/>
      <c r="L20" s="23" t="s">
        <v>123</v>
      </c>
      <c r="M20" s="23" t="s">
        <v>123</v>
      </c>
      <c r="N20" s="23" t="s">
        <v>123</v>
      </c>
      <c r="O20" s="23" t="s">
        <v>123</v>
      </c>
      <c r="P20" s="23" t="s">
        <v>123</v>
      </c>
      <c r="Q20" s="23"/>
      <c r="R20" s="23"/>
      <c r="S20" s="23" t="s">
        <v>123</v>
      </c>
      <c r="T20" s="23" t="s">
        <v>123</v>
      </c>
      <c r="U20" s="23" t="s">
        <v>123</v>
      </c>
      <c r="V20" s="23" t="s">
        <v>123</v>
      </c>
      <c r="W20" s="23" t="s">
        <v>123</v>
      </c>
      <c r="X20" s="23"/>
      <c r="Y20" s="23"/>
      <c r="Z20" s="23" t="s">
        <v>123</v>
      </c>
      <c r="AA20" s="23" t="s">
        <v>123</v>
      </c>
      <c r="AB20" s="23" t="s">
        <v>123</v>
      </c>
      <c r="AC20" s="23" t="s">
        <v>123</v>
      </c>
      <c r="AD20" s="23" t="s">
        <v>123</v>
      </c>
      <c r="AE20" s="23"/>
      <c r="AF20" s="23"/>
      <c r="AG20" s="23" t="s">
        <v>123</v>
      </c>
      <c r="AH20" s="23" t="s">
        <v>123</v>
      </c>
      <c r="AI20" s="23" t="s">
        <v>123</v>
      </c>
      <c r="AJ20" s="23" t="s">
        <v>123</v>
      </c>
      <c r="AK20" s="23"/>
      <c r="AL20" s="22">
        <f t="shared" si="2"/>
        <v>22</v>
      </c>
    </row>
    <row r="23" spans="2:38" x14ac:dyDescent="0.3">
      <c r="W23" s="253">
        <f>IF(CHE_DO_NGHI=1,WORKDAY.INTL(EOMONTH(DATE(P5,L5,1),0)+1,-1,1,INDEX(DATA_NGHI_LE[],0,1)),WORKDAY.INTL(EOMONTH(DATE(P5,L5,1),0)+1,-1,11,INDEX(DATA_NGHI_LE[],0,1)))</f>
        <v>45260</v>
      </c>
      <c r="X23" s="253"/>
      <c r="Y23" s="253"/>
      <c r="Z23" s="253"/>
      <c r="AA23" s="253"/>
      <c r="AB23" s="253"/>
      <c r="AC23" s="253"/>
      <c r="AD23" s="253"/>
      <c r="AE23" s="253"/>
      <c r="AF23" s="253"/>
      <c r="AG23" s="253"/>
      <c r="AH23" s="253"/>
      <c r="AI23" s="253"/>
      <c r="AJ23" s="253"/>
      <c r="AK23" s="28"/>
    </row>
    <row r="24" spans="2:38" x14ac:dyDescent="0.3">
      <c r="D24" s="256" t="s">
        <v>94</v>
      </c>
      <c r="E24" s="256"/>
      <c r="F24" s="36"/>
      <c r="H24" s="247" t="s">
        <v>96</v>
      </c>
      <c r="I24" s="247"/>
      <c r="J24" s="247"/>
      <c r="K24" s="247"/>
      <c r="L24" s="247"/>
      <c r="M24" s="247"/>
      <c r="N24" s="247"/>
      <c r="O24" s="247"/>
      <c r="P24" s="4"/>
      <c r="Q24" s="4"/>
      <c r="R24" s="4"/>
      <c r="S24" s="4"/>
      <c r="T24" s="4"/>
      <c r="U24" s="4"/>
      <c r="W24" s="247" t="s">
        <v>11</v>
      </c>
      <c r="X24" s="247"/>
      <c r="Y24" s="247"/>
      <c r="Z24" s="247"/>
      <c r="AA24" s="247"/>
      <c r="AB24" s="247"/>
      <c r="AC24" s="247"/>
      <c r="AD24" s="247"/>
      <c r="AE24" s="247"/>
      <c r="AF24" s="247"/>
      <c r="AG24" s="247"/>
      <c r="AH24" s="247"/>
      <c r="AI24" s="247"/>
      <c r="AJ24" s="247"/>
      <c r="AK24" s="4"/>
    </row>
    <row r="25" spans="2:38" x14ac:dyDescent="0.3">
      <c r="D25" s="257" t="s">
        <v>95</v>
      </c>
      <c r="E25" s="257"/>
      <c r="F25" s="37"/>
      <c r="H25" s="248" t="s">
        <v>95</v>
      </c>
      <c r="I25" s="248"/>
      <c r="J25" s="248"/>
      <c r="K25" s="248"/>
      <c r="L25" s="248"/>
      <c r="M25" s="248"/>
      <c r="N25" s="248"/>
      <c r="O25" s="248"/>
      <c r="P25" s="11"/>
      <c r="Q25" s="11"/>
      <c r="R25" s="11"/>
      <c r="S25" s="11"/>
      <c r="T25" s="11"/>
      <c r="U25" s="11"/>
      <c r="W25" s="248" t="s">
        <v>97</v>
      </c>
      <c r="X25" s="248"/>
      <c r="Y25" s="248"/>
      <c r="Z25" s="248"/>
      <c r="AA25" s="248"/>
      <c r="AB25" s="248"/>
      <c r="AC25" s="248"/>
      <c r="AD25" s="248"/>
      <c r="AE25" s="248"/>
      <c r="AF25" s="248"/>
      <c r="AG25" s="248"/>
      <c r="AH25" s="248"/>
      <c r="AI25" s="248"/>
      <c r="AJ25" s="248"/>
      <c r="AK25" s="11"/>
    </row>
    <row r="31" spans="2:38" x14ac:dyDescent="0.3">
      <c r="B31" s="4" t="s">
        <v>98</v>
      </c>
    </row>
    <row r="32" spans="2:38" x14ac:dyDescent="0.3">
      <c r="B32" s="7" t="s">
        <v>99</v>
      </c>
      <c r="E32" s="7" t="s">
        <v>102</v>
      </c>
      <c r="L32" s="7" t="s">
        <v>105</v>
      </c>
    </row>
    <row r="33" spans="2:5" x14ac:dyDescent="0.3">
      <c r="B33" s="7" t="s">
        <v>100</v>
      </c>
      <c r="E33" s="7" t="s">
        <v>103</v>
      </c>
    </row>
    <row r="34" spans="2:5" x14ac:dyDescent="0.3">
      <c r="B34" s="7" t="s">
        <v>101</v>
      </c>
      <c r="E34" s="7" t="s">
        <v>104</v>
      </c>
    </row>
  </sheetData>
  <mergeCells count="21">
    <mergeCell ref="W23:AJ23"/>
    <mergeCell ref="D24:E24"/>
    <mergeCell ref="H24:O24"/>
    <mergeCell ref="W24:AJ24"/>
    <mergeCell ref="D25:E25"/>
    <mergeCell ref="H25:O25"/>
    <mergeCell ref="W25:AJ25"/>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0">
    <cfRule type="expression" dxfId="1" priority="1">
      <formula>IF(AND(CHE_DO_NGHI=1,OR(G$7="Chủ nhật",G$7="Thứ Bảy")),TRUE,IF(AND(CHE_DO_NGHI=2,G$7="Chủ nhật"),TRUE,FALSE))</formula>
    </cfRule>
  </conditionalFormatting>
  <pageMargins left="0.7" right="0.7" top="0.75" bottom="0.75" header="0.3" footer="0.3"/>
  <pageSetup paperSize="9" scale="73" fitToHeight="0" orientation="landscape" cellComments="atEnd"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30DC7-7529-4D42-B021-15334239EAC2}">
  <sheetPr codeName="Sheet132">
    <pageSetUpPr fitToPage="1"/>
  </sheetPr>
  <dimension ref="B1:AL34"/>
  <sheetViews>
    <sheetView workbookViewId="0">
      <selection activeCell="U7" sqref="U7"/>
    </sheetView>
  </sheetViews>
  <sheetFormatPr defaultRowHeight="14.4" x14ac:dyDescent="0.3"/>
  <cols>
    <col min="1" max="1" width="2.6640625" style="3" customWidth="1"/>
    <col min="2" max="2" width="8.88671875" style="3"/>
    <col min="3" max="3" width="8.88671875" style="7"/>
    <col min="4" max="4" width="22.109375" style="7" customWidth="1"/>
    <col min="5" max="6" width="13.44140625" style="7" customWidth="1"/>
    <col min="7" max="37" width="3.33203125" style="5" customWidth="1"/>
    <col min="38" max="16384" width="8.88671875" style="3"/>
  </cols>
  <sheetData>
    <row r="1" spans="2:38" ht="17.399999999999999" customHeight="1" x14ac:dyDescent="0.3">
      <c r="B1" s="17" t="str">
        <f>Company_Name</f>
        <v>CÔNG TY TNHH CƠ KHÍ SỬA CHỮA HOÀNG KIÊN</v>
      </c>
      <c r="C1" s="3"/>
      <c r="D1" s="3"/>
      <c r="E1" s="3"/>
      <c r="F1" s="3"/>
      <c r="L1" s="12"/>
      <c r="M1" s="12"/>
      <c r="N1" s="12"/>
      <c r="O1" s="12"/>
      <c r="P1" s="12"/>
      <c r="Q1" s="12"/>
      <c r="R1" s="12"/>
      <c r="S1" s="12"/>
      <c r="U1" s="4"/>
      <c r="V1" s="4"/>
      <c r="W1" s="4"/>
      <c r="X1" s="4"/>
      <c r="Y1" s="247" t="s">
        <v>87</v>
      </c>
      <c r="Z1" s="247"/>
      <c r="AA1" s="247"/>
      <c r="AB1" s="247"/>
      <c r="AC1" s="247"/>
      <c r="AD1" s="247"/>
      <c r="AE1" s="247"/>
      <c r="AF1" s="247"/>
      <c r="AG1" s="247"/>
      <c r="AH1" s="247"/>
      <c r="AI1" s="247"/>
      <c r="AJ1" s="247"/>
      <c r="AK1" s="247"/>
    </row>
    <row r="2" spans="2:38" ht="17.399999999999999" customHeight="1" x14ac:dyDescent="0.3">
      <c r="B2" s="17" t="str">
        <f>Company_Address</f>
        <v>SN 16N3, ngõ 90 đường Nguyễn Tuân, P. Thanh Xuân, Q. Thanh Xuân, Hà Nội</v>
      </c>
      <c r="C2" s="3"/>
      <c r="D2" s="3"/>
      <c r="E2" s="3"/>
      <c r="F2" s="3"/>
      <c r="L2" s="12"/>
      <c r="M2" s="12"/>
      <c r="N2" s="12"/>
      <c r="O2" s="12"/>
      <c r="P2" s="12"/>
      <c r="Q2" s="12"/>
      <c r="R2" s="12"/>
      <c r="S2" s="12"/>
      <c r="U2" s="11"/>
      <c r="V2" s="11"/>
      <c r="W2" s="11"/>
      <c r="X2" s="11"/>
      <c r="Y2" s="248" t="s">
        <v>88</v>
      </c>
      <c r="Z2" s="248"/>
      <c r="AA2" s="248"/>
      <c r="AB2" s="248"/>
      <c r="AC2" s="248"/>
      <c r="AD2" s="248"/>
      <c r="AE2" s="248"/>
      <c r="AF2" s="248"/>
      <c r="AG2" s="248"/>
      <c r="AH2" s="248"/>
      <c r="AI2" s="248"/>
      <c r="AJ2" s="248"/>
      <c r="AK2" s="248"/>
    </row>
    <row r="3" spans="2:38" x14ac:dyDescent="0.3">
      <c r="C3" s="3"/>
      <c r="D3" s="3"/>
      <c r="E3" s="3"/>
      <c r="F3" s="3"/>
      <c r="L3" s="12"/>
      <c r="M3" s="12"/>
      <c r="N3" s="12"/>
      <c r="O3" s="12"/>
      <c r="P3" s="12"/>
      <c r="Q3" s="12"/>
      <c r="R3" s="12"/>
      <c r="S3" s="12"/>
      <c r="U3" s="11"/>
      <c r="V3" s="11"/>
      <c r="W3" s="11"/>
      <c r="X3" s="11"/>
      <c r="Y3" s="248" t="s">
        <v>89</v>
      </c>
      <c r="Z3" s="248"/>
      <c r="AA3" s="248"/>
      <c r="AB3" s="248"/>
      <c r="AC3" s="248"/>
      <c r="AD3" s="248"/>
      <c r="AE3" s="248"/>
      <c r="AF3" s="248"/>
      <c r="AG3" s="248"/>
      <c r="AH3" s="248"/>
      <c r="AI3" s="248"/>
      <c r="AJ3" s="248"/>
      <c r="AK3" s="248"/>
    </row>
    <row r="4" spans="2:38" ht="30.6" customHeight="1" x14ac:dyDescent="0.3">
      <c r="B4" s="249" t="s">
        <v>90</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row>
    <row r="5" spans="2:38" x14ac:dyDescent="0.3">
      <c r="C5" s="3"/>
      <c r="D5" s="3"/>
      <c r="E5" s="3"/>
      <c r="F5" s="3"/>
      <c r="J5" s="251" t="s">
        <v>92</v>
      </c>
      <c r="K5" s="251"/>
      <c r="L5" s="252">
        <v>12</v>
      </c>
      <c r="M5" s="252"/>
      <c r="N5" s="251" t="s">
        <v>93</v>
      </c>
      <c r="O5" s="251"/>
      <c r="P5" s="250">
        <f>Nam_Bang_Luong</f>
        <v>2023</v>
      </c>
      <c r="Q5" s="250"/>
    </row>
    <row r="6" spans="2:38" x14ac:dyDescent="0.3">
      <c r="B6" s="220" t="s">
        <v>5</v>
      </c>
      <c r="C6" s="220" t="s">
        <v>91</v>
      </c>
      <c r="D6" s="220" t="s">
        <v>6</v>
      </c>
      <c r="E6" s="220" t="s">
        <v>8</v>
      </c>
      <c r="F6" s="220" t="s">
        <v>7</v>
      </c>
      <c r="G6" s="20">
        <f>DATE(P5,L5,1)</f>
        <v>45261</v>
      </c>
      <c r="H6" s="20">
        <f>G6+1</f>
        <v>45262</v>
      </c>
      <c r="I6" s="20">
        <f t="shared" ref="I6:AK6" si="0">H6+1</f>
        <v>45263</v>
      </c>
      <c r="J6" s="20">
        <f t="shared" si="0"/>
        <v>45264</v>
      </c>
      <c r="K6" s="20">
        <f t="shared" si="0"/>
        <v>45265</v>
      </c>
      <c r="L6" s="20">
        <f t="shared" si="0"/>
        <v>45266</v>
      </c>
      <c r="M6" s="20">
        <f t="shared" si="0"/>
        <v>45267</v>
      </c>
      <c r="N6" s="20">
        <f t="shared" si="0"/>
        <v>45268</v>
      </c>
      <c r="O6" s="20">
        <f t="shared" si="0"/>
        <v>45269</v>
      </c>
      <c r="P6" s="20">
        <f t="shared" si="0"/>
        <v>45270</v>
      </c>
      <c r="Q6" s="20">
        <f t="shared" si="0"/>
        <v>45271</v>
      </c>
      <c r="R6" s="20">
        <f t="shared" si="0"/>
        <v>45272</v>
      </c>
      <c r="S6" s="20">
        <f t="shared" si="0"/>
        <v>45273</v>
      </c>
      <c r="T6" s="20">
        <f t="shared" si="0"/>
        <v>45274</v>
      </c>
      <c r="U6" s="20">
        <f t="shared" si="0"/>
        <v>45275</v>
      </c>
      <c r="V6" s="20">
        <f t="shared" si="0"/>
        <v>45276</v>
      </c>
      <c r="W6" s="20">
        <f t="shared" si="0"/>
        <v>45277</v>
      </c>
      <c r="X6" s="20">
        <f t="shared" si="0"/>
        <v>45278</v>
      </c>
      <c r="Y6" s="20">
        <f t="shared" si="0"/>
        <v>45279</v>
      </c>
      <c r="Z6" s="20">
        <f t="shared" si="0"/>
        <v>45280</v>
      </c>
      <c r="AA6" s="20">
        <f t="shared" si="0"/>
        <v>45281</v>
      </c>
      <c r="AB6" s="20">
        <f t="shared" si="0"/>
        <v>45282</v>
      </c>
      <c r="AC6" s="20">
        <f t="shared" si="0"/>
        <v>45283</v>
      </c>
      <c r="AD6" s="20">
        <f t="shared" si="0"/>
        <v>45284</v>
      </c>
      <c r="AE6" s="20">
        <f t="shared" si="0"/>
        <v>45285</v>
      </c>
      <c r="AF6" s="20">
        <f t="shared" si="0"/>
        <v>45286</v>
      </c>
      <c r="AG6" s="20">
        <f t="shared" si="0"/>
        <v>45287</v>
      </c>
      <c r="AH6" s="20">
        <f t="shared" si="0"/>
        <v>45288</v>
      </c>
      <c r="AI6" s="20">
        <f t="shared" si="0"/>
        <v>45289</v>
      </c>
      <c r="AJ6" s="20">
        <f t="shared" si="0"/>
        <v>45290</v>
      </c>
      <c r="AK6" s="20">
        <f t="shared" si="0"/>
        <v>45291</v>
      </c>
      <c r="AL6" s="217" t="s">
        <v>107</v>
      </c>
    </row>
    <row r="7" spans="2:38" ht="46.2" x14ac:dyDescent="0.3">
      <c r="B7" s="220"/>
      <c r="C7" s="220"/>
      <c r="D7" s="220"/>
      <c r="E7" s="220"/>
      <c r="F7" s="220"/>
      <c r="G7" s="21" t="str">
        <f>TEXT(G6,"[$-042A]dddd")</f>
        <v>Thứ Sáu</v>
      </c>
      <c r="H7" s="21" t="str">
        <f t="shared" ref="H7:AK7" si="1">TEXT(H6,"[$-042A]dddd")</f>
        <v>Thứ Bảy</v>
      </c>
      <c r="I7" s="21" t="str">
        <f t="shared" si="1"/>
        <v>Chủ Nhật</v>
      </c>
      <c r="J7" s="21" t="str">
        <f t="shared" si="1"/>
        <v>Thứ Hai</v>
      </c>
      <c r="K7" s="21" t="str">
        <f t="shared" si="1"/>
        <v>Thứ Ba</v>
      </c>
      <c r="L7" s="21" t="str">
        <f t="shared" si="1"/>
        <v>Thứ Tư</v>
      </c>
      <c r="M7" s="21" t="str">
        <f t="shared" si="1"/>
        <v>Thứ Năm</v>
      </c>
      <c r="N7" s="21" t="str">
        <f t="shared" si="1"/>
        <v>Thứ Sáu</v>
      </c>
      <c r="O7" s="21" t="str">
        <f t="shared" si="1"/>
        <v>Thứ Bảy</v>
      </c>
      <c r="P7" s="21" t="str">
        <f t="shared" si="1"/>
        <v>Chủ Nhật</v>
      </c>
      <c r="Q7" s="21" t="str">
        <f t="shared" si="1"/>
        <v>Thứ Hai</v>
      </c>
      <c r="R7" s="21" t="str">
        <f t="shared" si="1"/>
        <v>Thứ Ba</v>
      </c>
      <c r="S7" s="21" t="str">
        <f t="shared" si="1"/>
        <v>Thứ Tư</v>
      </c>
      <c r="T7" s="21" t="str">
        <f t="shared" si="1"/>
        <v>Thứ Năm</v>
      </c>
      <c r="U7" s="21" t="str">
        <f t="shared" si="1"/>
        <v>Thứ Sáu</v>
      </c>
      <c r="V7" s="21" t="str">
        <f t="shared" si="1"/>
        <v>Thứ Bảy</v>
      </c>
      <c r="W7" s="21" t="str">
        <f t="shared" si="1"/>
        <v>Chủ Nhật</v>
      </c>
      <c r="X7" s="21" t="str">
        <f t="shared" si="1"/>
        <v>Thứ Hai</v>
      </c>
      <c r="Y7" s="21" t="str">
        <f t="shared" si="1"/>
        <v>Thứ Ba</v>
      </c>
      <c r="Z7" s="21" t="str">
        <f t="shared" si="1"/>
        <v>Thứ Tư</v>
      </c>
      <c r="AA7" s="21" t="str">
        <f t="shared" si="1"/>
        <v>Thứ Năm</v>
      </c>
      <c r="AB7" s="21" t="str">
        <f t="shared" si="1"/>
        <v>Thứ Sáu</v>
      </c>
      <c r="AC7" s="21" t="str">
        <f t="shared" si="1"/>
        <v>Thứ Bảy</v>
      </c>
      <c r="AD7" s="21" t="str">
        <f t="shared" si="1"/>
        <v>Chủ Nhật</v>
      </c>
      <c r="AE7" s="21" t="str">
        <f t="shared" si="1"/>
        <v>Thứ Hai</v>
      </c>
      <c r="AF7" s="21" t="str">
        <f t="shared" si="1"/>
        <v>Thứ Ba</v>
      </c>
      <c r="AG7" s="21" t="str">
        <f t="shared" si="1"/>
        <v>Thứ Tư</v>
      </c>
      <c r="AH7" s="21" t="str">
        <f t="shared" si="1"/>
        <v>Thứ Năm</v>
      </c>
      <c r="AI7" s="21" t="str">
        <f t="shared" si="1"/>
        <v>Thứ Sáu</v>
      </c>
      <c r="AJ7" s="21" t="str">
        <f t="shared" si="1"/>
        <v>Thứ Bảy</v>
      </c>
      <c r="AK7" s="21" t="str">
        <f t="shared" si="1"/>
        <v>Chủ Nhật</v>
      </c>
      <c r="AL7" s="217"/>
    </row>
    <row r="8" spans="2:38" x14ac:dyDescent="0.3">
      <c r="B8" s="23">
        <v>1</v>
      </c>
      <c r="C8" s="35" t="s">
        <v>9</v>
      </c>
      <c r="D8" s="35" t="s">
        <v>10</v>
      </c>
      <c r="E8" s="35" t="s">
        <v>11</v>
      </c>
      <c r="F8" s="35" t="s">
        <v>438</v>
      </c>
      <c r="G8" s="23" t="s">
        <v>123</v>
      </c>
      <c r="H8" s="23"/>
      <c r="I8" s="23"/>
      <c r="J8" s="23" t="s">
        <v>123</v>
      </c>
      <c r="K8" s="23" t="s">
        <v>123</v>
      </c>
      <c r="L8" s="24" t="s">
        <v>123</v>
      </c>
      <c r="M8" s="24" t="s">
        <v>123</v>
      </c>
      <c r="N8" s="24" t="s">
        <v>123</v>
      </c>
      <c r="O8" s="24"/>
      <c r="P8" s="24"/>
      <c r="Q8" s="24" t="s">
        <v>123</v>
      </c>
      <c r="R8" s="24" t="s">
        <v>123</v>
      </c>
      <c r="S8" s="24" t="s">
        <v>123</v>
      </c>
      <c r="T8" s="23" t="s">
        <v>123</v>
      </c>
      <c r="U8" s="23" t="s">
        <v>123</v>
      </c>
      <c r="V8" s="23"/>
      <c r="W8" s="23"/>
      <c r="X8" s="23" t="s">
        <v>123</v>
      </c>
      <c r="Y8" s="23" t="s">
        <v>123</v>
      </c>
      <c r="Z8" s="23" t="s">
        <v>123</v>
      </c>
      <c r="AA8" s="23" t="s">
        <v>123</v>
      </c>
      <c r="AB8" s="23" t="s">
        <v>123</v>
      </c>
      <c r="AC8" s="23"/>
      <c r="AD8" s="23"/>
      <c r="AE8" s="23" t="s">
        <v>123</v>
      </c>
      <c r="AF8" s="23" t="s">
        <v>123</v>
      </c>
      <c r="AG8" s="23" t="s">
        <v>123</v>
      </c>
      <c r="AH8" s="23" t="s">
        <v>123</v>
      </c>
      <c r="AI8" s="23" t="s">
        <v>123</v>
      </c>
      <c r="AJ8" s="23"/>
      <c r="AK8" s="23"/>
      <c r="AL8" s="22">
        <f t="shared" ref="AL8:AL20" si="2">COUNTIF(G8:AK8,"X")+0.5*COUNTIF(G8:AK8,"X/2")+COUNTIF(G8:AK8,"NL")</f>
        <v>21</v>
      </c>
    </row>
    <row r="9" spans="2:38" x14ac:dyDescent="0.3">
      <c r="B9" s="23">
        <v>2</v>
      </c>
      <c r="C9" s="35" t="s">
        <v>14</v>
      </c>
      <c r="D9" s="35" t="s">
        <v>15</v>
      </c>
      <c r="E9" s="35" t="s">
        <v>16</v>
      </c>
      <c r="F9" s="35" t="s">
        <v>438</v>
      </c>
      <c r="G9" s="23" t="s">
        <v>123</v>
      </c>
      <c r="H9" s="23"/>
      <c r="I9" s="23"/>
      <c r="J9" s="23" t="s">
        <v>123</v>
      </c>
      <c r="K9" s="23" t="s">
        <v>123</v>
      </c>
      <c r="L9" s="24" t="s">
        <v>123</v>
      </c>
      <c r="M9" s="24" t="s">
        <v>123</v>
      </c>
      <c r="N9" s="24" t="s">
        <v>123</v>
      </c>
      <c r="O9" s="24"/>
      <c r="P9" s="24"/>
      <c r="Q9" s="24" t="s">
        <v>123</v>
      </c>
      <c r="R9" s="24" t="s">
        <v>123</v>
      </c>
      <c r="S9" s="24" t="s">
        <v>123</v>
      </c>
      <c r="T9" s="23" t="s">
        <v>123</v>
      </c>
      <c r="U9" s="23" t="s">
        <v>123</v>
      </c>
      <c r="V9" s="23"/>
      <c r="W9" s="23"/>
      <c r="X9" s="23" t="s">
        <v>123</v>
      </c>
      <c r="Y9" s="23" t="s">
        <v>123</v>
      </c>
      <c r="Z9" s="23" t="s">
        <v>123</v>
      </c>
      <c r="AA9" s="23" t="s">
        <v>123</v>
      </c>
      <c r="AB9" s="23" t="s">
        <v>123</v>
      </c>
      <c r="AC9" s="23"/>
      <c r="AD9" s="23"/>
      <c r="AE9" s="23" t="s">
        <v>123</v>
      </c>
      <c r="AF9" s="23" t="s">
        <v>123</v>
      </c>
      <c r="AG9" s="23" t="s">
        <v>123</v>
      </c>
      <c r="AH9" s="23" t="s">
        <v>123</v>
      </c>
      <c r="AI9" s="23" t="s">
        <v>123</v>
      </c>
      <c r="AJ9" s="23"/>
      <c r="AK9" s="23"/>
      <c r="AL9" s="22">
        <f t="shared" si="2"/>
        <v>21</v>
      </c>
    </row>
    <row r="10" spans="2:38" x14ac:dyDescent="0.3">
      <c r="B10" s="23">
        <v>3</v>
      </c>
      <c r="C10" s="35" t="s">
        <v>19</v>
      </c>
      <c r="D10" s="35" t="s">
        <v>20</v>
      </c>
      <c r="E10" s="35" t="s">
        <v>21</v>
      </c>
      <c r="F10" s="35" t="s">
        <v>438</v>
      </c>
      <c r="G10" s="23" t="s">
        <v>123</v>
      </c>
      <c r="H10" s="23"/>
      <c r="I10" s="23"/>
      <c r="J10" s="23" t="s">
        <v>123</v>
      </c>
      <c r="K10" s="23" t="s">
        <v>123</v>
      </c>
      <c r="L10" s="24" t="s">
        <v>123</v>
      </c>
      <c r="M10" s="24" t="s">
        <v>123</v>
      </c>
      <c r="N10" s="24" t="s">
        <v>123</v>
      </c>
      <c r="O10" s="24"/>
      <c r="P10" s="24"/>
      <c r="Q10" s="24" t="s">
        <v>123</v>
      </c>
      <c r="R10" s="24" t="s">
        <v>123</v>
      </c>
      <c r="S10" s="24" t="s">
        <v>123</v>
      </c>
      <c r="T10" s="23" t="s">
        <v>123</v>
      </c>
      <c r="U10" s="23" t="s">
        <v>123</v>
      </c>
      <c r="V10" s="23"/>
      <c r="W10" s="23"/>
      <c r="X10" s="23" t="s">
        <v>123</v>
      </c>
      <c r="Y10" s="23" t="s">
        <v>123</v>
      </c>
      <c r="Z10" s="23" t="s">
        <v>123</v>
      </c>
      <c r="AA10" s="23" t="s">
        <v>123</v>
      </c>
      <c r="AB10" s="23" t="s">
        <v>123</v>
      </c>
      <c r="AC10" s="23"/>
      <c r="AD10" s="23"/>
      <c r="AE10" s="23" t="s">
        <v>123</v>
      </c>
      <c r="AF10" s="23" t="s">
        <v>123</v>
      </c>
      <c r="AG10" s="23" t="s">
        <v>123</v>
      </c>
      <c r="AH10" s="23" t="s">
        <v>123</v>
      </c>
      <c r="AI10" s="23" t="s">
        <v>123</v>
      </c>
      <c r="AJ10" s="23"/>
      <c r="AK10" s="23"/>
      <c r="AL10" s="22">
        <f t="shared" si="2"/>
        <v>21</v>
      </c>
    </row>
    <row r="11" spans="2:38" x14ac:dyDescent="0.3">
      <c r="B11" s="23">
        <v>4</v>
      </c>
      <c r="C11" s="35" t="s">
        <v>24</v>
      </c>
      <c r="D11" s="35" t="s">
        <v>25</v>
      </c>
      <c r="E11" s="35" t="s">
        <v>26</v>
      </c>
      <c r="F11" s="35" t="s">
        <v>439</v>
      </c>
      <c r="G11" s="23" t="s">
        <v>123</v>
      </c>
      <c r="H11" s="23"/>
      <c r="I11" s="23"/>
      <c r="J11" s="23" t="s">
        <v>123</v>
      </c>
      <c r="K11" s="23" t="s">
        <v>123</v>
      </c>
      <c r="L11" s="24" t="s">
        <v>123</v>
      </c>
      <c r="M11" s="24" t="s">
        <v>123</v>
      </c>
      <c r="N11" s="24" t="s">
        <v>123</v>
      </c>
      <c r="O11" s="24"/>
      <c r="P11" s="24"/>
      <c r="Q11" s="24" t="s">
        <v>123</v>
      </c>
      <c r="R11" s="24" t="s">
        <v>123</v>
      </c>
      <c r="S11" s="24" t="s">
        <v>123</v>
      </c>
      <c r="T11" s="23" t="s">
        <v>123</v>
      </c>
      <c r="U11" s="23" t="s">
        <v>123</v>
      </c>
      <c r="V11" s="23"/>
      <c r="W11" s="23"/>
      <c r="X11" s="23" t="s">
        <v>123</v>
      </c>
      <c r="Y11" s="23" t="s">
        <v>123</v>
      </c>
      <c r="Z11" s="23" t="s">
        <v>123</v>
      </c>
      <c r="AA11" s="23" t="s">
        <v>123</v>
      </c>
      <c r="AB11" s="23" t="s">
        <v>123</v>
      </c>
      <c r="AC11" s="23"/>
      <c r="AD11" s="23"/>
      <c r="AE11" s="23" t="s">
        <v>123</v>
      </c>
      <c r="AF11" s="23" t="s">
        <v>123</v>
      </c>
      <c r="AG11" s="23" t="s">
        <v>123</v>
      </c>
      <c r="AH11" s="23" t="s">
        <v>123</v>
      </c>
      <c r="AI11" s="23" t="s">
        <v>123</v>
      </c>
      <c r="AJ11" s="23"/>
      <c r="AK11" s="23"/>
      <c r="AL11" s="22">
        <f t="shared" si="2"/>
        <v>21</v>
      </c>
    </row>
    <row r="12" spans="2:38" x14ac:dyDescent="0.3">
      <c r="B12" s="23">
        <v>5</v>
      </c>
      <c r="C12" s="35" t="s">
        <v>29</v>
      </c>
      <c r="D12" s="35" t="s">
        <v>30</v>
      </c>
      <c r="E12" s="35" t="s">
        <v>26</v>
      </c>
      <c r="F12" s="35" t="s">
        <v>439</v>
      </c>
      <c r="G12" s="23" t="s">
        <v>123</v>
      </c>
      <c r="H12" s="23"/>
      <c r="I12" s="23"/>
      <c r="J12" s="23" t="s">
        <v>123</v>
      </c>
      <c r="K12" s="23" t="s">
        <v>123</v>
      </c>
      <c r="L12" s="23" t="s">
        <v>123</v>
      </c>
      <c r="M12" s="23" t="s">
        <v>123</v>
      </c>
      <c r="N12" s="23" t="s">
        <v>123</v>
      </c>
      <c r="O12" s="23"/>
      <c r="P12" s="23"/>
      <c r="Q12" s="23" t="s">
        <v>123</v>
      </c>
      <c r="R12" s="23" t="s">
        <v>123</v>
      </c>
      <c r="S12" s="23" t="s">
        <v>123</v>
      </c>
      <c r="T12" s="23" t="s">
        <v>123</v>
      </c>
      <c r="U12" s="23" t="s">
        <v>123</v>
      </c>
      <c r="V12" s="23"/>
      <c r="W12" s="23"/>
      <c r="X12" s="23" t="s">
        <v>123</v>
      </c>
      <c r="Y12" s="23" t="s">
        <v>123</v>
      </c>
      <c r="Z12" s="23" t="s">
        <v>123</v>
      </c>
      <c r="AA12" s="23" t="s">
        <v>123</v>
      </c>
      <c r="AB12" s="23" t="s">
        <v>123</v>
      </c>
      <c r="AC12" s="23"/>
      <c r="AD12" s="23"/>
      <c r="AE12" s="23" t="s">
        <v>123</v>
      </c>
      <c r="AF12" s="23" t="s">
        <v>123</v>
      </c>
      <c r="AG12" s="23" t="s">
        <v>123</v>
      </c>
      <c r="AH12" s="23" t="s">
        <v>123</v>
      </c>
      <c r="AI12" s="23" t="s">
        <v>123</v>
      </c>
      <c r="AJ12" s="23"/>
      <c r="AK12" s="23"/>
      <c r="AL12" s="22">
        <f t="shared" si="2"/>
        <v>21</v>
      </c>
    </row>
    <row r="13" spans="2:38" x14ac:dyDescent="0.3">
      <c r="B13" s="23">
        <v>6</v>
      </c>
      <c r="C13" s="35" t="s">
        <v>32</v>
      </c>
      <c r="D13" s="35" t="s">
        <v>33</v>
      </c>
      <c r="E13" s="35" t="s">
        <v>26</v>
      </c>
      <c r="F13" s="35" t="s">
        <v>439</v>
      </c>
      <c r="G13" s="23" t="s">
        <v>123</v>
      </c>
      <c r="H13" s="23"/>
      <c r="I13" s="23"/>
      <c r="J13" s="23" t="s">
        <v>123</v>
      </c>
      <c r="K13" s="23" t="s">
        <v>123</v>
      </c>
      <c r="L13" s="23" t="s">
        <v>123</v>
      </c>
      <c r="M13" s="23" t="s">
        <v>123</v>
      </c>
      <c r="N13" s="23" t="s">
        <v>123</v>
      </c>
      <c r="O13" s="23"/>
      <c r="P13" s="23"/>
      <c r="Q13" s="23" t="s">
        <v>123</v>
      </c>
      <c r="R13" s="23" t="s">
        <v>123</v>
      </c>
      <c r="S13" s="23" t="s">
        <v>123</v>
      </c>
      <c r="T13" s="23" t="s">
        <v>123</v>
      </c>
      <c r="U13" s="23" t="s">
        <v>123</v>
      </c>
      <c r="V13" s="23"/>
      <c r="W13" s="23"/>
      <c r="X13" s="23" t="s">
        <v>123</v>
      </c>
      <c r="Y13" s="23" t="s">
        <v>123</v>
      </c>
      <c r="Z13" s="23" t="s">
        <v>123</v>
      </c>
      <c r="AA13" s="23" t="s">
        <v>123</v>
      </c>
      <c r="AB13" s="23" t="s">
        <v>123</v>
      </c>
      <c r="AC13" s="23"/>
      <c r="AD13" s="23"/>
      <c r="AE13" s="23" t="s">
        <v>123</v>
      </c>
      <c r="AF13" s="23" t="s">
        <v>123</v>
      </c>
      <c r="AG13" s="23" t="s">
        <v>123</v>
      </c>
      <c r="AH13" s="23" t="s">
        <v>123</v>
      </c>
      <c r="AI13" s="23" t="s">
        <v>123</v>
      </c>
      <c r="AJ13" s="23"/>
      <c r="AK13" s="23"/>
      <c r="AL13" s="22">
        <f t="shared" si="2"/>
        <v>21</v>
      </c>
    </row>
    <row r="14" spans="2:38" x14ac:dyDescent="0.3">
      <c r="B14" s="23">
        <v>7</v>
      </c>
      <c r="C14" s="35" t="s">
        <v>35</v>
      </c>
      <c r="D14" s="35" t="s">
        <v>36</v>
      </c>
      <c r="E14" s="35" t="s">
        <v>26</v>
      </c>
      <c r="F14" s="35" t="s">
        <v>439</v>
      </c>
      <c r="G14" s="23" t="s">
        <v>123</v>
      </c>
      <c r="H14" s="23"/>
      <c r="I14" s="23"/>
      <c r="J14" s="23" t="s">
        <v>123</v>
      </c>
      <c r="K14" s="23" t="s">
        <v>123</v>
      </c>
      <c r="L14" s="23" t="s">
        <v>123</v>
      </c>
      <c r="M14" s="23" t="s">
        <v>123</v>
      </c>
      <c r="N14" s="23" t="s">
        <v>123</v>
      </c>
      <c r="O14" s="23"/>
      <c r="P14" s="23"/>
      <c r="Q14" s="23" t="s">
        <v>123</v>
      </c>
      <c r="R14" s="23" t="s">
        <v>123</v>
      </c>
      <c r="S14" s="23" t="s">
        <v>123</v>
      </c>
      <c r="T14" s="23" t="s">
        <v>123</v>
      </c>
      <c r="U14" s="23" t="s">
        <v>123</v>
      </c>
      <c r="V14" s="23"/>
      <c r="W14" s="23"/>
      <c r="X14" s="23" t="s">
        <v>123</v>
      </c>
      <c r="Y14" s="23" t="s">
        <v>123</v>
      </c>
      <c r="Z14" s="23" t="s">
        <v>123</v>
      </c>
      <c r="AA14" s="23" t="s">
        <v>123</v>
      </c>
      <c r="AB14" s="23" t="s">
        <v>123</v>
      </c>
      <c r="AC14" s="23"/>
      <c r="AD14" s="23"/>
      <c r="AE14" s="23" t="s">
        <v>123</v>
      </c>
      <c r="AF14" s="23" t="s">
        <v>123</v>
      </c>
      <c r="AG14" s="23" t="s">
        <v>123</v>
      </c>
      <c r="AH14" s="23" t="s">
        <v>123</v>
      </c>
      <c r="AI14" s="23" t="s">
        <v>123</v>
      </c>
      <c r="AJ14" s="23"/>
      <c r="AK14" s="23"/>
      <c r="AL14" s="22">
        <f t="shared" si="2"/>
        <v>21</v>
      </c>
    </row>
    <row r="15" spans="2:38" x14ac:dyDescent="0.3">
      <c r="B15" s="23">
        <v>8</v>
      </c>
      <c r="C15" s="35" t="s">
        <v>38</v>
      </c>
      <c r="D15" s="35" t="s">
        <v>39</v>
      </c>
      <c r="E15" s="35" t="s">
        <v>26</v>
      </c>
      <c r="F15" s="35" t="s">
        <v>439</v>
      </c>
      <c r="G15" s="23" t="s">
        <v>123</v>
      </c>
      <c r="H15" s="23"/>
      <c r="I15" s="23"/>
      <c r="J15" s="23" t="s">
        <v>123</v>
      </c>
      <c r="K15" s="23" t="s">
        <v>123</v>
      </c>
      <c r="L15" s="23" t="s">
        <v>123</v>
      </c>
      <c r="M15" s="23" t="s">
        <v>123</v>
      </c>
      <c r="N15" s="23" t="s">
        <v>123</v>
      </c>
      <c r="O15" s="23"/>
      <c r="P15" s="23"/>
      <c r="Q15" s="23" t="s">
        <v>123</v>
      </c>
      <c r="R15" s="23" t="s">
        <v>123</v>
      </c>
      <c r="S15" s="23" t="s">
        <v>123</v>
      </c>
      <c r="T15" s="23" t="s">
        <v>123</v>
      </c>
      <c r="U15" s="23" t="s">
        <v>123</v>
      </c>
      <c r="V15" s="23"/>
      <c r="W15" s="23"/>
      <c r="X15" s="23" t="s">
        <v>123</v>
      </c>
      <c r="Y15" s="23" t="s">
        <v>123</v>
      </c>
      <c r="Z15" s="23" t="s">
        <v>123</v>
      </c>
      <c r="AA15" s="23" t="s">
        <v>123</v>
      </c>
      <c r="AB15" s="23" t="s">
        <v>123</v>
      </c>
      <c r="AC15" s="23"/>
      <c r="AD15" s="23"/>
      <c r="AE15" s="23" t="s">
        <v>123</v>
      </c>
      <c r="AF15" s="23" t="s">
        <v>123</v>
      </c>
      <c r="AG15" s="23" t="s">
        <v>123</v>
      </c>
      <c r="AH15" s="23" t="s">
        <v>123</v>
      </c>
      <c r="AI15" s="23" t="s">
        <v>123</v>
      </c>
      <c r="AJ15" s="23"/>
      <c r="AK15" s="23"/>
      <c r="AL15" s="22">
        <f t="shared" si="2"/>
        <v>21</v>
      </c>
    </row>
    <row r="16" spans="2:38" x14ac:dyDescent="0.3">
      <c r="B16" s="23">
        <v>9</v>
      </c>
      <c r="C16" s="35" t="s">
        <v>41</v>
      </c>
      <c r="D16" s="35" t="s">
        <v>42</v>
      </c>
      <c r="E16" s="35" t="s">
        <v>26</v>
      </c>
      <c r="F16" s="35" t="s">
        <v>439</v>
      </c>
      <c r="G16" s="23" t="s">
        <v>123</v>
      </c>
      <c r="H16" s="23"/>
      <c r="I16" s="23"/>
      <c r="J16" s="23" t="s">
        <v>123</v>
      </c>
      <c r="K16" s="23" t="s">
        <v>123</v>
      </c>
      <c r="L16" s="23" t="s">
        <v>123</v>
      </c>
      <c r="M16" s="23" t="s">
        <v>123</v>
      </c>
      <c r="N16" s="23" t="s">
        <v>123</v>
      </c>
      <c r="O16" s="23"/>
      <c r="P16" s="23"/>
      <c r="Q16" s="23" t="s">
        <v>123</v>
      </c>
      <c r="R16" s="23" t="s">
        <v>123</v>
      </c>
      <c r="S16" s="23" t="s">
        <v>123</v>
      </c>
      <c r="T16" s="23" t="s">
        <v>123</v>
      </c>
      <c r="U16" s="23" t="s">
        <v>123</v>
      </c>
      <c r="V16" s="23"/>
      <c r="W16" s="23"/>
      <c r="X16" s="23" t="s">
        <v>123</v>
      </c>
      <c r="Y16" s="23" t="s">
        <v>123</v>
      </c>
      <c r="Z16" s="23" t="s">
        <v>123</v>
      </c>
      <c r="AA16" s="23" t="s">
        <v>123</v>
      </c>
      <c r="AB16" s="23" t="s">
        <v>123</v>
      </c>
      <c r="AC16" s="23"/>
      <c r="AD16" s="23"/>
      <c r="AE16" s="23" t="s">
        <v>123</v>
      </c>
      <c r="AF16" s="23" t="s">
        <v>123</v>
      </c>
      <c r="AG16" s="23" t="s">
        <v>123</v>
      </c>
      <c r="AH16" s="23" t="s">
        <v>123</v>
      </c>
      <c r="AI16" s="23" t="s">
        <v>123</v>
      </c>
      <c r="AJ16" s="23"/>
      <c r="AK16" s="23"/>
      <c r="AL16" s="22">
        <f t="shared" si="2"/>
        <v>21</v>
      </c>
    </row>
    <row r="17" spans="2:38" x14ac:dyDescent="0.3">
      <c r="B17" s="23">
        <v>10</v>
      </c>
      <c r="C17" s="35" t="s">
        <v>44</v>
      </c>
      <c r="D17" s="35" t="s">
        <v>45</v>
      </c>
      <c r="E17" s="35" t="s">
        <v>26</v>
      </c>
      <c r="F17" s="35" t="s">
        <v>439</v>
      </c>
      <c r="G17" s="23" t="s">
        <v>123</v>
      </c>
      <c r="H17" s="23"/>
      <c r="I17" s="23"/>
      <c r="J17" s="23" t="s">
        <v>123</v>
      </c>
      <c r="K17" s="23" t="s">
        <v>123</v>
      </c>
      <c r="L17" s="23" t="s">
        <v>123</v>
      </c>
      <c r="M17" s="23" t="s">
        <v>123</v>
      </c>
      <c r="N17" s="23" t="s">
        <v>123</v>
      </c>
      <c r="O17" s="23"/>
      <c r="P17" s="23"/>
      <c r="Q17" s="23" t="s">
        <v>123</v>
      </c>
      <c r="R17" s="23" t="s">
        <v>123</v>
      </c>
      <c r="S17" s="23" t="s">
        <v>123</v>
      </c>
      <c r="T17" s="23" t="s">
        <v>123</v>
      </c>
      <c r="U17" s="23" t="s">
        <v>123</v>
      </c>
      <c r="V17" s="23"/>
      <c r="W17" s="23"/>
      <c r="X17" s="23" t="s">
        <v>123</v>
      </c>
      <c r="Y17" s="23" t="s">
        <v>123</v>
      </c>
      <c r="Z17" s="23" t="s">
        <v>123</v>
      </c>
      <c r="AA17" s="23" t="s">
        <v>123</v>
      </c>
      <c r="AB17" s="23" t="s">
        <v>123</v>
      </c>
      <c r="AC17" s="23"/>
      <c r="AD17" s="23"/>
      <c r="AE17" s="23" t="s">
        <v>123</v>
      </c>
      <c r="AF17" s="23" t="s">
        <v>123</v>
      </c>
      <c r="AG17" s="23" t="s">
        <v>123</v>
      </c>
      <c r="AH17" s="23" t="s">
        <v>123</v>
      </c>
      <c r="AI17" s="23" t="s">
        <v>123</v>
      </c>
      <c r="AJ17" s="23"/>
      <c r="AK17" s="23"/>
      <c r="AL17" s="22">
        <f t="shared" si="2"/>
        <v>21</v>
      </c>
    </row>
    <row r="18" spans="2:38" x14ac:dyDescent="0.3">
      <c r="B18" s="23">
        <v>11</v>
      </c>
      <c r="C18" s="35" t="s">
        <v>47</v>
      </c>
      <c r="D18" s="35" t="s">
        <v>48</v>
      </c>
      <c r="E18" s="35" t="s">
        <v>26</v>
      </c>
      <c r="F18" s="35" t="s">
        <v>439</v>
      </c>
      <c r="G18" s="23" t="s">
        <v>123</v>
      </c>
      <c r="H18" s="23"/>
      <c r="I18" s="23"/>
      <c r="J18" s="23" t="s">
        <v>123</v>
      </c>
      <c r="K18" s="23" t="s">
        <v>123</v>
      </c>
      <c r="L18" s="23" t="s">
        <v>123</v>
      </c>
      <c r="M18" s="23" t="s">
        <v>123</v>
      </c>
      <c r="N18" s="23" t="s">
        <v>123</v>
      </c>
      <c r="O18" s="23"/>
      <c r="P18" s="23"/>
      <c r="Q18" s="23" t="s">
        <v>123</v>
      </c>
      <c r="R18" s="23" t="s">
        <v>123</v>
      </c>
      <c r="S18" s="23" t="s">
        <v>123</v>
      </c>
      <c r="T18" s="23" t="s">
        <v>123</v>
      </c>
      <c r="U18" s="23" t="s">
        <v>123</v>
      </c>
      <c r="V18" s="23"/>
      <c r="W18" s="23"/>
      <c r="X18" s="23" t="s">
        <v>123</v>
      </c>
      <c r="Y18" s="23" t="s">
        <v>123</v>
      </c>
      <c r="Z18" s="23" t="s">
        <v>123</v>
      </c>
      <c r="AA18" s="23" t="s">
        <v>123</v>
      </c>
      <c r="AB18" s="23" t="s">
        <v>123</v>
      </c>
      <c r="AC18" s="23"/>
      <c r="AD18" s="23"/>
      <c r="AE18" s="23" t="s">
        <v>123</v>
      </c>
      <c r="AF18" s="23" t="s">
        <v>123</v>
      </c>
      <c r="AG18" s="23" t="s">
        <v>123</v>
      </c>
      <c r="AH18" s="23" t="s">
        <v>123</v>
      </c>
      <c r="AI18" s="23" t="s">
        <v>123</v>
      </c>
      <c r="AJ18" s="23"/>
      <c r="AK18" s="23"/>
      <c r="AL18" s="22">
        <f t="shared" si="2"/>
        <v>21</v>
      </c>
    </row>
    <row r="19" spans="2:38" x14ac:dyDescent="0.3">
      <c r="B19" s="23">
        <v>12</v>
      </c>
      <c r="C19" s="35" t="s">
        <v>49</v>
      </c>
      <c r="D19" s="35" t="s">
        <v>50</v>
      </c>
      <c r="E19" s="35" t="s">
        <v>26</v>
      </c>
      <c r="F19" s="35" t="s">
        <v>439</v>
      </c>
      <c r="G19" s="23" t="s">
        <v>123</v>
      </c>
      <c r="H19" s="23"/>
      <c r="I19" s="23"/>
      <c r="J19" s="23" t="s">
        <v>123</v>
      </c>
      <c r="K19" s="23" t="s">
        <v>123</v>
      </c>
      <c r="L19" s="23" t="s">
        <v>123</v>
      </c>
      <c r="M19" s="23" t="s">
        <v>123</v>
      </c>
      <c r="N19" s="23" t="s">
        <v>123</v>
      </c>
      <c r="O19" s="23"/>
      <c r="P19" s="23"/>
      <c r="Q19" s="23" t="s">
        <v>123</v>
      </c>
      <c r="R19" s="23" t="s">
        <v>123</v>
      </c>
      <c r="S19" s="23" t="s">
        <v>123</v>
      </c>
      <c r="T19" s="23" t="s">
        <v>123</v>
      </c>
      <c r="U19" s="23" t="s">
        <v>123</v>
      </c>
      <c r="V19" s="23"/>
      <c r="W19" s="23"/>
      <c r="X19" s="23" t="s">
        <v>123</v>
      </c>
      <c r="Y19" s="23" t="s">
        <v>123</v>
      </c>
      <c r="Z19" s="23" t="s">
        <v>123</v>
      </c>
      <c r="AA19" s="23" t="s">
        <v>123</v>
      </c>
      <c r="AB19" s="23" t="s">
        <v>123</v>
      </c>
      <c r="AC19" s="23"/>
      <c r="AD19" s="23"/>
      <c r="AE19" s="23" t="s">
        <v>123</v>
      </c>
      <c r="AF19" s="23" t="s">
        <v>123</v>
      </c>
      <c r="AG19" s="23" t="s">
        <v>123</v>
      </c>
      <c r="AH19" s="23" t="s">
        <v>123</v>
      </c>
      <c r="AI19" s="23" t="s">
        <v>123</v>
      </c>
      <c r="AJ19" s="23"/>
      <c r="AK19" s="23"/>
      <c r="AL19" s="22">
        <f t="shared" si="2"/>
        <v>21</v>
      </c>
    </row>
    <row r="20" spans="2:38" x14ac:dyDescent="0.3">
      <c r="B20" s="23">
        <v>13</v>
      </c>
      <c r="C20" s="35" t="s">
        <v>51</v>
      </c>
      <c r="D20" s="35" t="s">
        <v>52</v>
      </c>
      <c r="E20" s="35" t="s">
        <v>26</v>
      </c>
      <c r="F20" s="35" t="s">
        <v>439</v>
      </c>
      <c r="G20" s="23" t="s">
        <v>123</v>
      </c>
      <c r="H20" s="23"/>
      <c r="I20" s="23"/>
      <c r="J20" s="23" t="s">
        <v>123</v>
      </c>
      <c r="K20" s="23" t="s">
        <v>123</v>
      </c>
      <c r="L20" s="23" t="s">
        <v>123</v>
      </c>
      <c r="M20" s="23" t="s">
        <v>123</v>
      </c>
      <c r="N20" s="23" t="s">
        <v>123</v>
      </c>
      <c r="O20" s="23"/>
      <c r="P20" s="23"/>
      <c r="Q20" s="23" t="s">
        <v>123</v>
      </c>
      <c r="R20" s="23" t="s">
        <v>123</v>
      </c>
      <c r="S20" s="23" t="s">
        <v>123</v>
      </c>
      <c r="T20" s="23" t="s">
        <v>123</v>
      </c>
      <c r="U20" s="23" t="s">
        <v>123</v>
      </c>
      <c r="V20" s="23"/>
      <c r="W20" s="23"/>
      <c r="X20" s="23" t="s">
        <v>123</v>
      </c>
      <c r="Y20" s="23" t="s">
        <v>123</v>
      </c>
      <c r="Z20" s="23" t="s">
        <v>123</v>
      </c>
      <c r="AA20" s="23" t="s">
        <v>123</v>
      </c>
      <c r="AB20" s="23" t="s">
        <v>123</v>
      </c>
      <c r="AC20" s="23"/>
      <c r="AD20" s="23"/>
      <c r="AE20" s="23" t="s">
        <v>123</v>
      </c>
      <c r="AF20" s="23" t="s">
        <v>123</v>
      </c>
      <c r="AG20" s="23" t="s">
        <v>123</v>
      </c>
      <c r="AH20" s="23" t="s">
        <v>123</v>
      </c>
      <c r="AI20" s="23" t="s">
        <v>123</v>
      </c>
      <c r="AJ20" s="23"/>
      <c r="AK20" s="23"/>
      <c r="AL20" s="22">
        <f t="shared" si="2"/>
        <v>21</v>
      </c>
    </row>
    <row r="23" spans="2:38" x14ac:dyDescent="0.3">
      <c r="W23" s="253">
        <f>IF(CHE_DO_NGHI=1,WORKDAY.INTL(EOMONTH(DATE(P5,L5,1),0)+1,-1,1,INDEX(DATA_NGHI_LE[],0,1)),WORKDAY.INTL(EOMONTH(DATE(P5,L5,1),0)+1,-1,11,INDEX(DATA_NGHI_LE[],0,1)))</f>
        <v>45289</v>
      </c>
      <c r="X23" s="253"/>
      <c r="Y23" s="253"/>
      <c r="Z23" s="253"/>
      <c r="AA23" s="253"/>
      <c r="AB23" s="253"/>
      <c r="AC23" s="253"/>
      <c r="AD23" s="253"/>
      <c r="AE23" s="253"/>
      <c r="AF23" s="253"/>
      <c r="AG23" s="253"/>
      <c r="AH23" s="253"/>
      <c r="AI23" s="253"/>
      <c r="AJ23" s="253"/>
      <c r="AK23" s="28"/>
    </row>
    <row r="24" spans="2:38" x14ac:dyDescent="0.3">
      <c r="D24" s="256" t="s">
        <v>94</v>
      </c>
      <c r="E24" s="256"/>
      <c r="F24" s="36"/>
      <c r="H24" s="247" t="s">
        <v>96</v>
      </c>
      <c r="I24" s="247"/>
      <c r="J24" s="247"/>
      <c r="K24" s="247"/>
      <c r="L24" s="247"/>
      <c r="M24" s="247"/>
      <c r="N24" s="247"/>
      <c r="O24" s="247"/>
      <c r="P24" s="4"/>
      <c r="Q24" s="4"/>
      <c r="R24" s="4"/>
      <c r="S24" s="4"/>
      <c r="T24" s="4"/>
      <c r="U24" s="4"/>
      <c r="W24" s="247" t="s">
        <v>11</v>
      </c>
      <c r="X24" s="247"/>
      <c r="Y24" s="247"/>
      <c r="Z24" s="247"/>
      <c r="AA24" s="247"/>
      <c r="AB24" s="247"/>
      <c r="AC24" s="247"/>
      <c r="AD24" s="247"/>
      <c r="AE24" s="247"/>
      <c r="AF24" s="247"/>
      <c r="AG24" s="247"/>
      <c r="AH24" s="247"/>
      <c r="AI24" s="247"/>
      <c r="AJ24" s="247"/>
      <c r="AK24" s="4"/>
    </row>
    <row r="25" spans="2:38" x14ac:dyDescent="0.3">
      <c r="D25" s="257" t="s">
        <v>95</v>
      </c>
      <c r="E25" s="257"/>
      <c r="F25" s="37"/>
      <c r="H25" s="248" t="s">
        <v>95</v>
      </c>
      <c r="I25" s="248"/>
      <c r="J25" s="248"/>
      <c r="K25" s="248"/>
      <c r="L25" s="248"/>
      <c r="M25" s="248"/>
      <c r="N25" s="248"/>
      <c r="O25" s="248"/>
      <c r="P25" s="11"/>
      <c r="Q25" s="11"/>
      <c r="R25" s="11"/>
      <c r="S25" s="11"/>
      <c r="T25" s="11"/>
      <c r="U25" s="11"/>
      <c r="W25" s="248" t="s">
        <v>97</v>
      </c>
      <c r="X25" s="248"/>
      <c r="Y25" s="248"/>
      <c r="Z25" s="248"/>
      <c r="AA25" s="248"/>
      <c r="AB25" s="248"/>
      <c r="AC25" s="248"/>
      <c r="AD25" s="248"/>
      <c r="AE25" s="248"/>
      <c r="AF25" s="248"/>
      <c r="AG25" s="248"/>
      <c r="AH25" s="248"/>
      <c r="AI25" s="248"/>
      <c r="AJ25" s="248"/>
      <c r="AK25" s="11"/>
    </row>
    <row r="31" spans="2:38" x14ac:dyDescent="0.3">
      <c r="B31" s="4" t="s">
        <v>98</v>
      </c>
    </row>
    <row r="32" spans="2:38" x14ac:dyDescent="0.3">
      <c r="B32" s="7" t="s">
        <v>99</v>
      </c>
      <c r="E32" s="7" t="s">
        <v>102</v>
      </c>
      <c r="L32" s="7" t="s">
        <v>105</v>
      </c>
    </row>
    <row r="33" spans="2:5" x14ac:dyDescent="0.3">
      <c r="B33" s="7" t="s">
        <v>100</v>
      </c>
      <c r="E33" s="7" t="s">
        <v>103</v>
      </c>
    </row>
    <row r="34" spans="2:5" x14ac:dyDescent="0.3">
      <c r="B34" s="7" t="s">
        <v>101</v>
      </c>
      <c r="E34" s="7" t="s">
        <v>104</v>
      </c>
    </row>
  </sheetData>
  <mergeCells count="21">
    <mergeCell ref="W23:AJ23"/>
    <mergeCell ref="D24:E24"/>
    <mergeCell ref="H24:O24"/>
    <mergeCell ref="W24:AJ24"/>
    <mergeCell ref="D25:E25"/>
    <mergeCell ref="H25:O25"/>
    <mergeCell ref="W25:AJ25"/>
    <mergeCell ref="AL6:AL7"/>
    <mergeCell ref="Y1:AK1"/>
    <mergeCell ref="Y2:AK2"/>
    <mergeCell ref="Y3:AK3"/>
    <mergeCell ref="B4:AL4"/>
    <mergeCell ref="J5:K5"/>
    <mergeCell ref="L5:M5"/>
    <mergeCell ref="N5:O5"/>
    <mergeCell ref="P5:Q5"/>
    <mergeCell ref="B6:B7"/>
    <mergeCell ref="C6:C7"/>
    <mergeCell ref="D6:D7"/>
    <mergeCell ref="E6:E7"/>
    <mergeCell ref="F6:F7"/>
  </mergeCells>
  <conditionalFormatting sqref="G6:AK20">
    <cfRule type="expression" dxfId="0" priority="1">
      <formula>IF(AND(CHE_DO_NGHI=1,OR(G$7="Chủ nhật",G$7="Thứ Bảy")),TRUE,IF(AND(CHE_DO_NGHI=2,G$7="Chủ nhật"),TRUE,FALSE))</formula>
    </cfRule>
  </conditionalFormatting>
  <pageMargins left="0.7" right="0.7" top="0.75" bottom="0.75" header="0.3" footer="0.3"/>
  <pageSetup paperSize="9" scale="72" fitToHeight="0" orientation="landscape" cellComments="atEnd"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B3CE8-FB85-4E92-A1BC-BD42C4AC1DD3}">
  <sheetPr codeName="Sheet26">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1</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22</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5007600</v>
      </c>
      <c r="H9" s="49">
        <v>22</v>
      </c>
      <c r="I9" s="49">
        <f t="shared" ref="I9:I23" si="0">G9*H9/$V$6</f>
        <v>5007600</v>
      </c>
      <c r="J9" s="49">
        <v>730000</v>
      </c>
      <c r="K9" s="49">
        <v>500000</v>
      </c>
      <c r="L9" s="49">
        <v>1200000</v>
      </c>
      <c r="M9" s="49">
        <v>30000000</v>
      </c>
      <c r="N9" s="49">
        <v>32430000</v>
      </c>
      <c r="O9" s="49">
        <v>37437600</v>
      </c>
      <c r="P9" s="49">
        <v>11000000</v>
      </c>
      <c r="Q9" s="49">
        <v>3600000</v>
      </c>
      <c r="R9" s="49">
        <f>IF(S9=0,O9*10%,SUMPRODUCT(--TEXT(O9-P9-Q9-{0,5,10,18,32,52,80}*10^6,"#;\0;\0"))*5%)</f>
        <v>2917520</v>
      </c>
      <c r="S9" s="49">
        <v>525798</v>
      </c>
      <c r="T9" s="49"/>
      <c r="U9" s="49">
        <f t="shared" ref="U9:U23" si="1">O9-R9-S9-T9</f>
        <v>33994282</v>
      </c>
      <c r="V9" s="44"/>
    </row>
    <row r="10" spans="2:22" x14ac:dyDescent="0.3">
      <c r="B10" s="52">
        <v>2</v>
      </c>
      <c r="C10" s="48" t="s">
        <v>14</v>
      </c>
      <c r="D10" s="48" t="s">
        <v>15</v>
      </c>
      <c r="E10" s="48" t="s">
        <v>438</v>
      </c>
      <c r="F10" s="48" t="s">
        <v>16</v>
      </c>
      <c r="G10" s="49">
        <v>5007600</v>
      </c>
      <c r="H10" s="49">
        <v>22</v>
      </c>
      <c r="I10" s="49">
        <f t="shared" si="0"/>
        <v>5007600</v>
      </c>
      <c r="J10" s="49">
        <v>730000</v>
      </c>
      <c r="K10" s="49">
        <v>500000</v>
      </c>
      <c r="L10" s="49">
        <v>1200000</v>
      </c>
      <c r="M10" s="49">
        <v>3500000</v>
      </c>
      <c r="N10" s="49">
        <v>5930000</v>
      </c>
      <c r="O10" s="49">
        <v>10937600</v>
      </c>
      <c r="P10" s="49">
        <v>11000000</v>
      </c>
      <c r="Q10" s="49">
        <v>3600000</v>
      </c>
      <c r="R10" s="49">
        <f>IF(S10=0,O10*10%,SUMPRODUCT(--TEXT(O10-P10-Q10-{0,5,10,18,32,52,80}*10^6,"#;\0;\0"))*5%)</f>
        <v>0</v>
      </c>
      <c r="S10" s="49">
        <v>525798</v>
      </c>
      <c r="T10" s="49"/>
      <c r="U10" s="49">
        <f t="shared" si="1"/>
        <v>10411802</v>
      </c>
      <c r="V10" s="44"/>
    </row>
    <row r="11" spans="2:22" x14ac:dyDescent="0.3">
      <c r="B11" s="52">
        <v>3</v>
      </c>
      <c r="C11" s="48" t="s">
        <v>19</v>
      </c>
      <c r="D11" s="48" t="s">
        <v>20</v>
      </c>
      <c r="E11" s="48" t="s">
        <v>438</v>
      </c>
      <c r="F11" s="48" t="s">
        <v>21</v>
      </c>
      <c r="G11" s="49">
        <v>5007600</v>
      </c>
      <c r="H11" s="49">
        <v>22</v>
      </c>
      <c r="I11" s="49">
        <f t="shared" si="0"/>
        <v>5007600</v>
      </c>
      <c r="J11" s="49">
        <v>730000</v>
      </c>
      <c r="K11" s="49">
        <v>500000</v>
      </c>
      <c r="L11" s="49">
        <v>1200000</v>
      </c>
      <c r="M11" s="49">
        <v>3500000</v>
      </c>
      <c r="N11" s="49">
        <v>5930000</v>
      </c>
      <c r="O11" s="49">
        <v>10937600</v>
      </c>
      <c r="P11" s="49">
        <v>11000000</v>
      </c>
      <c r="Q11" s="49">
        <v>3600000</v>
      </c>
      <c r="R11" s="49">
        <f>IF(S11=0,O11*10%,SUMPRODUCT(--TEXT(O11-P11-Q11-{0,5,10,18,32,52,80}*10^6,"#;\0;\0"))*5%)</f>
        <v>0</v>
      </c>
      <c r="S11" s="49">
        <v>525798</v>
      </c>
      <c r="T11" s="49"/>
      <c r="U11" s="49">
        <f t="shared" si="1"/>
        <v>10411802</v>
      </c>
      <c r="V11" s="44"/>
    </row>
    <row r="12" spans="2:22" x14ac:dyDescent="0.3">
      <c r="B12" s="52">
        <v>4</v>
      </c>
      <c r="C12" s="48" t="s">
        <v>24</v>
      </c>
      <c r="D12" s="48" t="s">
        <v>25</v>
      </c>
      <c r="E12" s="48" t="s">
        <v>439</v>
      </c>
      <c r="F12" s="48" t="s">
        <v>26</v>
      </c>
      <c r="G12" s="49">
        <v>5007600</v>
      </c>
      <c r="H12" s="49">
        <v>22</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22</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22</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22</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22</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22</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22</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22</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1098000</v>
      </c>
      <c r="S19" s="49"/>
      <c r="T19" s="49"/>
      <c r="U19" s="49">
        <f t="shared" si="1"/>
        <v>9882000</v>
      </c>
      <c r="V19" s="44"/>
    </row>
    <row r="20" spans="2:22" x14ac:dyDescent="0.3">
      <c r="B20" s="52">
        <v>12</v>
      </c>
      <c r="C20" s="48" t="s">
        <v>49</v>
      </c>
      <c r="D20" s="48" t="s">
        <v>50</v>
      </c>
      <c r="E20" s="48" t="s">
        <v>439</v>
      </c>
      <c r="F20" s="48" t="s">
        <v>26</v>
      </c>
      <c r="G20" s="49">
        <v>5050000</v>
      </c>
      <c r="H20" s="49">
        <v>22</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1098000</v>
      </c>
      <c r="S20" s="49"/>
      <c r="T20" s="49"/>
      <c r="U20" s="49">
        <f t="shared" si="1"/>
        <v>9882000</v>
      </c>
      <c r="V20" s="44"/>
    </row>
    <row r="21" spans="2:22" x14ac:dyDescent="0.3">
      <c r="B21" s="52">
        <v>13</v>
      </c>
      <c r="C21" s="48" t="s">
        <v>51</v>
      </c>
      <c r="D21" s="48" t="s">
        <v>52</v>
      </c>
      <c r="E21" s="48" t="s">
        <v>439</v>
      </c>
      <c r="F21" s="48" t="s">
        <v>26</v>
      </c>
      <c r="G21" s="49">
        <v>5050000</v>
      </c>
      <c r="H21" s="49">
        <v>22</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1098000</v>
      </c>
      <c r="S21" s="49"/>
      <c r="T21" s="49"/>
      <c r="U21" s="49">
        <f t="shared" si="1"/>
        <v>9882000</v>
      </c>
      <c r="V21" s="44"/>
    </row>
    <row r="22" spans="2:22" x14ac:dyDescent="0.3">
      <c r="B22" s="52">
        <v>14</v>
      </c>
      <c r="C22" s="48" t="s">
        <v>53</v>
      </c>
      <c r="D22" s="48" t="s">
        <v>54</v>
      </c>
      <c r="E22" s="48" t="s">
        <v>439</v>
      </c>
      <c r="F22" s="48" t="s">
        <v>26</v>
      </c>
      <c r="G22" s="49">
        <v>5050000</v>
      </c>
      <c r="H22" s="49">
        <v>22</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1098000</v>
      </c>
      <c r="S22" s="49"/>
      <c r="T22" s="49"/>
      <c r="U22" s="49">
        <f t="shared" si="1"/>
        <v>9882000</v>
      </c>
      <c r="V22" s="44"/>
    </row>
    <row r="23" spans="2:22" x14ac:dyDescent="0.3">
      <c r="B23" s="52">
        <v>15</v>
      </c>
      <c r="C23" s="48" t="s">
        <v>55</v>
      </c>
      <c r="D23" s="48" t="s">
        <v>56</v>
      </c>
      <c r="E23" s="48" t="s">
        <v>439</v>
      </c>
      <c r="F23" s="48" t="s">
        <v>26</v>
      </c>
      <c r="G23" s="49">
        <v>5050000</v>
      </c>
      <c r="H23" s="49">
        <v>22</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1098000</v>
      </c>
      <c r="S23" s="49"/>
      <c r="T23" s="49"/>
      <c r="U23" s="49">
        <f t="shared" si="1"/>
        <v>9882000</v>
      </c>
      <c r="V23" s="44"/>
    </row>
    <row r="24" spans="2:22" x14ac:dyDescent="0.3">
      <c r="B24" s="220" t="s">
        <v>193</v>
      </c>
      <c r="C24" s="263"/>
      <c r="D24" s="263"/>
      <c r="E24" s="263"/>
      <c r="F24" s="263"/>
      <c r="G24" s="50">
        <f t="shared" ref="G24:O24" si="2">SUM(G9:G23)</f>
        <v>75326000</v>
      </c>
      <c r="H24" s="50">
        <f t="shared" si="2"/>
        <v>330</v>
      </c>
      <c r="I24" s="50">
        <f t="shared" si="2"/>
        <v>75326000</v>
      </c>
      <c r="J24" s="50">
        <f t="shared" si="2"/>
        <v>10950000</v>
      </c>
      <c r="K24" s="50">
        <f t="shared" si="2"/>
        <v>7500000</v>
      </c>
      <c r="L24" s="50">
        <f t="shared" si="2"/>
        <v>18000000</v>
      </c>
      <c r="M24" s="50">
        <f t="shared" si="2"/>
        <v>79000000</v>
      </c>
      <c r="N24" s="50">
        <f t="shared" si="2"/>
        <v>115450000</v>
      </c>
      <c r="O24" s="50">
        <f t="shared" si="2"/>
        <v>190776000</v>
      </c>
      <c r="P24" s="50"/>
      <c r="Q24" s="50"/>
      <c r="R24" s="45">
        <f>SUM(R9:R23)</f>
        <v>8407520</v>
      </c>
      <c r="S24" s="50">
        <f>SUM(S9:S23)</f>
        <v>5257980</v>
      </c>
      <c r="T24" s="45">
        <f>SUM(T9:T23)</f>
        <v>0</v>
      </c>
      <c r="U24" s="45">
        <f>SUM(U9:U23)</f>
        <v>177110500</v>
      </c>
      <c r="V24" s="41"/>
    </row>
    <row r="26" spans="2:22" x14ac:dyDescent="0.3">
      <c r="R26" s="255">
        <f>WORKDAY.INTL(EOMONTH(DATE(M5,K5,1),0)+1,-1,IF(CHE_DO_NGHI=1,1,11),INDEX(DATA_NGHI_LE[],0,1))</f>
        <v>44957</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588CC-0EA3-4245-8242-B64FC40F5FC3}">
  <sheetPr codeName="Sheet27">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2</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20</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5007600</v>
      </c>
      <c r="H9" s="49">
        <v>20</v>
      </c>
      <c r="I9" s="49">
        <f t="shared" ref="I9:I23" si="0">G9*H9/$V$6</f>
        <v>5007600</v>
      </c>
      <c r="J9" s="49">
        <v>730000</v>
      </c>
      <c r="K9" s="49">
        <v>500000</v>
      </c>
      <c r="L9" s="49">
        <v>1200000</v>
      </c>
      <c r="M9" s="49">
        <v>30000000</v>
      </c>
      <c r="N9" s="49">
        <v>32430000</v>
      </c>
      <c r="O9" s="49">
        <v>37437600</v>
      </c>
      <c r="P9" s="49">
        <v>11000000</v>
      </c>
      <c r="Q9" s="49">
        <v>3600000</v>
      </c>
      <c r="R9" s="49">
        <f>IF(S9=0,O9*10%,SUMPRODUCT(--TEXT(O9-P9-Q9-{0,5,10,18,32,52,80}*10^6,"#;\0;\0"))*5%)</f>
        <v>2917520</v>
      </c>
      <c r="S9" s="49">
        <v>525798</v>
      </c>
      <c r="T9" s="49"/>
      <c r="U9" s="49">
        <f t="shared" ref="U9:U23" si="1">O9-R9-S9-T9</f>
        <v>33994282</v>
      </c>
      <c r="V9" s="44"/>
    </row>
    <row r="10" spans="2:22" x14ac:dyDescent="0.3">
      <c r="B10" s="52">
        <v>2</v>
      </c>
      <c r="C10" s="48" t="s">
        <v>14</v>
      </c>
      <c r="D10" s="48" t="s">
        <v>15</v>
      </c>
      <c r="E10" s="48" t="s">
        <v>438</v>
      </c>
      <c r="F10" s="48" t="s">
        <v>16</v>
      </c>
      <c r="G10" s="49">
        <v>5007600</v>
      </c>
      <c r="H10" s="49">
        <v>20</v>
      </c>
      <c r="I10" s="49">
        <f t="shared" si="0"/>
        <v>5007600</v>
      </c>
      <c r="J10" s="49">
        <v>730000</v>
      </c>
      <c r="K10" s="49">
        <v>500000</v>
      </c>
      <c r="L10" s="49">
        <v>1200000</v>
      </c>
      <c r="M10" s="49">
        <v>3500000</v>
      </c>
      <c r="N10" s="49">
        <v>5930000</v>
      </c>
      <c r="O10" s="49">
        <v>10937600</v>
      </c>
      <c r="P10" s="49">
        <v>11000000</v>
      </c>
      <c r="Q10" s="49">
        <v>3600000</v>
      </c>
      <c r="R10" s="49">
        <f>IF(S10=0,O10*10%,SUMPRODUCT(--TEXT(O10-P10-Q10-{0,5,10,18,32,52,80}*10^6,"#;\0;\0"))*5%)</f>
        <v>0</v>
      </c>
      <c r="S10" s="49">
        <v>525798</v>
      </c>
      <c r="T10" s="49"/>
      <c r="U10" s="49">
        <f t="shared" si="1"/>
        <v>10411802</v>
      </c>
      <c r="V10" s="44"/>
    </row>
    <row r="11" spans="2:22" x14ac:dyDescent="0.3">
      <c r="B11" s="52">
        <v>3</v>
      </c>
      <c r="C11" s="48" t="s">
        <v>19</v>
      </c>
      <c r="D11" s="48" t="s">
        <v>20</v>
      </c>
      <c r="E11" s="48" t="s">
        <v>438</v>
      </c>
      <c r="F11" s="48" t="s">
        <v>21</v>
      </c>
      <c r="G11" s="49">
        <v>5007600</v>
      </c>
      <c r="H11" s="49">
        <v>20</v>
      </c>
      <c r="I11" s="49">
        <f t="shared" si="0"/>
        <v>5007600</v>
      </c>
      <c r="J11" s="49">
        <v>730000</v>
      </c>
      <c r="K11" s="49">
        <v>500000</v>
      </c>
      <c r="L11" s="49">
        <v>1200000</v>
      </c>
      <c r="M11" s="49">
        <v>3500000</v>
      </c>
      <c r="N11" s="49">
        <v>5930000</v>
      </c>
      <c r="O11" s="49">
        <v>10937600</v>
      </c>
      <c r="P11" s="49">
        <v>11000000</v>
      </c>
      <c r="Q11" s="49">
        <v>3600000</v>
      </c>
      <c r="R11" s="49">
        <f>IF(S11=0,O11*10%,SUMPRODUCT(--TEXT(O11-P11-Q11-{0,5,10,18,32,52,80}*10^6,"#;\0;\0"))*5%)</f>
        <v>0</v>
      </c>
      <c r="S11" s="49">
        <v>525798</v>
      </c>
      <c r="T11" s="49"/>
      <c r="U11" s="49">
        <f t="shared" si="1"/>
        <v>10411802</v>
      </c>
      <c r="V11" s="44"/>
    </row>
    <row r="12" spans="2:22" x14ac:dyDescent="0.3">
      <c r="B12" s="52">
        <v>4</v>
      </c>
      <c r="C12" s="48" t="s">
        <v>24</v>
      </c>
      <c r="D12" s="48" t="s">
        <v>25</v>
      </c>
      <c r="E12" s="48" t="s">
        <v>439</v>
      </c>
      <c r="F12" s="48" t="s">
        <v>26</v>
      </c>
      <c r="G12" s="49">
        <v>5007600</v>
      </c>
      <c r="H12" s="49">
        <v>20</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20</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20</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20</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20</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20</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20</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20</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20</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20</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20</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20</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75326000</v>
      </c>
      <c r="H24" s="50">
        <f t="shared" si="2"/>
        <v>300</v>
      </c>
      <c r="I24" s="50">
        <f t="shared" si="2"/>
        <v>75326000</v>
      </c>
      <c r="J24" s="50">
        <f t="shared" si="2"/>
        <v>10950000</v>
      </c>
      <c r="K24" s="50">
        <f t="shared" si="2"/>
        <v>7500000</v>
      </c>
      <c r="L24" s="50">
        <f t="shared" si="2"/>
        <v>18000000</v>
      </c>
      <c r="M24" s="50">
        <f t="shared" si="2"/>
        <v>79000000</v>
      </c>
      <c r="N24" s="50">
        <f t="shared" si="2"/>
        <v>115450000</v>
      </c>
      <c r="O24" s="50">
        <f t="shared" si="2"/>
        <v>190776000</v>
      </c>
      <c r="P24" s="50"/>
      <c r="Q24" s="50"/>
      <c r="R24" s="45">
        <f>SUM(R9:R23)</f>
        <v>2917520</v>
      </c>
      <c r="S24" s="50">
        <f>SUM(S9:S23)</f>
        <v>7909230</v>
      </c>
      <c r="T24" s="45">
        <f>SUM(T9:T23)</f>
        <v>0</v>
      </c>
      <c r="U24" s="45">
        <f>SUM(U9:U23)</f>
        <v>179949250</v>
      </c>
      <c r="V24" s="41"/>
    </row>
    <row r="26" spans="2:22" x14ac:dyDescent="0.3">
      <c r="R26" s="255">
        <f>WORKDAY.INTL(EOMONTH(DATE(M5,K5,1),0)+1,-1,IF(CHE_DO_NGHI=1,1,11),INDEX(DATA_NGHI_LE[],0,1))</f>
        <v>44985</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F365F-EEE1-4BB2-A0AB-95A62EA1D62F}">
  <sheetPr codeName="Sheet28">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3</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23</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5007600</v>
      </c>
      <c r="H9" s="49">
        <v>23</v>
      </c>
      <c r="I9" s="49">
        <f t="shared" ref="I9:I23" si="0">G9*H9/$V$6</f>
        <v>5007600</v>
      </c>
      <c r="J9" s="49">
        <v>730000</v>
      </c>
      <c r="K9" s="49">
        <v>500000</v>
      </c>
      <c r="L9" s="49">
        <v>1200000</v>
      </c>
      <c r="M9" s="49">
        <v>30000000</v>
      </c>
      <c r="N9" s="49">
        <v>32430000</v>
      </c>
      <c r="O9" s="49">
        <v>37437600</v>
      </c>
      <c r="P9" s="49">
        <v>11000000</v>
      </c>
      <c r="Q9" s="49">
        <v>3600000</v>
      </c>
      <c r="R9" s="49">
        <f>IF(S9=0,O9*10%,SUMPRODUCT(--TEXT(O9-P9-Q9-{0,5,10,18,32,52,80}*10^6,"#;\0;\0"))*5%)</f>
        <v>2917520</v>
      </c>
      <c r="S9" s="49">
        <v>525798</v>
      </c>
      <c r="T9" s="49"/>
      <c r="U9" s="49">
        <f t="shared" ref="U9:U23" si="1">O9-R9-S9-T9</f>
        <v>33994282</v>
      </c>
      <c r="V9" s="44"/>
    </row>
    <row r="10" spans="2:22" x14ac:dyDescent="0.3">
      <c r="B10" s="52">
        <v>2</v>
      </c>
      <c r="C10" s="48" t="s">
        <v>14</v>
      </c>
      <c r="D10" s="48" t="s">
        <v>15</v>
      </c>
      <c r="E10" s="48" t="s">
        <v>438</v>
      </c>
      <c r="F10" s="48" t="s">
        <v>16</v>
      </c>
      <c r="G10" s="49">
        <v>5007600</v>
      </c>
      <c r="H10" s="49">
        <v>23</v>
      </c>
      <c r="I10" s="49">
        <f t="shared" si="0"/>
        <v>5007600</v>
      </c>
      <c r="J10" s="49">
        <v>730000</v>
      </c>
      <c r="K10" s="49">
        <v>500000</v>
      </c>
      <c r="L10" s="49">
        <v>1200000</v>
      </c>
      <c r="M10" s="49">
        <v>3500000</v>
      </c>
      <c r="N10" s="49">
        <v>5930000</v>
      </c>
      <c r="O10" s="49">
        <v>10937600</v>
      </c>
      <c r="P10" s="49">
        <v>11000000</v>
      </c>
      <c r="Q10" s="49">
        <v>3600000</v>
      </c>
      <c r="R10" s="49">
        <f>IF(S10=0,O10*10%,SUMPRODUCT(--TEXT(O10-P10-Q10-{0,5,10,18,32,52,80}*10^6,"#;\0;\0"))*5%)</f>
        <v>0</v>
      </c>
      <c r="S10" s="49">
        <v>525798</v>
      </c>
      <c r="T10" s="49"/>
      <c r="U10" s="49">
        <f t="shared" si="1"/>
        <v>10411802</v>
      </c>
      <c r="V10" s="44"/>
    </row>
    <row r="11" spans="2:22" x14ac:dyDescent="0.3">
      <c r="B11" s="52">
        <v>3</v>
      </c>
      <c r="C11" s="48" t="s">
        <v>19</v>
      </c>
      <c r="D11" s="48" t="s">
        <v>20</v>
      </c>
      <c r="E11" s="48" t="s">
        <v>438</v>
      </c>
      <c r="F11" s="48" t="s">
        <v>21</v>
      </c>
      <c r="G11" s="49">
        <v>5007600</v>
      </c>
      <c r="H11" s="49">
        <v>23</v>
      </c>
      <c r="I11" s="49">
        <f t="shared" si="0"/>
        <v>5007600</v>
      </c>
      <c r="J11" s="49">
        <v>730000</v>
      </c>
      <c r="K11" s="49">
        <v>500000</v>
      </c>
      <c r="L11" s="49">
        <v>1200000</v>
      </c>
      <c r="M11" s="49">
        <v>3500000</v>
      </c>
      <c r="N11" s="49">
        <v>5930000</v>
      </c>
      <c r="O11" s="49">
        <v>10937600</v>
      </c>
      <c r="P11" s="49">
        <v>11000000</v>
      </c>
      <c r="Q11" s="49">
        <v>3600000</v>
      </c>
      <c r="R11" s="49">
        <f>IF(S11=0,O11*10%,SUMPRODUCT(--TEXT(O11-P11-Q11-{0,5,10,18,32,52,80}*10^6,"#;\0;\0"))*5%)</f>
        <v>0</v>
      </c>
      <c r="S11" s="49">
        <v>525798</v>
      </c>
      <c r="T11" s="49"/>
      <c r="U11" s="49">
        <f t="shared" si="1"/>
        <v>10411802</v>
      </c>
      <c r="V11" s="44"/>
    </row>
    <row r="12" spans="2:22" x14ac:dyDescent="0.3">
      <c r="B12" s="52">
        <v>4</v>
      </c>
      <c r="C12" s="48" t="s">
        <v>24</v>
      </c>
      <c r="D12" s="48" t="s">
        <v>25</v>
      </c>
      <c r="E12" s="48" t="s">
        <v>439</v>
      </c>
      <c r="F12" s="48" t="s">
        <v>26</v>
      </c>
      <c r="G12" s="49">
        <v>5007600</v>
      </c>
      <c r="H12" s="49">
        <v>23</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23</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23</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23</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23</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23</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23</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23</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23</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23</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23</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23</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75326000</v>
      </c>
      <c r="H24" s="50">
        <f t="shared" si="2"/>
        <v>345</v>
      </c>
      <c r="I24" s="50">
        <f t="shared" si="2"/>
        <v>75326000</v>
      </c>
      <c r="J24" s="50">
        <f t="shared" si="2"/>
        <v>10950000</v>
      </c>
      <c r="K24" s="50">
        <f t="shared" si="2"/>
        <v>7500000</v>
      </c>
      <c r="L24" s="50">
        <f t="shared" si="2"/>
        <v>18000000</v>
      </c>
      <c r="M24" s="50">
        <f t="shared" si="2"/>
        <v>79000000</v>
      </c>
      <c r="N24" s="50">
        <f t="shared" si="2"/>
        <v>115450000</v>
      </c>
      <c r="O24" s="50">
        <f t="shared" si="2"/>
        <v>190776000</v>
      </c>
      <c r="P24" s="50"/>
      <c r="Q24" s="50"/>
      <c r="R24" s="45">
        <f>SUM(R9:R23)</f>
        <v>2917520</v>
      </c>
      <c r="S24" s="50">
        <f>SUM(S9:S23)</f>
        <v>7909230</v>
      </c>
      <c r="T24" s="45">
        <f>SUM(T9:T23)</f>
        <v>0</v>
      </c>
      <c r="U24" s="45">
        <f>SUM(U9:U23)</f>
        <v>179949250</v>
      </c>
      <c r="V24" s="41"/>
    </row>
    <row r="26" spans="2:22" x14ac:dyDescent="0.3">
      <c r="R26" s="255">
        <f>WORKDAY.INTL(EOMONTH(DATE(M5,K5,1),0)+1,-1,IF(CHE_DO_NGHI=1,1,11),INDEX(DATA_NGHI_LE[],0,1))</f>
        <v>45016</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33EA7-1C92-4DB7-B14E-79E28BAB794B}">
  <sheetPr codeName="Sheet29">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4</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20</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8000000</v>
      </c>
      <c r="H9" s="49">
        <v>20</v>
      </c>
      <c r="I9" s="49">
        <f t="shared" ref="I9:I23" si="0">G9*H9/$V$6</f>
        <v>8000000</v>
      </c>
      <c r="J9" s="49">
        <v>730000</v>
      </c>
      <c r="K9" s="49">
        <v>500000</v>
      </c>
      <c r="L9" s="49">
        <v>1200000</v>
      </c>
      <c r="M9" s="49">
        <v>30000000</v>
      </c>
      <c r="N9" s="49">
        <v>32430000</v>
      </c>
      <c r="O9" s="49">
        <v>40430000</v>
      </c>
      <c r="P9" s="49">
        <v>11000000</v>
      </c>
      <c r="Q9" s="49">
        <v>3600000</v>
      </c>
      <c r="R9" s="49">
        <f>IF(S9=0,O9*10%,SUMPRODUCT(--TEXT(O9-P9-Q9-{0,5,10,18,32,52,80}*10^6,"#;\0;\0"))*5%)</f>
        <v>3516000</v>
      </c>
      <c r="S9" s="49">
        <v>525798</v>
      </c>
      <c r="T9" s="49"/>
      <c r="U9" s="49">
        <f t="shared" ref="U9:U23" si="1">O9-R9-S9-T9</f>
        <v>36388202</v>
      </c>
      <c r="V9" s="44"/>
    </row>
    <row r="10" spans="2:22" x14ac:dyDescent="0.3">
      <c r="B10" s="52">
        <v>2</v>
      </c>
      <c r="C10" s="48" t="s">
        <v>14</v>
      </c>
      <c r="D10" s="48" t="s">
        <v>15</v>
      </c>
      <c r="E10" s="48" t="s">
        <v>438</v>
      </c>
      <c r="F10" s="48" t="s">
        <v>16</v>
      </c>
      <c r="G10" s="49">
        <v>8500000</v>
      </c>
      <c r="H10" s="49">
        <v>20</v>
      </c>
      <c r="I10" s="49">
        <f t="shared" si="0"/>
        <v>8500000</v>
      </c>
      <c r="J10" s="49">
        <v>730000</v>
      </c>
      <c r="K10" s="49">
        <v>500000</v>
      </c>
      <c r="L10" s="49">
        <v>1200000</v>
      </c>
      <c r="M10" s="49">
        <v>3500000</v>
      </c>
      <c r="N10" s="49">
        <v>5930000</v>
      </c>
      <c r="O10" s="49">
        <v>14430000</v>
      </c>
      <c r="P10" s="49">
        <v>11000000</v>
      </c>
      <c r="Q10" s="49">
        <v>3600000</v>
      </c>
      <c r="R10" s="49">
        <f>IF(S10=0,O10*10%,SUMPRODUCT(--TEXT(O10-P10-Q10-{0,5,10,18,32,52,80}*10^6,"#;\0;\0"))*5%)</f>
        <v>0</v>
      </c>
      <c r="S10" s="49">
        <v>525798</v>
      </c>
      <c r="T10" s="49"/>
      <c r="U10" s="49">
        <f t="shared" si="1"/>
        <v>13904202</v>
      </c>
      <c r="V10" s="44"/>
    </row>
    <row r="11" spans="2:22" x14ac:dyDescent="0.3">
      <c r="B11" s="52">
        <v>3</v>
      </c>
      <c r="C11" s="48" t="s">
        <v>19</v>
      </c>
      <c r="D11" s="48" t="s">
        <v>20</v>
      </c>
      <c r="E11" s="48" t="s">
        <v>438</v>
      </c>
      <c r="F11" s="48" t="s">
        <v>21</v>
      </c>
      <c r="G11" s="49">
        <v>8500000</v>
      </c>
      <c r="H11" s="49">
        <v>20</v>
      </c>
      <c r="I11" s="49">
        <f t="shared" si="0"/>
        <v>8500000</v>
      </c>
      <c r="J11" s="49">
        <v>730000</v>
      </c>
      <c r="K11" s="49">
        <v>500000</v>
      </c>
      <c r="L11" s="49">
        <v>1200000</v>
      </c>
      <c r="M11" s="49">
        <v>3500000</v>
      </c>
      <c r="N11" s="49">
        <v>5930000</v>
      </c>
      <c r="O11" s="49">
        <v>14430000</v>
      </c>
      <c r="P11" s="49">
        <v>11000000</v>
      </c>
      <c r="Q11" s="49">
        <v>3600000</v>
      </c>
      <c r="R11" s="49">
        <f>IF(S11=0,O11*10%,SUMPRODUCT(--TEXT(O11-P11-Q11-{0,5,10,18,32,52,80}*10^6,"#;\0;\0"))*5%)</f>
        <v>0</v>
      </c>
      <c r="S11" s="49">
        <v>525798</v>
      </c>
      <c r="T11" s="49"/>
      <c r="U11" s="49">
        <f t="shared" si="1"/>
        <v>13904202</v>
      </c>
      <c r="V11" s="44"/>
    </row>
    <row r="12" spans="2:22" x14ac:dyDescent="0.3">
      <c r="B12" s="52">
        <v>4</v>
      </c>
      <c r="C12" s="48" t="s">
        <v>24</v>
      </c>
      <c r="D12" s="48" t="s">
        <v>25</v>
      </c>
      <c r="E12" s="48" t="s">
        <v>439</v>
      </c>
      <c r="F12" s="48" t="s">
        <v>26</v>
      </c>
      <c r="G12" s="49">
        <v>5007600</v>
      </c>
      <c r="H12" s="49">
        <v>20</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20</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20</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20</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20</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20</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20</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20</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20</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20</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20</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20</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85303200</v>
      </c>
      <c r="H24" s="50">
        <f t="shared" si="2"/>
        <v>300</v>
      </c>
      <c r="I24" s="50">
        <f t="shared" si="2"/>
        <v>85303200</v>
      </c>
      <c r="J24" s="50">
        <f t="shared" si="2"/>
        <v>10950000</v>
      </c>
      <c r="K24" s="50">
        <f t="shared" si="2"/>
        <v>7500000</v>
      </c>
      <c r="L24" s="50">
        <f t="shared" si="2"/>
        <v>18000000</v>
      </c>
      <c r="M24" s="50">
        <f t="shared" si="2"/>
        <v>79000000</v>
      </c>
      <c r="N24" s="50">
        <f t="shared" si="2"/>
        <v>115450000</v>
      </c>
      <c r="O24" s="50">
        <f t="shared" si="2"/>
        <v>200753200</v>
      </c>
      <c r="P24" s="50"/>
      <c r="Q24" s="50"/>
      <c r="R24" s="45">
        <f>SUM(R9:R23)</f>
        <v>3516000</v>
      </c>
      <c r="S24" s="50">
        <f>SUM(S9:S23)</f>
        <v>7909230</v>
      </c>
      <c r="T24" s="45">
        <f>SUM(T9:T23)</f>
        <v>0</v>
      </c>
      <c r="U24" s="45">
        <f>SUM(U9:U23)</f>
        <v>189327970</v>
      </c>
      <c r="V24" s="41"/>
    </row>
    <row r="26" spans="2:22" x14ac:dyDescent="0.3">
      <c r="R26" s="255">
        <f>WORKDAY.INTL(EOMONTH(DATE(M5,K5,1),0)+1,-1,IF(CHE_DO_NGHI=1,1,11),INDEX(DATA_NGHI_LE[],0,1))</f>
        <v>45044</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4C202-D12C-4ACB-A483-2C05430BC687}">
  <sheetPr codeName="Sheet30">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5</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23</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8000000</v>
      </c>
      <c r="H9" s="49">
        <v>23</v>
      </c>
      <c r="I9" s="49">
        <f t="shared" ref="I9:I23" si="0">G9*H9/$V$6</f>
        <v>8000000</v>
      </c>
      <c r="J9" s="49">
        <v>730000</v>
      </c>
      <c r="K9" s="49">
        <v>500000</v>
      </c>
      <c r="L9" s="49">
        <v>1200000</v>
      </c>
      <c r="M9" s="49">
        <v>30000000</v>
      </c>
      <c r="N9" s="49">
        <v>32430000</v>
      </c>
      <c r="O9" s="49">
        <v>40430000</v>
      </c>
      <c r="P9" s="49">
        <v>11000000</v>
      </c>
      <c r="Q9" s="49">
        <v>3600000</v>
      </c>
      <c r="R9" s="49">
        <f>IF(S9=0,O9*10%,SUMPRODUCT(--TEXT(O9-P9-Q9-{0,5,10,18,32,52,80}*10^6,"#;\0;\0"))*5%)</f>
        <v>3516000</v>
      </c>
      <c r="S9" s="49">
        <v>525798</v>
      </c>
      <c r="T9" s="49"/>
      <c r="U9" s="49">
        <f t="shared" ref="U9:U23" si="1">O9-R9-S9-T9</f>
        <v>36388202</v>
      </c>
      <c r="V9" s="44"/>
    </row>
    <row r="10" spans="2:22" x14ac:dyDescent="0.3">
      <c r="B10" s="52">
        <v>2</v>
      </c>
      <c r="C10" s="48" t="s">
        <v>14</v>
      </c>
      <c r="D10" s="48" t="s">
        <v>15</v>
      </c>
      <c r="E10" s="48" t="s">
        <v>438</v>
      </c>
      <c r="F10" s="48" t="s">
        <v>16</v>
      </c>
      <c r="G10" s="49">
        <v>8500000</v>
      </c>
      <c r="H10" s="49">
        <v>23</v>
      </c>
      <c r="I10" s="49">
        <f t="shared" si="0"/>
        <v>8500000</v>
      </c>
      <c r="J10" s="49">
        <v>730000</v>
      </c>
      <c r="K10" s="49">
        <v>500000</v>
      </c>
      <c r="L10" s="49">
        <v>1200000</v>
      </c>
      <c r="M10" s="49">
        <v>3500000</v>
      </c>
      <c r="N10" s="49">
        <v>5930000</v>
      </c>
      <c r="O10" s="49">
        <v>14430000</v>
      </c>
      <c r="P10" s="49">
        <v>11000000</v>
      </c>
      <c r="Q10" s="49">
        <v>3600000</v>
      </c>
      <c r="R10" s="49">
        <f>IF(S10=0,O10*10%,SUMPRODUCT(--TEXT(O10-P10-Q10-{0,5,10,18,32,52,80}*10^6,"#;\0;\0"))*5%)</f>
        <v>0</v>
      </c>
      <c r="S10" s="49">
        <v>525798</v>
      </c>
      <c r="T10" s="49"/>
      <c r="U10" s="49">
        <f t="shared" si="1"/>
        <v>13904202</v>
      </c>
      <c r="V10" s="44"/>
    </row>
    <row r="11" spans="2:22" x14ac:dyDescent="0.3">
      <c r="B11" s="52">
        <v>3</v>
      </c>
      <c r="C11" s="48" t="s">
        <v>19</v>
      </c>
      <c r="D11" s="48" t="s">
        <v>20</v>
      </c>
      <c r="E11" s="48" t="s">
        <v>438</v>
      </c>
      <c r="F11" s="48" t="s">
        <v>21</v>
      </c>
      <c r="G11" s="49">
        <v>8500000</v>
      </c>
      <c r="H11" s="49">
        <v>23</v>
      </c>
      <c r="I11" s="49">
        <f t="shared" si="0"/>
        <v>8500000</v>
      </c>
      <c r="J11" s="49">
        <v>730000</v>
      </c>
      <c r="K11" s="49">
        <v>500000</v>
      </c>
      <c r="L11" s="49">
        <v>1200000</v>
      </c>
      <c r="M11" s="49">
        <v>3500000</v>
      </c>
      <c r="N11" s="49">
        <v>5930000</v>
      </c>
      <c r="O11" s="49">
        <v>14430000</v>
      </c>
      <c r="P11" s="49">
        <v>11000000</v>
      </c>
      <c r="Q11" s="49">
        <v>3600000</v>
      </c>
      <c r="R11" s="49">
        <f>IF(S11=0,O11*10%,SUMPRODUCT(--TEXT(O11-P11-Q11-{0,5,10,18,32,52,80}*10^6,"#;\0;\0"))*5%)</f>
        <v>0</v>
      </c>
      <c r="S11" s="49">
        <v>525798</v>
      </c>
      <c r="T11" s="49"/>
      <c r="U11" s="49">
        <f t="shared" si="1"/>
        <v>13904202</v>
      </c>
      <c r="V11" s="44"/>
    </row>
    <row r="12" spans="2:22" x14ac:dyDescent="0.3">
      <c r="B12" s="52">
        <v>4</v>
      </c>
      <c r="C12" s="48" t="s">
        <v>24</v>
      </c>
      <c r="D12" s="48" t="s">
        <v>25</v>
      </c>
      <c r="E12" s="48" t="s">
        <v>439</v>
      </c>
      <c r="F12" s="48" t="s">
        <v>26</v>
      </c>
      <c r="G12" s="49">
        <v>5007600</v>
      </c>
      <c r="H12" s="49">
        <v>23</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23</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23</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23</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23</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23</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23</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23</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23</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23</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23</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23</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85303200</v>
      </c>
      <c r="H24" s="50">
        <f t="shared" si="2"/>
        <v>345</v>
      </c>
      <c r="I24" s="50">
        <f t="shared" si="2"/>
        <v>85303200</v>
      </c>
      <c r="J24" s="50">
        <f t="shared" si="2"/>
        <v>10950000</v>
      </c>
      <c r="K24" s="50">
        <f t="shared" si="2"/>
        <v>7500000</v>
      </c>
      <c r="L24" s="50">
        <f t="shared" si="2"/>
        <v>18000000</v>
      </c>
      <c r="M24" s="50">
        <f t="shared" si="2"/>
        <v>79000000</v>
      </c>
      <c r="N24" s="50">
        <f t="shared" si="2"/>
        <v>115450000</v>
      </c>
      <c r="O24" s="50">
        <f t="shared" si="2"/>
        <v>200753200</v>
      </c>
      <c r="P24" s="50"/>
      <c r="Q24" s="50"/>
      <c r="R24" s="45">
        <f>SUM(R9:R23)</f>
        <v>3516000</v>
      </c>
      <c r="S24" s="50">
        <f>SUM(S9:S23)</f>
        <v>7909230</v>
      </c>
      <c r="T24" s="45">
        <f>SUM(T9:T23)</f>
        <v>0</v>
      </c>
      <c r="U24" s="45">
        <f>SUM(U9:U23)</f>
        <v>189327970</v>
      </c>
      <c r="V24" s="41"/>
    </row>
    <row r="26" spans="2:22" x14ac:dyDescent="0.3">
      <c r="R26" s="255">
        <f>WORKDAY.INTL(EOMONTH(DATE(M5,K5,1),0)+1,-1,IF(CHE_DO_NGHI=1,1,11),INDEX(DATA_NGHI_LE[],0,1))</f>
        <v>45077</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98EA-358C-41D0-8729-B577668BC013}">
  <sheetPr codeName="Sheet31">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6</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22</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8000000</v>
      </c>
      <c r="H9" s="49">
        <v>22</v>
      </c>
      <c r="I9" s="49">
        <f t="shared" ref="I9:I23" si="0">G9*H9/$V$6</f>
        <v>8000000</v>
      </c>
      <c r="J9" s="49">
        <v>730000</v>
      </c>
      <c r="K9" s="49">
        <v>500000</v>
      </c>
      <c r="L9" s="49">
        <v>1200000</v>
      </c>
      <c r="M9" s="49">
        <v>30000000</v>
      </c>
      <c r="N9" s="49">
        <v>32430000</v>
      </c>
      <c r="O9" s="49">
        <v>40430000</v>
      </c>
      <c r="P9" s="49">
        <v>11000000</v>
      </c>
      <c r="Q9" s="49">
        <v>3600000</v>
      </c>
      <c r="R9" s="49">
        <f>IF(S9=0,O9*10%,SUMPRODUCT(--TEXT(O9-P9-Q9-{0,5,10,18,32,52,80}*10^6,"#;\0;\0"))*5%)</f>
        <v>3516000</v>
      </c>
      <c r="S9" s="49">
        <v>525798</v>
      </c>
      <c r="T9" s="49"/>
      <c r="U9" s="49">
        <f t="shared" ref="U9:U23" si="1">O9-R9-S9-T9</f>
        <v>36388202</v>
      </c>
      <c r="V9" s="44"/>
    </row>
    <row r="10" spans="2:22" x14ac:dyDescent="0.3">
      <c r="B10" s="52">
        <v>2</v>
      </c>
      <c r="C10" s="48" t="s">
        <v>14</v>
      </c>
      <c r="D10" s="48" t="s">
        <v>15</v>
      </c>
      <c r="E10" s="48" t="s">
        <v>438</v>
      </c>
      <c r="F10" s="48" t="s">
        <v>16</v>
      </c>
      <c r="G10" s="49">
        <v>8500000</v>
      </c>
      <c r="H10" s="49">
        <v>22</v>
      </c>
      <c r="I10" s="49">
        <f t="shared" si="0"/>
        <v>8500000</v>
      </c>
      <c r="J10" s="49">
        <v>730000</v>
      </c>
      <c r="K10" s="49">
        <v>500000</v>
      </c>
      <c r="L10" s="49">
        <v>1200000</v>
      </c>
      <c r="M10" s="49">
        <v>3500000</v>
      </c>
      <c r="N10" s="49">
        <v>5930000</v>
      </c>
      <c r="O10" s="49">
        <v>14430000</v>
      </c>
      <c r="P10" s="49">
        <v>11000000</v>
      </c>
      <c r="Q10" s="49">
        <v>3600000</v>
      </c>
      <c r="R10" s="49">
        <f>IF(S10=0,O10*10%,SUMPRODUCT(--TEXT(O10-P10-Q10-{0,5,10,18,32,52,80}*10^6,"#;\0;\0"))*5%)</f>
        <v>0</v>
      </c>
      <c r="S10" s="49">
        <v>525798</v>
      </c>
      <c r="T10" s="49"/>
      <c r="U10" s="49">
        <f t="shared" si="1"/>
        <v>13904202</v>
      </c>
      <c r="V10" s="44"/>
    </row>
    <row r="11" spans="2:22" x14ac:dyDescent="0.3">
      <c r="B11" s="52">
        <v>3</v>
      </c>
      <c r="C11" s="48" t="s">
        <v>19</v>
      </c>
      <c r="D11" s="48" t="s">
        <v>20</v>
      </c>
      <c r="E11" s="48" t="s">
        <v>438</v>
      </c>
      <c r="F11" s="48" t="s">
        <v>21</v>
      </c>
      <c r="G11" s="49">
        <v>8500000</v>
      </c>
      <c r="H11" s="49">
        <v>22</v>
      </c>
      <c r="I11" s="49">
        <f t="shared" si="0"/>
        <v>8500000</v>
      </c>
      <c r="J11" s="49">
        <v>730000</v>
      </c>
      <c r="K11" s="49">
        <v>500000</v>
      </c>
      <c r="L11" s="49">
        <v>1200000</v>
      </c>
      <c r="M11" s="49">
        <v>3500000</v>
      </c>
      <c r="N11" s="49">
        <v>5930000</v>
      </c>
      <c r="O11" s="49">
        <v>14430000</v>
      </c>
      <c r="P11" s="49">
        <v>11000000</v>
      </c>
      <c r="Q11" s="49">
        <v>3600000</v>
      </c>
      <c r="R11" s="49">
        <f>IF(S11=0,O11*10%,SUMPRODUCT(--TEXT(O11-P11-Q11-{0,5,10,18,32,52,80}*10^6,"#;\0;\0"))*5%)</f>
        <v>0</v>
      </c>
      <c r="S11" s="49">
        <v>525798</v>
      </c>
      <c r="T11" s="49"/>
      <c r="U11" s="49">
        <f t="shared" si="1"/>
        <v>13904202</v>
      </c>
      <c r="V11" s="44"/>
    </row>
    <row r="12" spans="2:22" x14ac:dyDescent="0.3">
      <c r="B12" s="52">
        <v>4</v>
      </c>
      <c r="C12" s="48" t="s">
        <v>24</v>
      </c>
      <c r="D12" s="48" t="s">
        <v>25</v>
      </c>
      <c r="E12" s="48" t="s">
        <v>439</v>
      </c>
      <c r="F12" s="48" t="s">
        <v>26</v>
      </c>
      <c r="G12" s="49">
        <v>5007600</v>
      </c>
      <c r="H12" s="49">
        <v>22</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22</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22</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22</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22</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22</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22</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22</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22</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22</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22</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22</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85303200</v>
      </c>
      <c r="H24" s="50">
        <f t="shared" si="2"/>
        <v>330</v>
      </c>
      <c r="I24" s="50">
        <f t="shared" si="2"/>
        <v>85303200</v>
      </c>
      <c r="J24" s="50">
        <f t="shared" si="2"/>
        <v>10950000</v>
      </c>
      <c r="K24" s="50">
        <f t="shared" si="2"/>
        <v>7500000</v>
      </c>
      <c r="L24" s="50">
        <f t="shared" si="2"/>
        <v>18000000</v>
      </c>
      <c r="M24" s="50">
        <f t="shared" si="2"/>
        <v>79000000</v>
      </c>
      <c r="N24" s="50">
        <f t="shared" si="2"/>
        <v>115450000</v>
      </c>
      <c r="O24" s="50">
        <f t="shared" si="2"/>
        <v>200753200</v>
      </c>
      <c r="P24" s="50"/>
      <c r="Q24" s="50"/>
      <c r="R24" s="45">
        <f>SUM(R9:R23)</f>
        <v>3516000</v>
      </c>
      <c r="S24" s="50">
        <f>SUM(S9:S23)</f>
        <v>7909230</v>
      </c>
      <c r="T24" s="45">
        <f>SUM(T9:T23)</f>
        <v>0</v>
      </c>
      <c r="U24" s="45">
        <f>SUM(U9:U23)</f>
        <v>189327970</v>
      </c>
      <c r="V24" s="41"/>
    </row>
    <row r="26" spans="2:22" x14ac:dyDescent="0.3">
      <c r="R26" s="255">
        <f>WORKDAY.INTL(EOMONTH(DATE(M5,K5,1),0)+1,-1,IF(CHE_DO_NGHI=1,1,11),INDEX(DATA_NGHI_LE[],0,1))</f>
        <v>45107</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08B90-E75C-4E67-A9D1-F5F87A30A666}">
  <sheetPr codeName="Sheet32">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7</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21</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8000000</v>
      </c>
      <c r="H9" s="49">
        <v>21</v>
      </c>
      <c r="I9" s="49">
        <f t="shared" ref="I9:I23" si="0">G9*H9/$V$6</f>
        <v>8000000</v>
      </c>
      <c r="J9" s="49">
        <v>730000</v>
      </c>
      <c r="K9" s="49">
        <v>500000</v>
      </c>
      <c r="L9" s="49">
        <v>1200000</v>
      </c>
      <c r="M9" s="49">
        <v>30000000</v>
      </c>
      <c r="N9" s="49">
        <v>32430000</v>
      </c>
      <c r="O9" s="49">
        <v>40430000</v>
      </c>
      <c r="P9" s="49">
        <v>11000000</v>
      </c>
      <c r="Q9" s="49">
        <v>3600000</v>
      </c>
      <c r="R9" s="49">
        <f>IF(S9=0,O9*10%,SUMPRODUCT(--TEXT(O9-P9-Q9-{0,5,10,18,32,52,80}*10^6,"#;\0;\0"))*5%)</f>
        <v>3516000</v>
      </c>
      <c r="S9" s="49">
        <v>525798</v>
      </c>
      <c r="T9" s="49"/>
      <c r="U9" s="49">
        <f t="shared" ref="U9:U23" si="1">O9-R9-S9-T9</f>
        <v>36388202</v>
      </c>
      <c r="V9" s="44"/>
    </row>
    <row r="10" spans="2:22" x14ac:dyDescent="0.3">
      <c r="B10" s="52">
        <v>2</v>
      </c>
      <c r="C10" s="48" t="s">
        <v>14</v>
      </c>
      <c r="D10" s="48" t="s">
        <v>15</v>
      </c>
      <c r="E10" s="48" t="s">
        <v>438</v>
      </c>
      <c r="F10" s="48" t="s">
        <v>16</v>
      </c>
      <c r="G10" s="49">
        <v>8500000</v>
      </c>
      <c r="H10" s="49">
        <v>21</v>
      </c>
      <c r="I10" s="49">
        <f t="shared" si="0"/>
        <v>8500000</v>
      </c>
      <c r="J10" s="49">
        <v>730000</v>
      </c>
      <c r="K10" s="49">
        <v>500000</v>
      </c>
      <c r="L10" s="49">
        <v>1200000</v>
      </c>
      <c r="M10" s="49">
        <v>3500000</v>
      </c>
      <c r="N10" s="49">
        <v>5930000</v>
      </c>
      <c r="O10" s="49">
        <v>14430000</v>
      </c>
      <c r="P10" s="49">
        <v>11000000</v>
      </c>
      <c r="Q10" s="49">
        <v>3600000</v>
      </c>
      <c r="R10" s="49">
        <f>IF(S10=0,O10*10%,SUMPRODUCT(--TEXT(O10-P10-Q10-{0,5,10,18,32,52,80}*10^6,"#;\0;\0"))*5%)</f>
        <v>0</v>
      </c>
      <c r="S10" s="49">
        <v>525798</v>
      </c>
      <c r="T10" s="49"/>
      <c r="U10" s="49">
        <f t="shared" si="1"/>
        <v>13904202</v>
      </c>
      <c r="V10" s="44"/>
    </row>
    <row r="11" spans="2:22" x14ac:dyDescent="0.3">
      <c r="B11" s="52">
        <v>3</v>
      </c>
      <c r="C11" s="48" t="s">
        <v>19</v>
      </c>
      <c r="D11" s="48" t="s">
        <v>20</v>
      </c>
      <c r="E11" s="48" t="s">
        <v>438</v>
      </c>
      <c r="F11" s="48" t="s">
        <v>21</v>
      </c>
      <c r="G11" s="49">
        <v>8500000</v>
      </c>
      <c r="H11" s="49">
        <v>21</v>
      </c>
      <c r="I11" s="49">
        <f t="shared" si="0"/>
        <v>8500000</v>
      </c>
      <c r="J11" s="49">
        <v>730000</v>
      </c>
      <c r="K11" s="49">
        <v>500000</v>
      </c>
      <c r="L11" s="49">
        <v>1200000</v>
      </c>
      <c r="M11" s="49">
        <v>3500000</v>
      </c>
      <c r="N11" s="49">
        <v>5930000</v>
      </c>
      <c r="O11" s="49">
        <v>14430000</v>
      </c>
      <c r="P11" s="49">
        <v>11000000</v>
      </c>
      <c r="Q11" s="49">
        <v>3600000</v>
      </c>
      <c r="R11" s="49">
        <f>IF(S11=0,O11*10%,SUMPRODUCT(--TEXT(O11-P11-Q11-{0,5,10,18,32,52,80}*10^6,"#;\0;\0"))*5%)</f>
        <v>0</v>
      </c>
      <c r="S11" s="49">
        <v>525798</v>
      </c>
      <c r="T11" s="49"/>
      <c r="U11" s="49">
        <f t="shared" si="1"/>
        <v>13904202</v>
      </c>
      <c r="V11" s="44"/>
    </row>
    <row r="12" spans="2:22" x14ac:dyDescent="0.3">
      <c r="B12" s="52">
        <v>4</v>
      </c>
      <c r="C12" s="48" t="s">
        <v>24</v>
      </c>
      <c r="D12" s="48" t="s">
        <v>25</v>
      </c>
      <c r="E12" s="48" t="s">
        <v>439</v>
      </c>
      <c r="F12" s="48" t="s">
        <v>26</v>
      </c>
      <c r="G12" s="49">
        <v>5007600</v>
      </c>
      <c r="H12" s="49">
        <v>21</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21</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21</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21</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21</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21</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21</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21</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21</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21</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21</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21</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85303200</v>
      </c>
      <c r="H24" s="50">
        <f t="shared" si="2"/>
        <v>315</v>
      </c>
      <c r="I24" s="50">
        <f t="shared" si="2"/>
        <v>85303200</v>
      </c>
      <c r="J24" s="50">
        <f t="shared" si="2"/>
        <v>10950000</v>
      </c>
      <c r="K24" s="50">
        <f t="shared" si="2"/>
        <v>7500000</v>
      </c>
      <c r="L24" s="50">
        <f t="shared" si="2"/>
        <v>18000000</v>
      </c>
      <c r="M24" s="50">
        <f t="shared" si="2"/>
        <v>79000000</v>
      </c>
      <c r="N24" s="50">
        <f t="shared" si="2"/>
        <v>115450000</v>
      </c>
      <c r="O24" s="50">
        <f t="shared" si="2"/>
        <v>200753200</v>
      </c>
      <c r="P24" s="50"/>
      <c r="Q24" s="50"/>
      <c r="R24" s="45">
        <f>SUM(R9:R23)</f>
        <v>3516000</v>
      </c>
      <c r="S24" s="50">
        <f>SUM(S9:S23)</f>
        <v>7909230</v>
      </c>
      <c r="T24" s="45">
        <f>SUM(T9:T23)</f>
        <v>0</v>
      </c>
      <c r="U24" s="45">
        <f>SUM(U9:U23)</f>
        <v>189327970</v>
      </c>
      <c r="V24" s="41"/>
    </row>
    <row r="26" spans="2:22" x14ac:dyDescent="0.3">
      <c r="R26" s="255">
        <f>WORKDAY.INTL(EOMONTH(DATE(M5,K5,1),0)+1,-1,IF(CHE_DO_NGHI=1,1,11),INDEX(DATA_NGHI_LE[],0,1))</f>
        <v>45138</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4CE9B-E1DB-49A3-A342-C80AFC81A335}">
  <sheetPr codeName="Sheet33">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8</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23</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10000000</v>
      </c>
      <c r="H9" s="49">
        <v>23</v>
      </c>
      <c r="I9" s="49">
        <f t="shared" ref="I9:I23" si="0">G9*H9/$V$6</f>
        <v>10000000</v>
      </c>
      <c r="J9" s="49">
        <v>730000</v>
      </c>
      <c r="K9" s="49">
        <v>500000</v>
      </c>
      <c r="L9" s="49">
        <v>1200000</v>
      </c>
      <c r="M9" s="49">
        <v>30000000</v>
      </c>
      <c r="N9" s="49">
        <v>32430000</v>
      </c>
      <c r="O9" s="49">
        <v>42430000</v>
      </c>
      <c r="P9" s="49">
        <v>11000000</v>
      </c>
      <c r="Q9" s="49">
        <v>3600000</v>
      </c>
      <c r="R9" s="49">
        <f>IF(S9=0,O9*10%,SUMPRODUCT(--TEXT(O9-P9-Q9-{0,5,10,18,32,52,80}*10^6,"#;\0;\0"))*5%)</f>
        <v>3916000</v>
      </c>
      <c r="S9" s="49">
        <v>525798</v>
      </c>
      <c r="T9" s="49"/>
      <c r="U9" s="49">
        <f t="shared" ref="U9:U23" si="1">O9-R9-S9-T9</f>
        <v>37988202</v>
      </c>
      <c r="V9" s="44"/>
    </row>
    <row r="10" spans="2:22" x14ac:dyDescent="0.3">
      <c r="B10" s="52">
        <v>2</v>
      </c>
      <c r="C10" s="48" t="s">
        <v>14</v>
      </c>
      <c r="D10" s="48" t="s">
        <v>15</v>
      </c>
      <c r="E10" s="48" t="s">
        <v>438</v>
      </c>
      <c r="F10" s="48" t="s">
        <v>16</v>
      </c>
      <c r="G10" s="49">
        <v>11000000</v>
      </c>
      <c r="H10" s="49">
        <v>23</v>
      </c>
      <c r="I10" s="49">
        <f t="shared" si="0"/>
        <v>11000000</v>
      </c>
      <c r="J10" s="49">
        <v>730000</v>
      </c>
      <c r="K10" s="49">
        <v>500000</v>
      </c>
      <c r="L10" s="49">
        <v>1200000</v>
      </c>
      <c r="M10" s="49">
        <v>3500000</v>
      </c>
      <c r="N10" s="49">
        <v>5930000</v>
      </c>
      <c r="O10" s="49">
        <v>16930000</v>
      </c>
      <c r="P10" s="49">
        <v>11000000</v>
      </c>
      <c r="Q10" s="49">
        <v>3600000</v>
      </c>
      <c r="R10" s="49">
        <f>IF(S10=0,O10*10%,SUMPRODUCT(--TEXT(O10-P10-Q10-{0,5,10,18,32,52,80}*10^6,"#;\0;\0"))*5%)</f>
        <v>116500</v>
      </c>
      <c r="S10" s="49">
        <v>525798</v>
      </c>
      <c r="T10" s="49"/>
      <c r="U10" s="49">
        <f t="shared" si="1"/>
        <v>16287702</v>
      </c>
      <c r="V10" s="44"/>
    </row>
    <row r="11" spans="2:22" x14ac:dyDescent="0.3">
      <c r="B11" s="52">
        <v>3</v>
      </c>
      <c r="C11" s="48" t="s">
        <v>19</v>
      </c>
      <c r="D11" s="48" t="s">
        <v>20</v>
      </c>
      <c r="E11" s="48" t="s">
        <v>438</v>
      </c>
      <c r="F11" s="48" t="s">
        <v>21</v>
      </c>
      <c r="G11" s="49">
        <v>11000000</v>
      </c>
      <c r="H11" s="49">
        <v>23</v>
      </c>
      <c r="I11" s="49">
        <f t="shared" si="0"/>
        <v>11000000</v>
      </c>
      <c r="J11" s="49">
        <v>730000</v>
      </c>
      <c r="K11" s="49">
        <v>500000</v>
      </c>
      <c r="L11" s="49">
        <v>1200000</v>
      </c>
      <c r="M11" s="49">
        <v>3500000</v>
      </c>
      <c r="N11" s="49">
        <v>5930000</v>
      </c>
      <c r="O11" s="49">
        <v>16930000</v>
      </c>
      <c r="P11" s="49">
        <v>11000000</v>
      </c>
      <c r="Q11" s="49">
        <v>3600000</v>
      </c>
      <c r="R11" s="49">
        <f>IF(S11=0,O11*10%,SUMPRODUCT(--TEXT(O11-P11-Q11-{0,5,10,18,32,52,80}*10^6,"#;\0;\0"))*5%)</f>
        <v>116500</v>
      </c>
      <c r="S11" s="49">
        <v>525798</v>
      </c>
      <c r="T11" s="49"/>
      <c r="U11" s="49">
        <f t="shared" si="1"/>
        <v>16287702</v>
      </c>
      <c r="V11" s="44"/>
    </row>
    <row r="12" spans="2:22" x14ac:dyDescent="0.3">
      <c r="B12" s="52">
        <v>4</v>
      </c>
      <c r="C12" s="48" t="s">
        <v>24</v>
      </c>
      <c r="D12" s="48" t="s">
        <v>25</v>
      </c>
      <c r="E12" s="48" t="s">
        <v>439</v>
      </c>
      <c r="F12" s="48" t="s">
        <v>26</v>
      </c>
      <c r="G12" s="49">
        <v>5007600</v>
      </c>
      <c r="H12" s="49">
        <v>23</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23</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23</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23</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23</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23</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23</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23</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23</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23</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23</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23</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92303200</v>
      </c>
      <c r="H24" s="50">
        <f t="shared" si="2"/>
        <v>345</v>
      </c>
      <c r="I24" s="50">
        <f t="shared" si="2"/>
        <v>92303200</v>
      </c>
      <c r="J24" s="50">
        <f t="shared" si="2"/>
        <v>10950000</v>
      </c>
      <c r="K24" s="50">
        <f t="shared" si="2"/>
        <v>7500000</v>
      </c>
      <c r="L24" s="50">
        <f t="shared" si="2"/>
        <v>18000000</v>
      </c>
      <c r="M24" s="50">
        <f t="shared" si="2"/>
        <v>79000000</v>
      </c>
      <c r="N24" s="50">
        <f t="shared" si="2"/>
        <v>115450000</v>
      </c>
      <c r="O24" s="50">
        <f t="shared" si="2"/>
        <v>207753200</v>
      </c>
      <c r="P24" s="50"/>
      <c r="Q24" s="50"/>
      <c r="R24" s="45">
        <f>SUM(R9:R23)</f>
        <v>4149000</v>
      </c>
      <c r="S24" s="50">
        <f>SUM(S9:S23)</f>
        <v>7909230</v>
      </c>
      <c r="T24" s="45">
        <f>SUM(T9:T23)</f>
        <v>0</v>
      </c>
      <c r="U24" s="45">
        <f>SUM(U9:U23)</f>
        <v>195694970</v>
      </c>
      <c r="V24" s="41"/>
    </row>
    <row r="26" spans="2:22" x14ac:dyDescent="0.3">
      <c r="R26" s="255">
        <f>WORKDAY.INTL(EOMONTH(DATE(M5,K5,1),0)+1,-1,IF(CHE_DO_NGHI=1,1,11),INDEX(DATA_NGHI_LE[],0,1))</f>
        <v>45169</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B22B4-7F89-4237-ABA6-F2C6E0344983}">
  <sheetPr codeName="Sheet34">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9</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21</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10000000</v>
      </c>
      <c r="H9" s="49">
        <v>21</v>
      </c>
      <c r="I9" s="49">
        <f t="shared" ref="I9:I23" si="0">G9*H9/$V$6</f>
        <v>10000000</v>
      </c>
      <c r="J9" s="49">
        <v>730000</v>
      </c>
      <c r="K9" s="49">
        <v>500000</v>
      </c>
      <c r="L9" s="49">
        <v>1200000</v>
      </c>
      <c r="M9" s="49">
        <v>30000000</v>
      </c>
      <c r="N9" s="49">
        <v>32430000</v>
      </c>
      <c r="O9" s="49">
        <v>42430000</v>
      </c>
      <c r="P9" s="49">
        <v>11000000</v>
      </c>
      <c r="Q9" s="49">
        <v>3600000</v>
      </c>
      <c r="R9" s="49">
        <f>IF(S9=0,O9*10%,SUMPRODUCT(--TEXT(O9-P9-Q9-{0,5,10,18,32,52,80}*10^6,"#;\0;\0"))*5%)</f>
        <v>3916000</v>
      </c>
      <c r="S9" s="49">
        <v>525798</v>
      </c>
      <c r="T9" s="49"/>
      <c r="U9" s="49">
        <f t="shared" ref="U9:U23" si="1">O9-R9-S9-T9</f>
        <v>37988202</v>
      </c>
      <c r="V9" s="44"/>
    </row>
    <row r="10" spans="2:22" x14ac:dyDescent="0.3">
      <c r="B10" s="52">
        <v>2</v>
      </c>
      <c r="C10" s="48" t="s">
        <v>14</v>
      </c>
      <c r="D10" s="48" t="s">
        <v>15</v>
      </c>
      <c r="E10" s="48" t="s">
        <v>438</v>
      </c>
      <c r="F10" s="48" t="s">
        <v>16</v>
      </c>
      <c r="G10" s="49">
        <v>11000000</v>
      </c>
      <c r="H10" s="49">
        <v>21</v>
      </c>
      <c r="I10" s="49">
        <f t="shared" si="0"/>
        <v>11000000</v>
      </c>
      <c r="J10" s="49">
        <v>730000</v>
      </c>
      <c r="K10" s="49">
        <v>500000</v>
      </c>
      <c r="L10" s="49">
        <v>1200000</v>
      </c>
      <c r="M10" s="49">
        <v>3500000</v>
      </c>
      <c r="N10" s="49">
        <v>5930000</v>
      </c>
      <c r="O10" s="49">
        <v>16930000</v>
      </c>
      <c r="P10" s="49">
        <v>11000000</v>
      </c>
      <c r="Q10" s="49">
        <v>3600000</v>
      </c>
      <c r="R10" s="49">
        <f>IF(S10=0,O10*10%,SUMPRODUCT(--TEXT(O10-P10-Q10-{0,5,10,18,32,52,80}*10^6,"#;\0;\0"))*5%)</f>
        <v>116500</v>
      </c>
      <c r="S10" s="49">
        <v>525798</v>
      </c>
      <c r="T10" s="49"/>
      <c r="U10" s="49">
        <f t="shared" si="1"/>
        <v>16287702</v>
      </c>
      <c r="V10" s="44"/>
    </row>
    <row r="11" spans="2:22" x14ac:dyDescent="0.3">
      <c r="B11" s="52">
        <v>3</v>
      </c>
      <c r="C11" s="48" t="s">
        <v>19</v>
      </c>
      <c r="D11" s="48" t="s">
        <v>20</v>
      </c>
      <c r="E11" s="48" t="s">
        <v>438</v>
      </c>
      <c r="F11" s="48" t="s">
        <v>21</v>
      </c>
      <c r="G11" s="49">
        <v>11000000</v>
      </c>
      <c r="H11" s="49">
        <v>21</v>
      </c>
      <c r="I11" s="49">
        <f t="shared" si="0"/>
        <v>11000000</v>
      </c>
      <c r="J11" s="49">
        <v>730000</v>
      </c>
      <c r="K11" s="49">
        <v>500000</v>
      </c>
      <c r="L11" s="49">
        <v>1200000</v>
      </c>
      <c r="M11" s="49">
        <v>3500000</v>
      </c>
      <c r="N11" s="49">
        <v>5930000</v>
      </c>
      <c r="O11" s="49">
        <v>16930000</v>
      </c>
      <c r="P11" s="49">
        <v>11000000</v>
      </c>
      <c r="Q11" s="49">
        <v>3600000</v>
      </c>
      <c r="R11" s="49">
        <f>IF(S11=0,O11*10%,SUMPRODUCT(--TEXT(O11-P11-Q11-{0,5,10,18,32,52,80}*10^6,"#;\0;\0"))*5%)</f>
        <v>116500</v>
      </c>
      <c r="S11" s="49">
        <v>525798</v>
      </c>
      <c r="T11" s="49"/>
      <c r="U11" s="49">
        <f t="shared" si="1"/>
        <v>16287702</v>
      </c>
      <c r="V11" s="44"/>
    </row>
    <row r="12" spans="2:22" x14ac:dyDescent="0.3">
      <c r="B12" s="52">
        <v>4</v>
      </c>
      <c r="C12" s="48" t="s">
        <v>24</v>
      </c>
      <c r="D12" s="48" t="s">
        <v>25</v>
      </c>
      <c r="E12" s="48" t="s">
        <v>439</v>
      </c>
      <c r="F12" s="48" t="s">
        <v>26</v>
      </c>
      <c r="G12" s="49">
        <v>5007600</v>
      </c>
      <c r="H12" s="49">
        <v>21</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21</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21</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21</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21</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21</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21</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21</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21</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21</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21</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21</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92303200</v>
      </c>
      <c r="H24" s="50">
        <f t="shared" si="2"/>
        <v>315</v>
      </c>
      <c r="I24" s="50">
        <f t="shared" si="2"/>
        <v>92303200</v>
      </c>
      <c r="J24" s="50">
        <f t="shared" si="2"/>
        <v>10950000</v>
      </c>
      <c r="K24" s="50">
        <f t="shared" si="2"/>
        <v>7500000</v>
      </c>
      <c r="L24" s="50">
        <f t="shared" si="2"/>
        <v>18000000</v>
      </c>
      <c r="M24" s="50">
        <f t="shared" si="2"/>
        <v>79000000</v>
      </c>
      <c r="N24" s="50">
        <f t="shared" si="2"/>
        <v>115450000</v>
      </c>
      <c r="O24" s="50">
        <f t="shared" si="2"/>
        <v>207753200</v>
      </c>
      <c r="P24" s="50"/>
      <c r="Q24" s="50"/>
      <c r="R24" s="45">
        <f>SUM(R9:R23)</f>
        <v>4149000</v>
      </c>
      <c r="S24" s="50">
        <f>SUM(S9:S23)</f>
        <v>7909230</v>
      </c>
      <c r="T24" s="45">
        <f>SUM(T9:T23)</f>
        <v>0</v>
      </c>
      <c r="U24" s="45">
        <f>SUM(U9:U23)</f>
        <v>195694970</v>
      </c>
      <c r="V24" s="41"/>
    </row>
    <row r="26" spans="2:22" x14ac:dyDescent="0.3">
      <c r="R26" s="255">
        <f>WORKDAY.INTL(EOMONTH(DATE(M5,K5,1),0)+1,-1,IF(CHE_DO_NGHI=1,1,11),INDEX(DATA_NGHI_LE[],0,1))</f>
        <v>45198</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DC780-F373-4998-806F-2FA83820E5C3}">
  <sheetPr codeName="Sheet35">
    <pageSetUpPr fitToPage="1"/>
  </sheetPr>
  <dimension ref="B1:V28"/>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10</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22</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10000000</v>
      </c>
      <c r="H9" s="49">
        <v>22</v>
      </c>
      <c r="I9" s="49">
        <f t="shared" ref="I9:I23" si="0">G9*H9/$V$6</f>
        <v>10000000</v>
      </c>
      <c r="J9" s="49">
        <v>730000</v>
      </c>
      <c r="K9" s="49">
        <v>500000</v>
      </c>
      <c r="L9" s="49">
        <v>1200000</v>
      </c>
      <c r="M9" s="49">
        <v>30000000</v>
      </c>
      <c r="N9" s="49">
        <v>32430000</v>
      </c>
      <c r="O9" s="49">
        <v>42430000</v>
      </c>
      <c r="P9" s="49">
        <v>11000000</v>
      </c>
      <c r="Q9" s="49">
        <v>3600000</v>
      </c>
      <c r="R9" s="49">
        <f>IF(S9=0,O9*10%,SUMPRODUCT(--TEXT(O9-P9-Q9-{0,5,10,18,32,52,80}*10^6,"#;\0;\0"))*5%)</f>
        <v>3916000</v>
      </c>
      <c r="S9" s="49">
        <v>525798</v>
      </c>
      <c r="T9" s="49"/>
      <c r="U9" s="49">
        <f t="shared" ref="U9:U23" si="1">O9-R9-S9-T9</f>
        <v>37988202</v>
      </c>
      <c r="V9" s="44"/>
    </row>
    <row r="10" spans="2:22" x14ac:dyDescent="0.3">
      <c r="B10" s="52">
        <v>2</v>
      </c>
      <c r="C10" s="48" t="s">
        <v>14</v>
      </c>
      <c r="D10" s="48" t="s">
        <v>15</v>
      </c>
      <c r="E10" s="48" t="s">
        <v>438</v>
      </c>
      <c r="F10" s="48" t="s">
        <v>16</v>
      </c>
      <c r="G10" s="49">
        <v>11000000</v>
      </c>
      <c r="H10" s="49">
        <v>22</v>
      </c>
      <c r="I10" s="49">
        <f t="shared" si="0"/>
        <v>11000000</v>
      </c>
      <c r="J10" s="49">
        <v>730000</v>
      </c>
      <c r="K10" s="49">
        <v>500000</v>
      </c>
      <c r="L10" s="49">
        <v>1200000</v>
      </c>
      <c r="M10" s="49">
        <v>3500000</v>
      </c>
      <c r="N10" s="49">
        <v>5930000</v>
      </c>
      <c r="O10" s="49">
        <v>16930000</v>
      </c>
      <c r="P10" s="49">
        <v>11000000</v>
      </c>
      <c r="Q10" s="49">
        <v>3600000</v>
      </c>
      <c r="R10" s="49">
        <f>IF(S10=0,O10*10%,SUMPRODUCT(--TEXT(O10-P10-Q10-{0,5,10,18,32,52,80}*10^6,"#;\0;\0"))*5%)</f>
        <v>116500</v>
      </c>
      <c r="S10" s="49">
        <v>525798</v>
      </c>
      <c r="T10" s="49"/>
      <c r="U10" s="49">
        <f t="shared" si="1"/>
        <v>16287702</v>
      </c>
      <c r="V10" s="44"/>
    </row>
    <row r="11" spans="2:22" x14ac:dyDescent="0.3">
      <c r="B11" s="52">
        <v>3</v>
      </c>
      <c r="C11" s="48" t="s">
        <v>19</v>
      </c>
      <c r="D11" s="48" t="s">
        <v>20</v>
      </c>
      <c r="E11" s="48" t="s">
        <v>438</v>
      </c>
      <c r="F11" s="48" t="s">
        <v>21</v>
      </c>
      <c r="G11" s="49">
        <v>11000000</v>
      </c>
      <c r="H11" s="49">
        <v>22</v>
      </c>
      <c r="I11" s="49">
        <f t="shared" si="0"/>
        <v>11000000</v>
      </c>
      <c r="J11" s="49">
        <v>730000</v>
      </c>
      <c r="K11" s="49">
        <v>500000</v>
      </c>
      <c r="L11" s="49">
        <v>1200000</v>
      </c>
      <c r="M11" s="49">
        <v>3500000</v>
      </c>
      <c r="N11" s="49">
        <v>5930000</v>
      </c>
      <c r="O11" s="49">
        <v>16930000</v>
      </c>
      <c r="P11" s="49">
        <v>11000000</v>
      </c>
      <c r="Q11" s="49">
        <v>3600000</v>
      </c>
      <c r="R11" s="49">
        <f>IF(S11=0,O11*10%,SUMPRODUCT(--TEXT(O11-P11-Q11-{0,5,10,18,32,52,80}*10^6,"#;\0;\0"))*5%)</f>
        <v>116500</v>
      </c>
      <c r="S11" s="49">
        <v>525798</v>
      </c>
      <c r="T11" s="49"/>
      <c r="U11" s="49">
        <f t="shared" si="1"/>
        <v>16287702</v>
      </c>
      <c r="V11" s="44"/>
    </row>
    <row r="12" spans="2:22" x14ac:dyDescent="0.3">
      <c r="B12" s="52">
        <v>4</v>
      </c>
      <c r="C12" s="48" t="s">
        <v>24</v>
      </c>
      <c r="D12" s="48" t="s">
        <v>25</v>
      </c>
      <c r="E12" s="48" t="s">
        <v>439</v>
      </c>
      <c r="F12" s="48" t="s">
        <v>26</v>
      </c>
      <c r="G12" s="49">
        <v>5007600</v>
      </c>
      <c r="H12" s="49">
        <v>22</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22</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22</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22</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22</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22</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22</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22</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22</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22</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52">
        <v>14</v>
      </c>
      <c r="C22" s="48" t="s">
        <v>53</v>
      </c>
      <c r="D22" s="48" t="s">
        <v>54</v>
      </c>
      <c r="E22" s="48" t="s">
        <v>439</v>
      </c>
      <c r="F22" s="48" t="s">
        <v>26</v>
      </c>
      <c r="G22" s="49">
        <v>5050000</v>
      </c>
      <c r="H22" s="49">
        <v>22</v>
      </c>
      <c r="I22" s="49">
        <f t="shared" si="0"/>
        <v>5050000</v>
      </c>
      <c r="J22" s="49">
        <v>730000</v>
      </c>
      <c r="K22" s="49">
        <v>500000</v>
      </c>
      <c r="L22" s="49">
        <v>1200000</v>
      </c>
      <c r="M22" s="49">
        <v>3500000</v>
      </c>
      <c r="N22" s="49">
        <v>5930000</v>
      </c>
      <c r="O22" s="49">
        <v>10980000</v>
      </c>
      <c r="P22" s="49">
        <v>11000000</v>
      </c>
      <c r="Q22" s="49">
        <v>0</v>
      </c>
      <c r="R22" s="49">
        <f>IF(S22=0,O22*10%,SUMPRODUCT(--TEXT(O22-P22-Q22-{0,5,10,18,32,52,80}*10^6,"#;\0;\0"))*5%)</f>
        <v>0</v>
      </c>
      <c r="S22" s="49">
        <v>530250</v>
      </c>
      <c r="T22" s="49"/>
      <c r="U22" s="49">
        <f t="shared" si="1"/>
        <v>10449750</v>
      </c>
      <c r="V22" s="44"/>
    </row>
    <row r="23" spans="2:22" x14ac:dyDescent="0.3">
      <c r="B23" s="52">
        <v>15</v>
      </c>
      <c r="C23" s="48" t="s">
        <v>55</v>
      </c>
      <c r="D23" s="48" t="s">
        <v>56</v>
      </c>
      <c r="E23" s="48" t="s">
        <v>439</v>
      </c>
      <c r="F23" s="48" t="s">
        <v>26</v>
      </c>
      <c r="G23" s="49">
        <v>5050000</v>
      </c>
      <c r="H23" s="49">
        <v>22</v>
      </c>
      <c r="I23" s="49">
        <f t="shared" si="0"/>
        <v>5050000</v>
      </c>
      <c r="J23" s="49">
        <v>730000</v>
      </c>
      <c r="K23" s="49">
        <v>500000</v>
      </c>
      <c r="L23" s="49">
        <v>1200000</v>
      </c>
      <c r="M23" s="49">
        <v>3500000</v>
      </c>
      <c r="N23" s="49">
        <v>5930000</v>
      </c>
      <c r="O23" s="49">
        <v>10980000</v>
      </c>
      <c r="P23" s="49">
        <v>11000000</v>
      </c>
      <c r="Q23" s="49">
        <v>0</v>
      </c>
      <c r="R23" s="49">
        <f>IF(S23=0,O23*10%,SUMPRODUCT(--TEXT(O23-P23-Q23-{0,5,10,18,32,52,80}*10^6,"#;\0;\0"))*5%)</f>
        <v>0</v>
      </c>
      <c r="S23" s="49">
        <v>530250</v>
      </c>
      <c r="T23" s="49"/>
      <c r="U23" s="49">
        <f t="shared" si="1"/>
        <v>10449750</v>
      </c>
      <c r="V23" s="44"/>
    </row>
    <row r="24" spans="2:22" x14ac:dyDescent="0.3">
      <c r="B24" s="220" t="s">
        <v>193</v>
      </c>
      <c r="C24" s="263"/>
      <c r="D24" s="263"/>
      <c r="E24" s="263"/>
      <c r="F24" s="263"/>
      <c r="G24" s="50">
        <f t="shared" ref="G24:O24" si="2">SUM(G9:G23)</f>
        <v>92303200</v>
      </c>
      <c r="H24" s="50">
        <f t="shared" si="2"/>
        <v>330</v>
      </c>
      <c r="I24" s="50">
        <f t="shared" si="2"/>
        <v>92303200</v>
      </c>
      <c r="J24" s="50">
        <f t="shared" si="2"/>
        <v>10950000</v>
      </c>
      <c r="K24" s="50">
        <f t="shared" si="2"/>
        <v>7500000</v>
      </c>
      <c r="L24" s="50">
        <f t="shared" si="2"/>
        <v>18000000</v>
      </c>
      <c r="M24" s="50">
        <f t="shared" si="2"/>
        <v>79000000</v>
      </c>
      <c r="N24" s="50">
        <f t="shared" si="2"/>
        <v>115450000</v>
      </c>
      <c r="O24" s="50">
        <f t="shared" si="2"/>
        <v>207753200</v>
      </c>
      <c r="P24" s="50"/>
      <c r="Q24" s="50"/>
      <c r="R24" s="45">
        <f>SUM(R9:R23)</f>
        <v>4149000</v>
      </c>
      <c r="S24" s="50">
        <f>SUM(S9:S23)</f>
        <v>7909230</v>
      </c>
      <c r="T24" s="45">
        <f>SUM(T9:T23)</f>
        <v>0</v>
      </c>
      <c r="U24" s="45">
        <f>SUM(U9:U23)</f>
        <v>195694970</v>
      </c>
      <c r="V24" s="41"/>
    </row>
    <row r="26" spans="2:22" x14ac:dyDescent="0.3">
      <c r="R26" s="255">
        <f>WORKDAY.INTL(EOMONTH(DATE(M5,K5,1),0)+1,-1,IF(CHE_DO_NGHI=1,1,11),INDEX(DATA_NGHI_LE[],0,1))</f>
        <v>45230</v>
      </c>
      <c r="S26" s="264"/>
      <c r="T26" s="255"/>
      <c r="U26" s="255"/>
      <c r="V26" s="255"/>
    </row>
    <row r="27" spans="2:22" x14ac:dyDescent="0.3">
      <c r="B27" s="247" t="s">
        <v>304</v>
      </c>
      <c r="C27" s="256"/>
      <c r="D27" s="256"/>
      <c r="K27" s="264" t="s">
        <v>305</v>
      </c>
      <c r="L27" s="264"/>
      <c r="M27" s="264"/>
      <c r="R27" s="247" t="s">
        <v>11</v>
      </c>
      <c r="S27" s="264"/>
      <c r="T27" s="247"/>
      <c r="U27" s="247"/>
      <c r="V27" s="247"/>
    </row>
    <row r="28" spans="2:22" x14ac:dyDescent="0.3">
      <c r="B28" s="248" t="s">
        <v>95</v>
      </c>
      <c r="C28" s="257"/>
      <c r="D28" s="257"/>
      <c r="K28" s="262" t="s">
        <v>95</v>
      </c>
      <c r="L28" s="262"/>
      <c r="M28" s="262"/>
      <c r="R28" s="248" t="s">
        <v>97</v>
      </c>
      <c r="S28" s="262"/>
      <c r="T28" s="248"/>
      <c r="U28" s="248"/>
      <c r="V28" s="248"/>
    </row>
  </sheetData>
  <mergeCells count="27">
    <mergeCell ref="Q7:Q8"/>
    <mergeCell ref="R1:V1"/>
    <mergeCell ref="R2:V2"/>
    <mergeCell ref="R3:V3"/>
    <mergeCell ref="B4:V4"/>
    <mergeCell ref="B7:B8"/>
    <mergeCell ref="C7:C8"/>
    <mergeCell ref="D7:D8"/>
    <mergeCell ref="E7:E8"/>
    <mergeCell ref="F7:F8"/>
    <mergeCell ref="G7:G8"/>
    <mergeCell ref="B28:D28"/>
    <mergeCell ref="K28:M28"/>
    <mergeCell ref="R28:V28"/>
    <mergeCell ref="R7:T7"/>
    <mergeCell ref="U7:U8"/>
    <mergeCell ref="V7:V8"/>
    <mergeCell ref="B24:F24"/>
    <mergeCell ref="R26:V26"/>
    <mergeCell ref="B27:D27"/>
    <mergeCell ref="K27:M27"/>
    <mergeCell ref="R27:V27"/>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2E570-91C7-420F-B077-28AA0C475D3A}">
  <sheetPr codeName="Sheet36">
    <pageSetUpPr fitToPage="1"/>
  </sheetPr>
  <dimension ref="B1:V26"/>
  <sheetViews>
    <sheetView workbookViewId="0">
      <selection sqref="A1:XFD1048576"/>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11</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22</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10000000</v>
      </c>
      <c r="H9" s="49">
        <v>22</v>
      </c>
      <c r="I9" s="49">
        <f t="shared" ref="I9:I21" si="0">G9*H9/$V$6</f>
        <v>10000000</v>
      </c>
      <c r="J9" s="49">
        <v>730000</v>
      </c>
      <c r="K9" s="49">
        <v>500000</v>
      </c>
      <c r="L9" s="49">
        <v>1200000</v>
      </c>
      <c r="M9" s="49">
        <v>30000000</v>
      </c>
      <c r="N9" s="49">
        <v>32430000</v>
      </c>
      <c r="O9" s="49">
        <v>42430000</v>
      </c>
      <c r="P9" s="49">
        <v>11000000</v>
      </c>
      <c r="Q9" s="49">
        <v>3600000</v>
      </c>
      <c r="R9" s="49">
        <f>IF(S9=0,O9*10%,SUMPRODUCT(--TEXT(O9-P9-Q9-{0,5,10,18,32,52,80}*10^6,"#;\0;\0"))*5%)</f>
        <v>3916000</v>
      </c>
      <c r="S9" s="49">
        <v>525798</v>
      </c>
      <c r="T9" s="49"/>
      <c r="U9" s="49">
        <f t="shared" ref="U9:U21" si="1">O9-R9-S9-T9</f>
        <v>37988202</v>
      </c>
      <c r="V9" s="44"/>
    </row>
    <row r="10" spans="2:22" x14ac:dyDescent="0.3">
      <c r="B10" s="52">
        <v>2</v>
      </c>
      <c r="C10" s="48" t="s">
        <v>14</v>
      </c>
      <c r="D10" s="48" t="s">
        <v>15</v>
      </c>
      <c r="E10" s="48" t="s">
        <v>438</v>
      </c>
      <c r="F10" s="48" t="s">
        <v>16</v>
      </c>
      <c r="G10" s="49">
        <v>11000000</v>
      </c>
      <c r="H10" s="49">
        <v>22</v>
      </c>
      <c r="I10" s="49">
        <f t="shared" si="0"/>
        <v>11000000</v>
      </c>
      <c r="J10" s="49">
        <v>730000</v>
      </c>
      <c r="K10" s="49">
        <v>500000</v>
      </c>
      <c r="L10" s="49">
        <v>1200000</v>
      </c>
      <c r="M10" s="49">
        <v>3500000</v>
      </c>
      <c r="N10" s="49">
        <v>5930000</v>
      </c>
      <c r="O10" s="49">
        <v>16930000</v>
      </c>
      <c r="P10" s="49">
        <v>11000000</v>
      </c>
      <c r="Q10" s="49">
        <v>3600000</v>
      </c>
      <c r="R10" s="49">
        <f>IF(S10=0,O10*10%,SUMPRODUCT(--TEXT(O10-P10-Q10-{0,5,10,18,32,52,80}*10^6,"#;\0;\0"))*5%)</f>
        <v>116500</v>
      </c>
      <c r="S10" s="49">
        <v>525798</v>
      </c>
      <c r="T10" s="49"/>
      <c r="U10" s="49">
        <f t="shared" si="1"/>
        <v>16287702</v>
      </c>
      <c r="V10" s="44"/>
    </row>
    <row r="11" spans="2:22" x14ac:dyDescent="0.3">
      <c r="B11" s="52">
        <v>3</v>
      </c>
      <c r="C11" s="48" t="s">
        <v>19</v>
      </c>
      <c r="D11" s="48" t="s">
        <v>20</v>
      </c>
      <c r="E11" s="48" t="s">
        <v>438</v>
      </c>
      <c r="F11" s="48" t="s">
        <v>21</v>
      </c>
      <c r="G11" s="49">
        <v>11000000</v>
      </c>
      <c r="H11" s="49">
        <v>22</v>
      </c>
      <c r="I11" s="49">
        <f t="shared" si="0"/>
        <v>11000000</v>
      </c>
      <c r="J11" s="49">
        <v>730000</v>
      </c>
      <c r="K11" s="49">
        <v>500000</v>
      </c>
      <c r="L11" s="49">
        <v>1200000</v>
      </c>
      <c r="M11" s="49">
        <v>3500000</v>
      </c>
      <c r="N11" s="49">
        <v>5930000</v>
      </c>
      <c r="O11" s="49">
        <v>16930000</v>
      </c>
      <c r="P11" s="49">
        <v>11000000</v>
      </c>
      <c r="Q11" s="49">
        <v>3600000</v>
      </c>
      <c r="R11" s="49">
        <f>IF(S11=0,O11*10%,SUMPRODUCT(--TEXT(O11-P11-Q11-{0,5,10,18,32,52,80}*10^6,"#;\0;\0"))*5%)</f>
        <v>116500</v>
      </c>
      <c r="S11" s="49">
        <v>525798</v>
      </c>
      <c r="T11" s="49"/>
      <c r="U11" s="49">
        <f t="shared" si="1"/>
        <v>16287702</v>
      </c>
      <c r="V11" s="44"/>
    </row>
    <row r="12" spans="2:22" x14ac:dyDescent="0.3">
      <c r="B12" s="52">
        <v>4</v>
      </c>
      <c r="C12" s="48" t="s">
        <v>24</v>
      </c>
      <c r="D12" s="48" t="s">
        <v>25</v>
      </c>
      <c r="E12" s="48" t="s">
        <v>439</v>
      </c>
      <c r="F12" s="48" t="s">
        <v>26</v>
      </c>
      <c r="G12" s="49">
        <v>5007600</v>
      </c>
      <c r="H12" s="49">
        <v>22</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22</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22</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22</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22</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22</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22</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22</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22</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22</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220" t="s">
        <v>193</v>
      </c>
      <c r="C22" s="263"/>
      <c r="D22" s="263"/>
      <c r="E22" s="263"/>
      <c r="F22" s="263"/>
      <c r="G22" s="50">
        <f t="shared" ref="G22:O22" si="2">SUM(G9:G21)</f>
        <v>82203200</v>
      </c>
      <c r="H22" s="50">
        <f t="shared" si="2"/>
        <v>286</v>
      </c>
      <c r="I22" s="50">
        <f t="shared" si="2"/>
        <v>82203200</v>
      </c>
      <c r="J22" s="50">
        <f t="shared" si="2"/>
        <v>9490000</v>
      </c>
      <c r="K22" s="50">
        <f t="shared" si="2"/>
        <v>6500000</v>
      </c>
      <c r="L22" s="50">
        <f t="shared" si="2"/>
        <v>15600000</v>
      </c>
      <c r="M22" s="50">
        <f t="shared" si="2"/>
        <v>72000000</v>
      </c>
      <c r="N22" s="50">
        <f t="shared" si="2"/>
        <v>103590000</v>
      </c>
      <c r="O22" s="50">
        <f t="shared" si="2"/>
        <v>185793200</v>
      </c>
      <c r="P22" s="50"/>
      <c r="Q22" s="50"/>
      <c r="R22" s="45">
        <f>SUM(R9:R21)</f>
        <v>4149000</v>
      </c>
      <c r="S22" s="50">
        <f>SUM(S9:S21)</f>
        <v>6848730</v>
      </c>
      <c r="T22" s="45">
        <f>SUM(T9:T21)</f>
        <v>0</v>
      </c>
      <c r="U22" s="45">
        <f>SUM(U9:U21)</f>
        <v>174795470</v>
      </c>
      <c r="V22" s="41"/>
    </row>
    <row r="24" spans="2:22" x14ac:dyDescent="0.3">
      <c r="R24" s="255">
        <f>WORKDAY.INTL(EOMONTH(DATE(M5,K5,1),0)+1,-1,IF(CHE_DO_NGHI=1,1,11),INDEX(DATA_NGHI_LE[],0,1))</f>
        <v>45260</v>
      </c>
      <c r="S24" s="264"/>
      <c r="T24" s="255"/>
      <c r="U24" s="255"/>
      <c r="V24" s="255"/>
    </row>
    <row r="25" spans="2:22" x14ac:dyDescent="0.3">
      <c r="B25" s="247" t="s">
        <v>304</v>
      </c>
      <c r="C25" s="256"/>
      <c r="D25" s="256"/>
      <c r="K25" s="264" t="s">
        <v>305</v>
      </c>
      <c r="L25" s="264"/>
      <c r="M25" s="264"/>
      <c r="R25" s="247" t="s">
        <v>11</v>
      </c>
      <c r="S25" s="264"/>
      <c r="T25" s="247"/>
      <c r="U25" s="247"/>
      <c r="V25" s="247"/>
    </row>
    <row r="26" spans="2:22" x14ac:dyDescent="0.3">
      <c r="B26" s="248" t="s">
        <v>95</v>
      </c>
      <c r="C26" s="257"/>
      <c r="D26" s="257"/>
      <c r="K26" s="262" t="s">
        <v>95</v>
      </c>
      <c r="L26" s="262"/>
      <c r="M26" s="262"/>
      <c r="R26" s="248" t="s">
        <v>97</v>
      </c>
      <c r="S26" s="262"/>
      <c r="T26" s="248"/>
      <c r="U26" s="248"/>
      <c r="V26" s="248"/>
    </row>
  </sheetData>
  <mergeCells count="27">
    <mergeCell ref="Q7:Q8"/>
    <mergeCell ref="R1:V1"/>
    <mergeCell ref="R2:V2"/>
    <mergeCell ref="R3:V3"/>
    <mergeCell ref="B4:V4"/>
    <mergeCell ref="B7:B8"/>
    <mergeCell ref="C7:C8"/>
    <mergeCell ref="D7:D8"/>
    <mergeCell ref="E7:E8"/>
    <mergeCell ref="F7:F8"/>
    <mergeCell ref="G7:G8"/>
    <mergeCell ref="B26:D26"/>
    <mergeCell ref="K26:M26"/>
    <mergeCell ref="R26:V26"/>
    <mergeCell ref="R7:T7"/>
    <mergeCell ref="U7:U8"/>
    <mergeCell ref="V7:V8"/>
    <mergeCell ref="B22:F22"/>
    <mergeCell ref="R24:V24"/>
    <mergeCell ref="B25:D25"/>
    <mergeCell ref="K25:M25"/>
    <mergeCell ref="R25:V25"/>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7EFFB-2EC2-4839-BD84-0A5AF2D5CCCF}">
  <sheetPr codeName="Sheet37">
    <pageSetUpPr fitToPage="1"/>
  </sheetPr>
  <dimension ref="B1:V26"/>
  <sheetViews>
    <sheetView workbookViewId="0">
      <selection activeCell="O12" sqref="O12"/>
    </sheetView>
  </sheetViews>
  <sheetFormatPr defaultRowHeight="14.4" x14ac:dyDescent="0.3"/>
  <cols>
    <col min="1" max="1" width="3" style="3" customWidth="1"/>
    <col min="2" max="2" width="8.88671875" style="3"/>
    <col min="3" max="3" width="8.88671875" style="7"/>
    <col min="4" max="4" width="20.88671875" style="7" customWidth="1"/>
    <col min="5" max="5" width="12.5546875" style="7" customWidth="1"/>
    <col min="6" max="6" width="12" style="7" customWidth="1"/>
    <col min="7" max="7" width="13.44140625" style="51" customWidth="1"/>
    <col min="8" max="8" width="10.88671875" style="51" customWidth="1"/>
    <col min="9" max="9" width="12" style="51" customWidth="1"/>
    <col min="10" max="14" width="13.109375" style="51" customWidth="1"/>
    <col min="15" max="17" width="15.5546875" style="51" customWidth="1"/>
    <col min="18" max="18" width="12.44140625" style="3" customWidth="1"/>
    <col min="19" max="19" width="9.109375" style="51" bestFit="1" customWidth="1"/>
    <col min="20" max="20" width="8.88671875" style="3"/>
    <col min="21" max="21" width="16.5546875" style="3" customWidth="1"/>
    <col min="22" max="16384" width="8.88671875" style="3"/>
  </cols>
  <sheetData>
    <row r="1" spans="2:22" ht="15.6" x14ac:dyDescent="0.3">
      <c r="B1" s="17" t="str">
        <f>Company_Name</f>
        <v>CÔNG TY TNHH CƠ KHÍ SỬA CHỮA HOÀNG KIÊN</v>
      </c>
      <c r="C1" s="3"/>
      <c r="D1" s="3"/>
      <c r="E1" s="3"/>
      <c r="F1" s="3"/>
      <c r="G1" s="3"/>
      <c r="H1" s="3"/>
      <c r="I1" s="3"/>
      <c r="J1" s="3"/>
      <c r="K1" s="3"/>
      <c r="L1" s="3"/>
      <c r="M1" s="3"/>
      <c r="N1" s="3"/>
      <c r="O1" s="3"/>
      <c r="P1" s="3"/>
      <c r="Q1" s="3"/>
      <c r="R1" s="247" t="s">
        <v>197</v>
      </c>
      <c r="S1" s="247"/>
      <c r="T1" s="247"/>
      <c r="U1" s="247"/>
      <c r="V1" s="247"/>
    </row>
    <row r="2" spans="2:22" ht="15.6" x14ac:dyDescent="0.3">
      <c r="B2" s="17" t="str">
        <f>Company_Address</f>
        <v>SN 16N3, ngõ 90 đường Nguyễn Tuân, P. Thanh Xuân, Q. Thanh Xuân, Hà Nội</v>
      </c>
      <c r="C2" s="3"/>
      <c r="D2" s="3"/>
      <c r="E2" s="3"/>
      <c r="F2" s="3"/>
      <c r="G2" s="3"/>
      <c r="H2" s="3"/>
      <c r="I2" s="3"/>
      <c r="J2" s="3"/>
      <c r="K2" s="3"/>
      <c r="L2" s="3"/>
      <c r="M2" s="3"/>
      <c r="N2" s="3"/>
      <c r="O2" s="3"/>
      <c r="P2" s="3"/>
      <c r="Q2" s="3"/>
      <c r="R2" s="248" t="s">
        <v>198</v>
      </c>
      <c r="S2" s="248"/>
      <c r="T2" s="248"/>
      <c r="U2" s="248"/>
      <c r="V2" s="248"/>
    </row>
    <row r="3" spans="2:22" x14ac:dyDescent="0.3">
      <c r="C3" s="3"/>
      <c r="D3" s="3"/>
      <c r="E3" s="3"/>
      <c r="F3" s="3"/>
      <c r="G3" s="3"/>
      <c r="H3" s="3"/>
      <c r="I3" s="3"/>
      <c r="J3" s="3"/>
      <c r="K3" s="3"/>
      <c r="L3" s="3"/>
      <c r="M3" s="3"/>
      <c r="N3" s="3"/>
      <c r="O3" s="3"/>
      <c r="P3" s="3"/>
      <c r="Q3" s="3"/>
      <c r="R3" s="248" t="s">
        <v>89</v>
      </c>
      <c r="S3" s="248"/>
      <c r="T3" s="248"/>
      <c r="U3" s="248"/>
      <c r="V3" s="248"/>
    </row>
    <row r="4" spans="2:22" ht="23.4" x14ac:dyDescent="0.3">
      <c r="B4" s="218" t="s">
        <v>194</v>
      </c>
      <c r="C4" s="218"/>
      <c r="D4" s="218"/>
      <c r="E4" s="218"/>
      <c r="F4" s="218"/>
      <c r="G4" s="218"/>
      <c r="H4" s="218"/>
      <c r="I4" s="218"/>
      <c r="J4" s="218"/>
      <c r="K4" s="218"/>
      <c r="L4" s="218"/>
      <c r="M4" s="218"/>
      <c r="N4" s="218"/>
      <c r="O4" s="218"/>
      <c r="P4" s="218"/>
      <c r="Q4" s="218"/>
      <c r="R4" s="218"/>
      <c r="S4" s="218"/>
      <c r="T4" s="218"/>
      <c r="U4" s="218"/>
      <c r="V4" s="218"/>
    </row>
    <row r="5" spans="2:22" x14ac:dyDescent="0.3">
      <c r="C5" s="3"/>
      <c r="D5" s="3"/>
      <c r="E5" s="3"/>
      <c r="F5" s="3"/>
      <c r="G5" s="3"/>
      <c r="H5" s="3"/>
      <c r="I5" s="3"/>
      <c r="J5" s="46" t="s">
        <v>195</v>
      </c>
      <c r="K5" s="47">
        <v>12</v>
      </c>
      <c r="L5" s="46" t="s">
        <v>196</v>
      </c>
      <c r="M5" s="47">
        <v>2023</v>
      </c>
      <c r="N5" s="3"/>
      <c r="O5" s="3"/>
      <c r="P5" s="3"/>
      <c r="Q5" s="3"/>
      <c r="S5" s="3"/>
    </row>
    <row r="6" spans="2:22" x14ac:dyDescent="0.3">
      <c r="C6" s="3"/>
      <c r="D6" s="3"/>
      <c r="E6" s="3"/>
      <c r="F6" s="3"/>
      <c r="G6" s="3"/>
      <c r="H6" s="3"/>
      <c r="I6" s="3"/>
      <c r="J6" s="3"/>
      <c r="K6" s="3"/>
      <c r="L6" s="3"/>
      <c r="M6" s="3"/>
      <c r="N6" s="3"/>
      <c r="O6" s="3"/>
      <c r="P6" s="3"/>
      <c r="Q6" s="3"/>
      <c r="S6" s="3"/>
      <c r="V6" s="54">
        <f>NETWORKDAYS.INTL(DATE(M5,K5,1),EOMONTH(DATE(M5,K5,1),0),IF(CHE_DO_NGHI=1,1,11))</f>
        <v>21</v>
      </c>
    </row>
    <row r="7" spans="2:22" x14ac:dyDescent="0.3">
      <c r="B7" s="217" t="s">
        <v>5</v>
      </c>
      <c r="C7" s="217" t="s">
        <v>91</v>
      </c>
      <c r="D7" s="217" t="s">
        <v>6</v>
      </c>
      <c r="E7" s="217" t="s">
        <v>8</v>
      </c>
      <c r="F7" s="217" t="s">
        <v>7</v>
      </c>
      <c r="G7" s="217" t="s">
        <v>178</v>
      </c>
      <c r="H7" s="217" t="s">
        <v>179</v>
      </c>
      <c r="I7" s="217" t="s">
        <v>180</v>
      </c>
      <c r="J7" s="220" t="s">
        <v>181</v>
      </c>
      <c r="K7" s="220"/>
      <c r="L7" s="220"/>
      <c r="M7" s="220"/>
      <c r="N7" s="220"/>
      <c r="O7" s="217" t="s">
        <v>186</v>
      </c>
      <c r="P7" s="217" t="s">
        <v>302</v>
      </c>
      <c r="Q7" s="217" t="s">
        <v>303</v>
      </c>
      <c r="R7" s="220" t="s">
        <v>187</v>
      </c>
      <c r="S7" s="220"/>
      <c r="T7" s="220"/>
      <c r="U7" s="217" t="s">
        <v>191</v>
      </c>
      <c r="V7" s="220" t="s">
        <v>192</v>
      </c>
    </row>
    <row r="8" spans="2:22" ht="28.8" x14ac:dyDescent="0.3">
      <c r="B8" s="217"/>
      <c r="C8" s="217"/>
      <c r="D8" s="217"/>
      <c r="E8" s="217"/>
      <c r="F8" s="217"/>
      <c r="G8" s="217"/>
      <c r="H8" s="217"/>
      <c r="I8" s="217"/>
      <c r="J8" s="40" t="s">
        <v>182</v>
      </c>
      <c r="K8" s="40" t="s">
        <v>183</v>
      </c>
      <c r="L8" s="40" t="s">
        <v>184</v>
      </c>
      <c r="M8" s="40" t="s">
        <v>185</v>
      </c>
      <c r="N8" s="40" t="s">
        <v>114</v>
      </c>
      <c r="O8" s="217"/>
      <c r="P8" s="217"/>
      <c r="Q8" s="217"/>
      <c r="R8" s="19" t="s">
        <v>188</v>
      </c>
      <c r="S8" s="19" t="s">
        <v>189</v>
      </c>
      <c r="T8" s="19" t="s">
        <v>190</v>
      </c>
      <c r="U8" s="217"/>
      <c r="V8" s="220"/>
    </row>
    <row r="9" spans="2:22" x14ac:dyDescent="0.3">
      <c r="B9" s="52">
        <v>1</v>
      </c>
      <c r="C9" s="48" t="s">
        <v>9</v>
      </c>
      <c r="D9" s="48" t="s">
        <v>10</v>
      </c>
      <c r="E9" s="48" t="s">
        <v>438</v>
      </c>
      <c r="F9" s="48" t="s">
        <v>11</v>
      </c>
      <c r="G9" s="49">
        <v>10000000</v>
      </c>
      <c r="H9" s="49">
        <v>21</v>
      </c>
      <c r="I9" s="49">
        <f t="shared" ref="I9:I21" si="0">G9*H9/$V$6</f>
        <v>10000000</v>
      </c>
      <c r="J9" s="49">
        <v>730000</v>
      </c>
      <c r="K9" s="49">
        <v>500000</v>
      </c>
      <c r="L9" s="49">
        <v>1200000</v>
      </c>
      <c r="M9" s="49">
        <v>30000000</v>
      </c>
      <c r="N9" s="49">
        <v>32430000</v>
      </c>
      <c r="O9" s="49">
        <v>42430000</v>
      </c>
      <c r="P9" s="49">
        <v>11000000</v>
      </c>
      <c r="Q9" s="49">
        <v>3600000</v>
      </c>
      <c r="R9" s="49">
        <f>IF(S9=0,O9*10%,SUMPRODUCT(--TEXT(O9-P9-Q9-{0,5,10,18,32,52,80}*10^6,"#;\0;\0"))*5%)</f>
        <v>3916000</v>
      </c>
      <c r="S9" s="49">
        <v>525798</v>
      </c>
      <c r="T9" s="49"/>
      <c r="U9" s="49">
        <f t="shared" ref="U9:U21" si="1">O9-R9-S9-T9</f>
        <v>37988202</v>
      </c>
      <c r="V9" s="44"/>
    </row>
    <row r="10" spans="2:22" x14ac:dyDescent="0.3">
      <c r="B10" s="52">
        <v>2</v>
      </c>
      <c r="C10" s="48" t="s">
        <v>14</v>
      </c>
      <c r="D10" s="48" t="s">
        <v>15</v>
      </c>
      <c r="E10" s="48" t="s">
        <v>438</v>
      </c>
      <c r="F10" s="48" t="s">
        <v>16</v>
      </c>
      <c r="G10" s="49">
        <v>11000000</v>
      </c>
      <c r="H10" s="49">
        <v>21</v>
      </c>
      <c r="I10" s="49">
        <f t="shared" si="0"/>
        <v>11000000</v>
      </c>
      <c r="J10" s="49">
        <v>730000</v>
      </c>
      <c r="K10" s="49">
        <v>500000</v>
      </c>
      <c r="L10" s="49">
        <v>1200000</v>
      </c>
      <c r="M10" s="49">
        <v>3500000</v>
      </c>
      <c r="N10" s="49">
        <v>5930000</v>
      </c>
      <c r="O10" s="49">
        <v>16930000</v>
      </c>
      <c r="P10" s="49">
        <v>11000000</v>
      </c>
      <c r="Q10" s="49">
        <v>3600000</v>
      </c>
      <c r="R10" s="49">
        <f>IF(S10=0,O10*10%,SUMPRODUCT(--TEXT(O10-P10-Q10-{0,5,10,18,32,52,80}*10^6,"#;\0;\0"))*5%)</f>
        <v>116500</v>
      </c>
      <c r="S10" s="49">
        <v>525798</v>
      </c>
      <c r="T10" s="49"/>
      <c r="U10" s="49">
        <f t="shared" si="1"/>
        <v>16287702</v>
      </c>
      <c r="V10" s="44"/>
    </row>
    <row r="11" spans="2:22" x14ac:dyDescent="0.3">
      <c r="B11" s="52">
        <v>3</v>
      </c>
      <c r="C11" s="48" t="s">
        <v>19</v>
      </c>
      <c r="D11" s="48" t="s">
        <v>20</v>
      </c>
      <c r="E11" s="48" t="s">
        <v>438</v>
      </c>
      <c r="F11" s="48" t="s">
        <v>21</v>
      </c>
      <c r="G11" s="49">
        <v>11000000</v>
      </c>
      <c r="H11" s="49">
        <v>21</v>
      </c>
      <c r="I11" s="49">
        <f t="shared" si="0"/>
        <v>11000000</v>
      </c>
      <c r="J11" s="49">
        <v>730000</v>
      </c>
      <c r="K11" s="49">
        <v>500000</v>
      </c>
      <c r="L11" s="49">
        <v>1200000</v>
      </c>
      <c r="M11" s="49">
        <v>3500000</v>
      </c>
      <c r="N11" s="49">
        <v>5930000</v>
      </c>
      <c r="O11" s="49">
        <v>16930000</v>
      </c>
      <c r="P11" s="49">
        <v>11000000</v>
      </c>
      <c r="Q11" s="49">
        <v>3600000</v>
      </c>
      <c r="R11" s="49">
        <f>IF(S11=0,O11*10%,SUMPRODUCT(--TEXT(O11-P11-Q11-{0,5,10,18,32,52,80}*10^6,"#;\0;\0"))*5%)</f>
        <v>116500</v>
      </c>
      <c r="S11" s="49">
        <v>525798</v>
      </c>
      <c r="T11" s="49"/>
      <c r="U11" s="49">
        <f t="shared" si="1"/>
        <v>16287702</v>
      </c>
      <c r="V11" s="44"/>
    </row>
    <row r="12" spans="2:22" x14ac:dyDescent="0.3">
      <c r="B12" s="52">
        <v>4</v>
      </c>
      <c r="C12" s="48" t="s">
        <v>24</v>
      </c>
      <c r="D12" s="48" t="s">
        <v>25</v>
      </c>
      <c r="E12" s="48" t="s">
        <v>439</v>
      </c>
      <c r="F12" s="48" t="s">
        <v>26</v>
      </c>
      <c r="G12" s="49">
        <v>5007600</v>
      </c>
      <c r="H12" s="49">
        <v>21</v>
      </c>
      <c r="I12" s="49">
        <f t="shared" si="0"/>
        <v>5007600</v>
      </c>
      <c r="J12" s="49">
        <v>730000</v>
      </c>
      <c r="K12" s="49">
        <v>500000</v>
      </c>
      <c r="L12" s="49">
        <v>1200000</v>
      </c>
      <c r="M12" s="49">
        <v>3500000</v>
      </c>
      <c r="N12" s="49">
        <v>5930000</v>
      </c>
      <c r="O12" s="49">
        <v>10937600</v>
      </c>
      <c r="P12" s="49">
        <v>11000000</v>
      </c>
      <c r="Q12" s="49">
        <v>3600000</v>
      </c>
      <c r="R12" s="49">
        <f>IF(S12=0,O12*10%,SUMPRODUCT(--TEXT(O12-P12-Q12-{0,5,10,18,32,52,80}*10^6,"#;\0;\0"))*5%)</f>
        <v>0</v>
      </c>
      <c r="S12" s="49">
        <v>525798</v>
      </c>
      <c r="T12" s="49"/>
      <c r="U12" s="49">
        <f t="shared" si="1"/>
        <v>10411802</v>
      </c>
      <c r="V12" s="44"/>
    </row>
    <row r="13" spans="2:22" x14ac:dyDescent="0.3">
      <c r="B13" s="52">
        <v>5</v>
      </c>
      <c r="C13" s="48" t="s">
        <v>29</v>
      </c>
      <c r="D13" s="48" t="s">
        <v>30</v>
      </c>
      <c r="E13" s="48" t="s">
        <v>439</v>
      </c>
      <c r="F13" s="48" t="s">
        <v>26</v>
      </c>
      <c r="G13" s="49">
        <v>5007600</v>
      </c>
      <c r="H13" s="49">
        <v>21</v>
      </c>
      <c r="I13" s="49">
        <f t="shared" si="0"/>
        <v>5007600</v>
      </c>
      <c r="J13" s="49">
        <v>730000</v>
      </c>
      <c r="K13" s="49">
        <v>500000</v>
      </c>
      <c r="L13" s="49">
        <v>1200000</v>
      </c>
      <c r="M13" s="49">
        <v>3500000</v>
      </c>
      <c r="N13" s="49">
        <v>5930000</v>
      </c>
      <c r="O13" s="49">
        <v>10937600</v>
      </c>
      <c r="P13" s="49">
        <v>11000000</v>
      </c>
      <c r="Q13" s="49">
        <v>3600000</v>
      </c>
      <c r="R13" s="49">
        <f>IF(S13=0,O13*10%,SUMPRODUCT(--TEXT(O13-P13-Q13-{0,5,10,18,32,52,80}*10^6,"#;\0;\0"))*5%)</f>
        <v>0</v>
      </c>
      <c r="S13" s="49">
        <v>525798</v>
      </c>
      <c r="T13" s="49"/>
      <c r="U13" s="49">
        <f t="shared" si="1"/>
        <v>10411802</v>
      </c>
      <c r="V13" s="44"/>
    </row>
    <row r="14" spans="2:22" x14ac:dyDescent="0.3">
      <c r="B14" s="52">
        <v>6</v>
      </c>
      <c r="C14" s="48" t="s">
        <v>32</v>
      </c>
      <c r="D14" s="48" t="s">
        <v>33</v>
      </c>
      <c r="E14" s="48" t="s">
        <v>439</v>
      </c>
      <c r="F14" s="48" t="s">
        <v>26</v>
      </c>
      <c r="G14" s="49">
        <v>5007600</v>
      </c>
      <c r="H14" s="49">
        <v>21</v>
      </c>
      <c r="I14" s="49">
        <f t="shared" si="0"/>
        <v>5007600</v>
      </c>
      <c r="J14" s="49">
        <v>730000</v>
      </c>
      <c r="K14" s="49">
        <v>500000</v>
      </c>
      <c r="L14" s="49">
        <v>1200000</v>
      </c>
      <c r="M14" s="49">
        <v>3500000</v>
      </c>
      <c r="N14" s="49">
        <v>5930000</v>
      </c>
      <c r="O14" s="49">
        <v>10937600</v>
      </c>
      <c r="P14" s="49">
        <v>11000000</v>
      </c>
      <c r="Q14" s="49">
        <v>3600000</v>
      </c>
      <c r="R14" s="49">
        <f>IF(S14=0,O14*10%,SUMPRODUCT(--TEXT(O14-P14-Q14-{0,5,10,18,32,52,80}*10^6,"#;\0;\0"))*5%)</f>
        <v>0</v>
      </c>
      <c r="S14" s="49">
        <v>525798</v>
      </c>
      <c r="T14" s="49"/>
      <c r="U14" s="49">
        <f t="shared" si="1"/>
        <v>10411802</v>
      </c>
      <c r="V14" s="44"/>
    </row>
    <row r="15" spans="2:22" x14ac:dyDescent="0.3">
      <c r="B15" s="52">
        <v>7</v>
      </c>
      <c r="C15" s="48" t="s">
        <v>35</v>
      </c>
      <c r="D15" s="48" t="s">
        <v>36</v>
      </c>
      <c r="E15" s="48" t="s">
        <v>439</v>
      </c>
      <c r="F15" s="48" t="s">
        <v>26</v>
      </c>
      <c r="G15" s="49">
        <v>5007600</v>
      </c>
      <c r="H15" s="49">
        <v>21</v>
      </c>
      <c r="I15" s="49">
        <f t="shared" si="0"/>
        <v>5007600</v>
      </c>
      <c r="J15" s="49">
        <v>730000</v>
      </c>
      <c r="K15" s="49">
        <v>500000</v>
      </c>
      <c r="L15" s="49">
        <v>1200000</v>
      </c>
      <c r="M15" s="49">
        <v>3500000</v>
      </c>
      <c r="N15" s="49">
        <v>5930000</v>
      </c>
      <c r="O15" s="49">
        <v>10937600</v>
      </c>
      <c r="P15" s="49">
        <v>11000000</v>
      </c>
      <c r="Q15" s="49">
        <v>3600000</v>
      </c>
      <c r="R15" s="49">
        <f>IF(S15=0,O15*10%,SUMPRODUCT(--TEXT(O15-P15-Q15-{0,5,10,18,32,52,80}*10^6,"#;\0;\0"))*5%)</f>
        <v>0</v>
      </c>
      <c r="S15" s="49">
        <v>525798</v>
      </c>
      <c r="T15" s="49"/>
      <c r="U15" s="49">
        <f t="shared" si="1"/>
        <v>10411802</v>
      </c>
      <c r="V15" s="44"/>
    </row>
    <row r="16" spans="2:22" x14ac:dyDescent="0.3">
      <c r="B16" s="52">
        <v>8</v>
      </c>
      <c r="C16" s="48" t="s">
        <v>38</v>
      </c>
      <c r="D16" s="48" t="s">
        <v>39</v>
      </c>
      <c r="E16" s="48" t="s">
        <v>439</v>
      </c>
      <c r="F16" s="48" t="s">
        <v>26</v>
      </c>
      <c r="G16" s="49">
        <v>5007600</v>
      </c>
      <c r="H16" s="49">
        <v>21</v>
      </c>
      <c r="I16" s="49">
        <f t="shared" si="0"/>
        <v>5007600</v>
      </c>
      <c r="J16" s="49">
        <v>730000</v>
      </c>
      <c r="K16" s="49">
        <v>500000</v>
      </c>
      <c r="L16" s="49">
        <v>1200000</v>
      </c>
      <c r="M16" s="49">
        <v>3500000</v>
      </c>
      <c r="N16" s="49">
        <v>5930000</v>
      </c>
      <c r="O16" s="49">
        <v>10937600</v>
      </c>
      <c r="P16" s="49">
        <v>11000000</v>
      </c>
      <c r="Q16" s="49">
        <v>3600000</v>
      </c>
      <c r="R16" s="49">
        <f>IF(S16=0,O16*10%,SUMPRODUCT(--TEXT(O16-P16-Q16-{0,5,10,18,32,52,80}*10^6,"#;\0;\0"))*5%)</f>
        <v>0</v>
      </c>
      <c r="S16" s="49">
        <v>525798</v>
      </c>
      <c r="T16" s="49"/>
      <c r="U16" s="49">
        <f t="shared" si="1"/>
        <v>10411802</v>
      </c>
      <c r="V16" s="44"/>
    </row>
    <row r="17" spans="2:22" x14ac:dyDescent="0.3">
      <c r="B17" s="52">
        <v>9</v>
      </c>
      <c r="C17" s="48" t="s">
        <v>41</v>
      </c>
      <c r="D17" s="48" t="s">
        <v>42</v>
      </c>
      <c r="E17" s="48" t="s">
        <v>439</v>
      </c>
      <c r="F17" s="48" t="s">
        <v>26</v>
      </c>
      <c r="G17" s="49">
        <v>5007600</v>
      </c>
      <c r="H17" s="49">
        <v>21</v>
      </c>
      <c r="I17" s="49">
        <f t="shared" si="0"/>
        <v>5007600</v>
      </c>
      <c r="J17" s="49">
        <v>730000</v>
      </c>
      <c r="K17" s="49">
        <v>500000</v>
      </c>
      <c r="L17" s="49">
        <v>1200000</v>
      </c>
      <c r="M17" s="49">
        <v>3500000</v>
      </c>
      <c r="N17" s="49">
        <v>5930000</v>
      </c>
      <c r="O17" s="49">
        <v>10937600</v>
      </c>
      <c r="P17" s="49">
        <v>11000000</v>
      </c>
      <c r="Q17" s="49">
        <v>3600000</v>
      </c>
      <c r="R17" s="49">
        <f>IF(S17=0,O17*10%,SUMPRODUCT(--TEXT(O17-P17-Q17-{0,5,10,18,32,52,80}*10^6,"#;\0;\0"))*5%)</f>
        <v>0</v>
      </c>
      <c r="S17" s="49">
        <v>525798</v>
      </c>
      <c r="T17" s="49"/>
      <c r="U17" s="49">
        <f t="shared" si="1"/>
        <v>10411802</v>
      </c>
      <c r="V17" s="44"/>
    </row>
    <row r="18" spans="2:22" x14ac:dyDescent="0.3">
      <c r="B18" s="52">
        <v>10</v>
      </c>
      <c r="C18" s="48" t="s">
        <v>44</v>
      </c>
      <c r="D18" s="48" t="s">
        <v>45</v>
      </c>
      <c r="E18" s="48" t="s">
        <v>439</v>
      </c>
      <c r="F18" s="48" t="s">
        <v>26</v>
      </c>
      <c r="G18" s="49">
        <v>5007600</v>
      </c>
      <c r="H18" s="49">
        <v>21</v>
      </c>
      <c r="I18" s="49">
        <f t="shared" si="0"/>
        <v>5007600</v>
      </c>
      <c r="J18" s="49">
        <v>730000</v>
      </c>
      <c r="K18" s="49">
        <v>500000</v>
      </c>
      <c r="L18" s="49">
        <v>1200000</v>
      </c>
      <c r="M18" s="49">
        <v>3500000</v>
      </c>
      <c r="N18" s="49">
        <v>5930000</v>
      </c>
      <c r="O18" s="49">
        <v>10937600</v>
      </c>
      <c r="P18" s="49">
        <v>11000000</v>
      </c>
      <c r="Q18" s="49">
        <v>3600000</v>
      </c>
      <c r="R18" s="49">
        <f>IF(S18=0,O18*10%,SUMPRODUCT(--TEXT(O18-P18-Q18-{0,5,10,18,32,52,80}*10^6,"#;\0;\0"))*5%)</f>
        <v>0</v>
      </c>
      <c r="S18" s="49">
        <v>525798</v>
      </c>
      <c r="T18" s="49"/>
      <c r="U18" s="49">
        <f t="shared" si="1"/>
        <v>10411802</v>
      </c>
      <c r="V18" s="44"/>
    </row>
    <row r="19" spans="2:22" x14ac:dyDescent="0.3">
      <c r="B19" s="52">
        <v>11</v>
      </c>
      <c r="C19" s="48" t="s">
        <v>47</v>
      </c>
      <c r="D19" s="48" t="s">
        <v>48</v>
      </c>
      <c r="E19" s="48" t="s">
        <v>439</v>
      </c>
      <c r="F19" s="48" t="s">
        <v>26</v>
      </c>
      <c r="G19" s="49">
        <v>5050000</v>
      </c>
      <c r="H19" s="49">
        <v>21</v>
      </c>
      <c r="I19" s="49">
        <f t="shared" si="0"/>
        <v>5050000</v>
      </c>
      <c r="J19" s="49">
        <v>730000</v>
      </c>
      <c r="K19" s="49">
        <v>500000</v>
      </c>
      <c r="L19" s="49">
        <v>1200000</v>
      </c>
      <c r="M19" s="49">
        <v>3500000</v>
      </c>
      <c r="N19" s="49">
        <v>5930000</v>
      </c>
      <c r="O19" s="49">
        <v>10980000</v>
      </c>
      <c r="P19" s="49">
        <v>11000000</v>
      </c>
      <c r="Q19" s="49">
        <v>0</v>
      </c>
      <c r="R19" s="49">
        <f>IF(S19=0,O19*10%,SUMPRODUCT(--TEXT(O19-P19-Q19-{0,5,10,18,32,52,80}*10^6,"#;\0;\0"))*5%)</f>
        <v>0</v>
      </c>
      <c r="S19" s="49">
        <v>530250</v>
      </c>
      <c r="T19" s="49"/>
      <c r="U19" s="49">
        <f t="shared" si="1"/>
        <v>10449750</v>
      </c>
      <c r="V19" s="44"/>
    </row>
    <row r="20" spans="2:22" x14ac:dyDescent="0.3">
      <c r="B20" s="52">
        <v>12</v>
      </c>
      <c r="C20" s="48" t="s">
        <v>49</v>
      </c>
      <c r="D20" s="48" t="s">
        <v>50</v>
      </c>
      <c r="E20" s="48" t="s">
        <v>439</v>
      </c>
      <c r="F20" s="48" t="s">
        <v>26</v>
      </c>
      <c r="G20" s="49">
        <v>5050000</v>
      </c>
      <c r="H20" s="49">
        <v>21</v>
      </c>
      <c r="I20" s="49">
        <f t="shared" si="0"/>
        <v>5050000</v>
      </c>
      <c r="J20" s="49">
        <v>730000</v>
      </c>
      <c r="K20" s="49">
        <v>500000</v>
      </c>
      <c r="L20" s="49">
        <v>1200000</v>
      </c>
      <c r="M20" s="49">
        <v>3500000</v>
      </c>
      <c r="N20" s="49">
        <v>5930000</v>
      </c>
      <c r="O20" s="49">
        <v>10980000</v>
      </c>
      <c r="P20" s="49">
        <v>11000000</v>
      </c>
      <c r="Q20" s="49">
        <v>0</v>
      </c>
      <c r="R20" s="49">
        <f>IF(S20=0,O20*10%,SUMPRODUCT(--TEXT(O20-P20-Q20-{0,5,10,18,32,52,80}*10^6,"#;\0;\0"))*5%)</f>
        <v>0</v>
      </c>
      <c r="S20" s="49">
        <v>530250</v>
      </c>
      <c r="T20" s="49"/>
      <c r="U20" s="49">
        <f t="shared" si="1"/>
        <v>10449750</v>
      </c>
      <c r="V20" s="44"/>
    </row>
    <row r="21" spans="2:22" x14ac:dyDescent="0.3">
      <c r="B21" s="52">
        <v>13</v>
      </c>
      <c r="C21" s="48" t="s">
        <v>51</v>
      </c>
      <c r="D21" s="48" t="s">
        <v>52</v>
      </c>
      <c r="E21" s="48" t="s">
        <v>439</v>
      </c>
      <c r="F21" s="48" t="s">
        <v>26</v>
      </c>
      <c r="G21" s="49">
        <v>5050000</v>
      </c>
      <c r="H21" s="49">
        <v>21</v>
      </c>
      <c r="I21" s="49">
        <f t="shared" si="0"/>
        <v>5050000</v>
      </c>
      <c r="J21" s="49">
        <v>730000</v>
      </c>
      <c r="K21" s="49">
        <v>500000</v>
      </c>
      <c r="L21" s="49">
        <v>1200000</v>
      </c>
      <c r="M21" s="49">
        <v>3500000</v>
      </c>
      <c r="N21" s="49">
        <v>5930000</v>
      </c>
      <c r="O21" s="49">
        <v>10980000</v>
      </c>
      <c r="P21" s="49">
        <v>11000000</v>
      </c>
      <c r="Q21" s="49">
        <v>0</v>
      </c>
      <c r="R21" s="49">
        <f>IF(S21=0,O21*10%,SUMPRODUCT(--TEXT(O21-P21-Q21-{0,5,10,18,32,52,80}*10^6,"#;\0;\0"))*5%)</f>
        <v>0</v>
      </c>
      <c r="S21" s="49">
        <v>530250</v>
      </c>
      <c r="T21" s="49"/>
      <c r="U21" s="49">
        <f t="shared" si="1"/>
        <v>10449750</v>
      </c>
      <c r="V21" s="44"/>
    </row>
    <row r="22" spans="2:22" x14ac:dyDescent="0.3">
      <c r="B22" s="220" t="s">
        <v>193</v>
      </c>
      <c r="C22" s="263"/>
      <c r="D22" s="263"/>
      <c r="E22" s="263"/>
      <c r="F22" s="263"/>
      <c r="G22" s="50">
        <f t="shared" ref="G22:O22" si="2">SUM(G9:G21)</f>
        <v>82203200</v>
      </c>
      <c r="H22" s="50">
        <f t="shared" si="2"/>
        <v>273</v>
      </c>
      <c r="I22" s="50">
        <f t="shared" si="2"/>
        <v>82203200</v>
      </c>
      <c r="J22" s="50">
        <f t="shared" si="2"/>
        <v>9490000</v>
      </c>
      <c r="K22" s="50">
        <f t="shared" si="2"/>
        <v>6500000</v>
      </c>
      <c r="L22" s="50">
        <f t="shared" si="2"/>
        <v>15600000</v>
      </c>
      <c r="M22" s="50">
        <f t="shared" si="2"/>
        <v>72000000</v>
      </c>
      <c r="N22" s="50">
        <f t="shared" si="2"/>
        <v>103590000</v>
      </c>
      <c r="O22" s="50">
        <f t="shared" si="2"/>
        <v>185793200</v>
      </c>
      <c r="P22" s="50"/>
      <c r="Q22" s="50"/>
      <c r="R22" s="45">
        <f>SUM(R9:R21)</f>
        <v>4149000</v>
      </c>
      <c r="S22" s="50">
        <f>SUM(S9:S21)</f>
        <v>6848730</v>
      </c>
      <c r="T22" s="45">
        <f>SUM(T9:T21)</f>
        <v>0</v>
      </c>
      <c r="U22" s="45">
        <f>SUM(U9:U21)</f>
        <v>174795470</v>
      </c>
      <c r="V22" s="41"/>
    </row>
    <row r="24" spans="2:22" x14ac:dyDescent="0.3">
      <c r="R24" s="255">
        <f>WORKDAY.INTL(EOMONTH(DATE(M5,K5,1),0)+1,-1,IF(CHE_DO_NGHI=1,1,11),INDEX(DATA_NGHI_LE[],0,1))</f>
        <v>45289</v>
      </c>
      <c r="S24" s="264"/>
      <c r="T24" s="255"/>
      <c r="U24" s="255"/>
      <c r="V24" s="255"/>
    </row>
    <row r="25" spans="2:22" x14ac:dyDescent="0.3">
      <c r="B25" s="247" t="s">
        <v>304</v>
      </c>
      <c r="C25" s="256"/>
      <c r="D25" s="256"/>
      <c r="K25" s="264" t="s">
        <v>305</v>
      </c>
      <c r="L25" s="264"/>
      <c r="M25" s="264"/>
      <c r="R25" s="247" t="s">
        <v>11</v>
      </c>
      <c r="S25" s="264"/>
      <c r="T25" s="247"/>
      <c r="U25" s="247"/>
      <c r="V25" s="247"/>
    </row>
    <row r="26" spans="2:22" x14ac:dyDescent="0.3">
      <c r="B26" s="248" t="s">
        <v>95</v>
      </c>
      <c r="C26" s="257"/>
      <c r="D26" s="257"/>
      <c r="K26" s="262" t="s">
        <v>95</v>
      </c>
      <c r="L26" s="262"/>
      <c r="M26" s="262"/>
      <c r="R26" s="248" t="s">
        <v>97</v>
      </c>
      <c r="S26" s="262"/>
      <c r="T26" s="248"/>
      <c r="U26" s="248"/>
      <c r="V26" s="248"/>
    </row>
  </sheetData>
  <mergeCells count="27">
    <mergeCell ref="Q7:Q8"/>
    <mergeCell ref="R1:V1"/>
    <mergeCell ref="R2:V2"/>
    <mergeCell ref="R3:V3"/>
    <mergeCell ref="B4:V4"/>
    <mergeCell ref="B7:B8"/>
    <mergeCell ref="C7:C8"/>
    <mergeCell ref="D7:D8"/>
    <mergeCell ref="E7:E8"/>
    <mergeCell ref="F7:F8"/>
    <mergeCell ref="G7:G8"/>
    <mergeCell ref="B26:D26"/>
    <mergeCell ref="K26:M26"/>
    <mergeCell ref="R26:V26"/>
    <mergeCell ref="R7:T7"/>
    <mergeCell ref="U7:U8"/>
    <mergeCell ref="V7:V8"/>
    <mergeCell ref="B22:F22"/>
    <mergeCell ref="R24:V24"/>
    <mergeCell ref="B25:D25"/>
    <mergeCell ref="K25:M25"/>
    <mergeCell ref="R25:V25"/>
    <mergeCell ref="H7:H8"/>
    <mergeCell ref="I7:I8"/>
    <mergeCell ref="J7:N7"/>
    <mergeCell ref="O7:O8"/>
    <mergeCell ref="P7:P8"/>
  </mergeCells>
  <pageMargins left="0.7" right="0.7" top="0.75" bottom="0.75" header="0.3" footer="0.3"/>
  <pageSetup paperSize="9" scale="48" fitToHeight="0" orientation="landscape" cellComments="atEnd"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5229F-A01C-4BD3-A762-2E04EE5F64F0}">
  <sheetPr codeName="Sheet94">
    <pageSetUpPr fitToPage="1"/>
  </sheetPr>
  <dimension ref="A1:L22"/>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1</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5007600</v>
      </c>
      <c r="F8" s="39">
        <v>876330</v>
      </c>
      <c r="G8" s="39">
        <v>150228</v>
      </c>
      <c r="H8" s="39">
        <v>50076</v>
      </c>
      <c r="I8" s="39">
        <v>400608</v>
      </c>
      <c r="J8" s="39">
        <v>75114</v>
      </c>
      <c r="K8" s="39">
        <v>50076</v>
      </c>
      <c r="L8" s="39">
        <v>1602432</v>
      </c>
    </row>
    <row r="9" spans="1:12" x14ac:dyDescent="0.3">
      <c r="A9" s="24">
        <v>2</v>
      </c>
      <c r="B9" s="38" t="s">
        <v>14</v>
      </c>
      <c r="C9" s="38" t="s">
        <v>438</v>
      </c>
      <c r="D9" s="38" t="s">
        <v>15</v>
      </c>
      <c r="E9" s="39">
        <v>5007600</v>
      </c>
      <c r="F9" s="39">
        <v>876330</v>
      </c>
      <c r="G9" s="39">
        <v>150228</v>
      </c>
      <c r="H9" s="39">
        <v>50076</v>
      </c>
      <c r="I9" s="39">
        <v>400608</v>
      </c>
      <c r="J9" s="39">
        <v>75114</v>
      </c>
      <c r="K9" s="39">
        <v>50076</v>
      </c>
      <c r="L9" s="39">
        <v>1602432</v>
      </c>
    </row>
    <row r="10" spans="1:12" x14ac:dyDescent="0.3">
      <c r="A10" s="24">
        <v>3</v>
      </c>
      <c r="B10" s="38" t="s">
        <v>19</v>
      </c>
      <c r="C10" s="38" t="s">
        <v>438</v>
      </c>
      <c r="D10" s="38" t="s">
        <v>20</v>
      </c>
      <c r="E10" s="39">
        <v>5007600</v>
      </c>
      <c r="F10" s="39">
        <v>876330</v>
      </c>
      <c r="G10" s="39">
        <v>150228</v>
      </c>
      <c r="H10" s="39">
        <v>50076</v>
      </c>
      <c r="I10" s="39">
        <v>400608</v>
      </c>
      <c r="J10" s="39">
        <v>75114</v>
      </c>
      <c r="K10" s="39">
        <v>50076</v>
      </c>
      <c r="L10" s="39">
        <v>1602432</v>
      </c>
    </row>
    <row r="11" spans="1:12" x14ac:dyDescent="0.3">
      <c r="A11" s="24">
        <v>4</v>
      </c>
      <c r="B11" s="38" t="s">
        <v>24</v>
      </c>
      <c r="C11" s="38" t="s">
        <v>439</v>
      </c>
      <c r="D11" s="38" t="s">
        <v>25</v>
      </c>
      <c r="E11" s="39">
        <v>5007600</v>
      </c>
      <c r="F11" s="39">
        <v>876330</v>
      </c>
      <c r="G11" s="39">
        <v>150228</v>
      </c>
      <c r="H11" s="39">
        <v>50076</v>
      </c>
      <c r="I11" s="39">
        <v>400608</v>
      </c>
      <c r="J11" s="39">
        <v>75114</v>
      </c>
      <c r="K11" s="39">
        <v>50076</v>
      </c>
      <c r="L11" s="39">
        <v>1602432</v>
      </c>
    </row>
    <row r="12" spans="1:12" x14ac:dyDescent="0.3">
      <c r="A12" s="24">
        <v>5</v>
      </c>
      <c r="B12" s="38" t="s">
        <v>29</v>
      </c>
      <c r="C12" s="38" t="s">
        <v>439</v>
      </c>
      <c r="D12" s="38" t="s">
        <v>30</v>
      </c>
      <c r="E12" s="39">
        <v>5007600</v>
      </c>
      <c r="F12" s="39">
        <v>876330</v>
      </c>
      <c r="G12" s="39">
        <v>150228</v>
      </c>
      <c r="H12" s="39">
        <v>50076</v>
      </c>
      <c r="I12" s="39">
        <v>400608</v>
      </c>
      <c r="J12" s="39">
        <v>75114</v>
      </c>
      <c r="K12" s="39">
        <v>50076</v>
      </c>
      <c r="L12" s="39">
        <v>1602432</v>
      </c>
    </row>
    <row r="13" spans="1:12" x14ac:dyDescent="0.3">
      <c r="A13" s="24">
        <v>6</v>
      </c>
      <c r="B13" s="38" t="s">
        <v>32</v>
      </c>
      <c r="C13" s="38" t="s">
        <v>439</v>
      </c>
      <c r="D13" s="38" t="s">
        <v>33</v>
      </c>
      <c r="E13" s="39">
        <v>5007600</v>
      </c>
      <c r="F13" s="39">
        <v>876330</v>
      </c>
      <c r="G13" s="39">
        <v>150228</v>
      </c>
      <c r="H13" s="39">
        <v>50076</v>
      </c>
      <c r="I13" s="39">
        <v>400608</v>
      </c>
      <c r="J13" s="39">
        <v>75114</v>
      </c>
      <c r="K13" s="39">
        <v>50076</v>
      </c>
      <c r="L13" s="39">
        <v>1602432</v>
      </c>
    </row>
    <row r="14" spans="1:12" x14ac:dyDescent="0.3">
      <c r="A14" s="24">
        <v>7</v>
      </c>
      <c r="B14" s="38" t="s">
        <v>35</v>
      </c>
      <c r="C14" s="38" t="s">
        <v>439</v>
      </c>
      <c r="D14" s="38" t="s">
        <v>36</v>
      </c>
      <c r="E14" s="39">
        <v>5007600</v>
      </c>
      <c r="F14" s="39">
        <v>876330</v>
      </c>
      <c r="G14" s="39">
        <v>150228</v>
      </c>
      <c r="H14" s="39">
        <v>50076</v>
      </c>
      <c r="I14" s="39">
        <v>400608</v>
      </c>
      <c r="J14" s="39">
        <v>75114</v>
      </c>
      <c r="K14" s="39">
        <v>50076</v>
      </c>
      <c r="L14" s="39">
        <v>1602432</v>
      </c>
    </row>
    <row r="15" spans="1:12" x14ac:dyDescent="0.3">
      <c r="A15" s="24">
        <v>8</v>
      </c>
      <c r="B15" s="38" t="s">
        <v>38</v>
      </c>
      <c r="C15" s="38" t="s">
        <v>439</v>
      </c>
      <c r="D15" s="38" t="s">
        <v>39</v>
      </c>
      <c r="E15" s="39">
        <v>5007600</v>
      </c>
      <c r="F15" s="39">
        <v>876330</v>
      </c>
      <c r="G15" s="39">
        <v>150228</v>
      </c>
      <c r="H15" s="39">
        <v>50076</v>
      </c>
      <c r="I15" s="39">
        <v>400608</v>
      </c>
      <c r="J15" s="39">
        <v>75114</v>
      </c>
      <c r="K15" s="39">
        <v>50076</v>
      </c>
      <c r="L15" s="39">
        <v>1602432</v>
      </c>
    </row>
    <row r="16" spans="1:12" x14ac:dyDescent="0.3">
      <c r="A16" s="24">
        <v>9</v>
      </c>
      <c r="B16" s="38" t="s">
        <v>41</v>
      </c>
      <c r="C16" s="38" t="s">
        <v>439</v>
      </c>
      <c r="D16" s="38" t="s">
        <v>42</v>
      </c>
      <c r="E16" s="39">
        <v>5007600</v>
      </c>
      <c r="F16" s="39">
        <v>876330</v>
      </c>
      <c r="G16" s="39">
        <v>150228</v>
      </c>
      <c r="H16" s="39">
        <v>50076</v>
      </c>
      <c r="I16" s="39">
        <v>400608</v>
      </c>
      <c r="J16" s="39">
        <v>75114</v>
      </c>
      <c r="K16" s="39">
        <v>50076</v>
      </c>
      <c r="L16" s="39">
        <v>1602432</v>
      </c>
    </row>
    <row r="17" spans="1:12" x14ac:dyDescent="0.3">
      <c r="A17" s="24">
        <v>10</v>
      </c>
      <c r="B17" s="38" t="s">
        <v>44</v>
      </c>
      <c r="C17" s="38" t="s">
        <v>439</v>
      </c>
      <c r="D17" s="38" t="s">
        <v>45</v>
      </c>
      <c r="E17" s="39">
        <v>5007600</v>
      </c>
      <c r="F17" s="39">
        <v>876330</v>
      </c>
      <c r="G17" s="39">
        <v>150228</v>
      </c>
      <c r="H17" s="39">
        <v>50076</v>
      </c>
      <c r="I17" s="39">
        <v>400608</v>
      </c>
      <c r="J17" s="39">
        <v>75114</v>
      </c>
      <c r="K17" s="39">
        <v>50076</v>
      </c>
      <c r="L17" s="39">
        <v>1602432</v>
      </c>
    </row>
    <row r="18" spans="1:12" x14ac:dyDescent="0.3">
      <c r="A18" s="24"/>
      <c r="B18" s="38"/>
      <c r="C18" s="38"/>
      <c r="D18" s="265" t="s">
        <v>114</v>
      </c>
      <c r="E18" s="266">
        <v>50076000</v>
      </c>
      <c r="F18" s="266">
        <v>8763300</v>
      </c>
      <c r="G18" s="266">
        <v>1502280</v>
      </c>
      <c r="H18" s="266">
        <v>500760</v>
      </c>
      <c r="I18" s="266">
        <v>4006080</v>
      </c>
      <c r="J18" s="266">
        <v>751140</v>
      </c>
      <c r="K18" s="266">
        <v>500760</v>
      </c>
      <c r="L18" s="266">
        <v>16024320</v>
      </c>
    </row>
    <row r="20" spans="1:12" x14ac:dyDescent="0.3">
      <c r="H20" s="260" t="s">
        <v>126</v>
      </c>
      <c r="I20" s="260"/>
      <c r="J20" s="260"/>
      <c r="K20" s="260"/>
      <c r="L20" s="260"/>
    </row>
    <row r="21" spans="1:12" x14ac:dyDescent="0.3">
      <c r="B21" s="258" t="s">
        <v>125</v>
      </c>
      <c r="C21" s="258"/>
      <c r="H21" s="260" t="s">
        <v>11</v>
      </c>
      <c r="I21" s="260"/>
      <c r="J21" s="260"/>
      <c r="K21" s="260"/>
      <c r="L21" s="260"/>
    </row>
    <row r="22" spans="1:12" x14ac:dyDescent="0.3">
      <c r="B22" s="259" t="s">
        <v>95</v>
      </c>
      <c r="C22" s="259"/>
      <c r="H22" s="261" t="s">
        <v>97</v>
      </c>
      <c r="I22" s="261"/>
      <c r="J22" s="261"/>
      <c r="K22" s="261"/>
      <c r="L22" s="261"/>
    </row>
  </sheetData>
  <mergeCells count="6">
    <mergeCell ref="A4:L4"/>
    <mergeCell ref="B21:C21"/>
    <mergeCell ref="B22:C22"/>
    <mergeCell ref="H21:L21"/>
    <mergeCell ref="H22:L22"/>
    <mergeCell ref="H20:L20"/>
  </mergeCells>
  <pageMargins left="0.7" right="0.7" top="0.75" bottom="0.75" header="0.3" footer="0.3"/>
  <pageSetup paperSize="9" scale="75" fitToHeight="0" orientation="landscape" cellComments="atEnd"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B27B4-918D-4C06-A088-68C9181924AA}">
  <sheetPr codeName="Sheet95">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2</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5007600</v>
      </c>
      <c r="F8" s="39">
        <v>876330</v>
      </c>
      <c r="G8" s="39">
        <v>150228</v>
      </c>
      <c r="H8" s="39">
        <v>50076</v>
      </c>
      <c r="I8" s="39">
        <v>400608</v>
      </c>
      <c r="J8" s="39">
        <v>75114</v>
      </c>
      <c r="K8" s="39">
        <v>50076</v>
      </c>
      <c r="L8" s="39">
        <v>1602432</v>
      </c>
    </row>
    <row r="9" spans="1:12" x14ac:dyDescent="0.3">
      <c r="A9" s="24">
        <v>2</v>
      </c>
      <c r="B9" s="38" t="s">
        <v>14</v>
      </c>
      <c r="C9" s="38" t="s">
        <v>438</v>
      </c>
      <c r="D9" s="38" t="s">
        <v>15</v>
      </c>
      <c r="E9" s="39">
        <v>5007600</v>
      </c>
      <c r="F9" s="39">
        <v>876330</v>
      </c>
      <c r="G9" s="39">
        <v>150228</v>
      </c>
      <c r="H9" s="39">
        <v>50076</v>
      </c>
      <c r="I9" s="39">
        <v>400608</v>
      </c>
      <c r="J9" s="39">
        <v>75114</v>
      </c>
      <c r="K9" s="39">
        <v>50076</v>
      </c>
      <c r="L9" s="39">
        <v>1602432</v>
      </c>
    </row>
    <row r="10" spans="1:12" x14ac:dyDescent="0.3">
      <c r="A10" s="24">
        <v>3</v>
      </c>
      <c r="B10" s="38" t="s">
        <v>19</v>
      </c>
      <c r="C10" s="38" t="s">
        <v>438</v>
      </c>
      <c r="D10" s="38" t="s">
        <v>20</v>
      </c>
      <c r="E10" s="39">
        <v>5007600</v>
      </c>
      <c r="F10" s="39">
        <v>876330</v>
      </c>
      <c r="G10" s="39">
        <v>150228</v>
      </c>
      <c r="H10" s="39">
        <v>50076</v>
      </c>
      <c r="I10" s="39">
        <v>400608</v>
      </c>
      <c r="J10" s="39">
        <v>75114</v>
      </c>
      <c r="K10" s="39">
        <v>50076</v>
      </c>
      <c r="L10" s="39">
        <v>1602432</v>
      </c>
    </row>
    <row r="11" spans="1:12" x14ac:dyDescent="0.3">
      <c r="A11" s="24">
        <v>4</v>
      </c>
      <c r="B11" s="38" t="s">
        <v>24</v>
      </c>
      <c r="C11" s="38" t="s">
        <v>439</v>
      </c>
      <c r="D11" s="38" t="s">
        <v>25</v>
      </c>
      <c r="E11" s="39">
        <v>5007600</v>
      </c>
      <c r="F11" s="39">
        <v>876330</v>
      </c>
      <c r="G11" s="39">
        <v>150228</v>
      </c>
      <c r="H11" s="39">
        <v>50076</v>
      </c>
      <c r="I11" s="39">
        <v>400608</v>
      </c>
      <c r="J11" s="39">
        <v>75114</v>
      </c>
      <c r="K11" s="39">
        <v>50076</v>
      </c>
      <c r="L11" s="39">
        <v>1602432</v>
      </c>
    </row>
    <row r="12" spans="1:12" x14ac:dyDescent="0.3">
      <c r="A12" s="24">
        <v>5</v>
      </c>
      <c r="B12" s="38" t="s">
        <v>29</v>
      </c>
      <c r="C12" s="38" t="s">
        <v>439</v>
      </c>
      <c r="D12" s="38" t="s">
        <v>30</v>
      </c>
      <c r="E12" s="39">
        <v>5007600</v>
      </c>
      <c r="F12" s="39">
        <v>876330</v>
      </c>
      <c r="G12" s="39">
        <v>150228</v>
      </c>
      <c r="H12" s="39">
        <v>50076</v>
      </c>
      <c r="I12" s="39">
        <v>400608</v>
      </c>
      <c r="J12" s="39">
        <v>75114</v>
      </c>
      <c r="K12" s="39">
        <v>50076</v>
      </c>
      <c r="L12" s="39">
        <v>1602432</v>
      </c>
    </row>
    <row r="13" spans="1:12" x14ac:dyDescent="0.3">
      <c r="A13" s="24">
        <v>6</v>
      </c>
      <c r="B13" s="38" t="s">
        <v>32</v>
      </c>
      <c r="C13" s="38" t="s">
        <v>439</v>
      </c>
      <c r="D13" s="38" t="s">
        <v>33</v>
      </c>
      <c r="E13" s="39">
        <v>5007600</v>
      </c>
      <c r="F13" s="39">
        <v>876330</v>
      </c>
      <c r="G13" s="39">
        <v>150228</v>
      </c>
      <c r="H13" s="39">
        <v>50076</v>
      </c>
      <c r="I13" s="39">
        <v>400608</v>
      </c>
      <c r="J13" s="39">
        <v>75114</v>
      </c>
      <c r="K13" s="39">
        <v>50076</v>
      </c>
      <c r="L13" s="39">
        <v>1602432</v>
      </c>
    </row>
    <row r="14" spans="1:12" x14ac:dyDescent="0.3">
      <c r="A14" s="24">
        <v>7</v>
      </c>
      <c r="B14" s="38" t="s">
        <v>35</v>
      </c>
      <c r="C14" s="38" t="s">
        <v>439</v>
      </c>
      <c r="D14" s="38" t="s">
        <v>36</v>
      </c>
      <c r="E14" s="39">
        <v>5007600</v>
      </c>
      <c r="F14" s="39">
        <v>876330</v>
      </c>
      <c r="G14" s="39">
        <v>150228</v>
      </c>
      <c r="H14" s="39">
        <v>50076</v>
      </c>
      <c r="I14" s="39">
        <v>400608</v>
      </c>
      <c r="J14" s="39">
        <v>75114</v>
      </c>
      <c r="K14" s="39">
        <v>50076</v>
      </c>
      <c r="L14" s="39">
        <v>1602432</v>
      </c>
    </row>
    <row r="15" spans="1:12" x14ac:dyDescent="0.3">
      <c r="A15" s="24">
        <v>8</v>
      </c>
      <c r="B15" s="38" t="s">
        <v>38</v>
      </c>
      <c r="C15" s="38" t="s">
        <v>439</v>
      </c>
      <c r="D15" s="38" t="s">
        <v>39</v>
      </c>
      <c r="E15" s="39">
        <v>5007600</v>
      </c>
      <c r="F15" s="39">
        <v>876330</v>
      </c>
      <c r="G15" s="39">
        <v>150228</v>
      </c>
      <c r="H15" s="39">
        <v>50076</v>
      </c>
      <c r="I15" s="39">
        <v>400608</v>
      </c>
      <c r="J15" s="39">
        <v>75114</v>
      </c>
      <c r="K15" s="39">
        <v>50076</v>
      </c>
      <c r="L15" s="39">
        <v>1602432</v>
      </c>
    </row>
    <row r="16" spans="1:12" x14ac:dyDescent="0.3">
      <c r="A16" s="24">
        <v>9</v>
      </c>
      <c r="B16" s="38" t="s">
        <v>41</v>
      </c>
      <c r="C16" s="38" t="s">
        <v>439</v>
      </c>
      <c r="D16" s="38" t="s">
        <v>42</v>
      </c>
      <c r="E16" s="39">
        <v>5007600</v>
      </c>
      <c r="F16" s="39">
        <v>876330</v>
      </c>
      <c r="G16" s="39">
        <v>150228</v>
      </c>
      <c r="H16" s="39">
        <v>50076</v>
      </c>
      <c r="I16" s="39">
        <v>400608</v>
      </c>
      <c r="J16" s="39">
        <v>75114</v>
      </c>
      <c r="K16" s="39">
        <v>50076</v>
      </c>
      <c r="L16" s="39">
        <v>1602432</v>
      </c>
    </row>
    <row r="17" spans="1:12" x14ac:dyDescent="0.3">
      <c r="A17" s="24">
        <v>10</v>
      </c>
      <c r="B17" s="38" t="s">
        <v>44</v>
      </c>
      <c r="C17" s="38" t="s">
        <v>439</v>
      </c>
      <c r="D17" s="38" t="s">
        <v>45</v>
      </c>
      <c r="E17" s="39">
        <v>5007600</v>
      </c>
      <c r="F17" s="39">
        <v>876330</v>
      </c>
      <c r="G17" s="39">
        <v>150228</v>
      </c>
      <c r="H17" s="39">
        <v>50076</v>
      </c>
      <c r="I17" s="39">
        <v>400608</v>
      </c>
      <c r="J17" s="39">
        <v>75114</v>
      </c>
      <c r="K17" s="39">
        <v>50076</v>
      </c>
      <c r="L17" s="39">
        <v>1602432</v>
      </c>
    </row>
    <row r="18" spans="1:12" x14ac:dyDescent="0.3">
      <c r="A18" s="24">
        <v>11</v>
      </c>
      <c r="B18" s="38" t="s">
        <v>47</v>
      </c>
      <c r="C18" s="38" t="s">
        <v>439</v>
      </c>
      <c r="D18" s="38" t="s">
        <v>48</v>
      </c>
      <c r="E18" s="39">
        <v>5050000</v>
      </c>
      <c r="F18" s="39">
        <v>883750</v>
      </c>
      <c r="G18" s="39">
        <v>151500</v>
      </c>
      <c r="H18" s="39">
        <v>50500</v>
      </c>
      <c r="I18" s="39">
        <v>404000</v>
      </c>
      <c r="J18" s="39">
        <v>75750</v>
      </c>
      <c r="K18" s="39">
        <v>50500</v>
      </c>
      <c r="L18" s="39">
        <v>1616000</v>
      </c>
    </row>
    <row r="19" spans="1:12" x14ac:dyDescent="0.3">
      <c r="A19" s="24">
        <v>12</v>
      </c>
      <c r="B19" s="38" t="s">
        <v>49</v>
      </c>
      <c r="C19" s="38" t="s">
        <v>439</v>
      </c>
      <c r="D19" s="38" t="s">
        <v>50</v>
      </c>
      <c r="E19" s="39">
        <v>5050000</v>
      </c>
      <c r="F19" s="39">
        <v>883750</v>
      </c>
      <c r="G19" s="39">
        <v>151500</v>
      </c>
      <c r="H19" s="39">
        <v>50500</v>
      </c>
      <c r="I19" s="39">
        <v>404000</v>
      </c>
      <c r="J19" s="39">
        <v>75750</v>
      </c>
      <c r="K19" s="39">
        <v>50500</v>
      </c>
      <c r="L19" s="39">
        <v>1616000</v>
      </c>
    </row>
    <row r="20" spans="1:12" x14ac:dyDescent="0.3">
      <c r="A20" s="24">
        <v>13</v>
      </c>
      <c r="B20" s="38" t="s">
        <v>51</v>
      </c>
      <c r="C20" s="38" t="s">
        <v>439</v>
      </c>
      <c r="D20" s="38" t="s">
        <v>52</v>
      </c>
      <c r="E20" s="39">
        <v>5050000</v>
      </c>
      <c r="F20" s="39">
        <v>883750</v>
      </c>
      <c r="G20" s="39">
        <v>151500</v>
      </c>
      <c r="H20" s="39">
        <v>50500</v>
      </c>
      <c r="I20" s="39">
        <v>404000</v>
      </c>
      <c r="J20" s="39">
        <v>75750</v>
      </c>
      <c r="K20" s="39">
        <v>50500</v>
      </c>
      <c r="L20" s="39">
        <v>1616000</v>
      </c>
    </row>
    <row r="21" spans="1:12" x14ac:dyDescent="0.3">
      <c r="A21" s="24">
        <v>14</v>
      </c>
      <c r="B21" s="38" t="s">
        <v>53</v>
      </c>
      <c r="C21" s="38" t="s">
        <v>439</v>
      </c>
      <c r="D21" s="38" t="s">
        <v>54</v>
      </c>
      <c r="E21" s="39">
        <v>5050000</v>
      </c>
      <c r="F21" s="39">
        <v>883750</v>
      </c>
      <c r="G21" s="39">
        <v>151500</v>
      </c>
      <c r="H21" s="39">
        <v>50500</v>
      </c>
      <c r="I21" s="39">
        <v>404000</v>
      </c>
      <c r="J21" s="39">
        <v>75750</v>
      </c>
      <c r="K21" s="39">
        <v>50500</v>
      </c>
      <c r="L21" s="39">
        <v>1616000</v>
      </c>
    </row>
    <row r="22" spans="1:12" x14ac:dyDescent="0.3">
      <c r="A22" s="24">
        <v>15</v>
      </c>
      <c r="B22" s="38" t="s">
        <v>55</v>
      </c>
      <c r="C22" s="38" t="s">
        <v>439</v>
      </c>
      <c r="D22" s="38" t="s">
        <v>56</v>
      </c>
      <c r="E22" s="39">
        <v>5050000</v>
      </c>
      <c r="F22" s="39">
        <v>883750</v>
      </c>
      <c r="G22" s="39">
        <v>151500</v>
      </c>
      <c r="H22" s="39">
        <v>50500</v>
      </c>
      <c r="I22" s="39">
        <v>404000</v>
      </c>
      <c r="J22" s="39">
        <v>75750</v>
      </c>
      <c r="K22" s="39">
        <v>50500</v>
      </c>
      <c r="L22" s="39">
        <v>1616000</v>
      </c>
    </row>
    <row r="23" spans="1:12" x14ac:dyDescent="0.3">
      <c r="A23" s="24"/>
      <c r="B23" s="38"/>
      <c r="C23" s="38"/>
      <c r="D23" s="265" t="s">
        <v>114</v>
      </c>
      <c r="E23" s="266">
        <v>75326000</v>
      </c>
      <c r="F23" s="266">
        <v>13182050</v>
      </c>
      <c r="G23" s="266">
        <v>2259780</v>
      </c>
      <c r="H23" s="266">
        <v>753260</v>
      </c>
      <c r="I23" s="266">
        <v>6026080</v>
      </c>
      <c r="J23" s="266">
        <v>1129890</v>
      </c>
      <c r="K23" s="266">
        <v>753260</v>
      </c>
      <c r="L23" s="266">
        <v>24104320</v>
      </c>
    </row>
    <row r="25" spans="1:12" x14ac:dyDescent="0.3">
      <c r="H25" s="260" t="s">
        <v>127</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261C1-D9BA-4807-8498-854BA2D78A27}">
  <sheetPr codeName="Sheet96">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3</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5007600</v>
      </c>
      <c r="F8" s="39">
        <v>876330</v>
      </c>
      <c r="G8" s="39">
        <v>150228</v>
      </c>
      <c r="H8" s="39">
        <v>50076</v>
      </c>
      <c r="I8" s="39">
        <v>400608</v>
      </c>
      <c r="J8" s="39">
        <v>75114</v>
      </c>
      <c r="K8" s="39">
        <v>50076</v>
      </c>
      <c r="L8" s="39">
        <v>1602432</v>
      </c>
    </row>
    <row r="9" spans="1:12" x14ac:dyDescent="0.3">
      <c r="A9" s="24">
        <v>2</v>
      </c>
      <c r="B9" s="38" t="s">
        <v>14</v>
      </c>
      <c r="C9" s="38" t="s">
        <v>438</v>
      </c>
      <c r="D9" s="38" t="s">
        <v>15</v>
      </c>
      <c r="E9" s="39">
        <v>5007600</v>
      </c>
      <c r="F9" s="39">
        <v>876330</v>
      </c>
      <c r="G9" s="39">
        <v>150228</v>
      </c>
      <c r="H9" s="39">
        <v>50076</v>
      </c>
      <c r="I9" s="39">
        <v>400608</v>
      </c>
      <c r="J9" s="39">
        <v>75114</v>
      </c>
      <c r="K9" s="39">
        <v>50076</v>
      </c>
      <c r="L9" s="39">
        <v>1602432</v>
      </c>
    </row>
    <row r="10" spans="1:12" x14ac:dyDescent="0.3">
      <c r="A10" s="24">
        <v>3</v>
      </c>
      <c r="B10" s="38" t="s">
        <v>19</v>
      </c>
      <c r="C10" s="38" t="s">
        <v>438</v>
      </c>
      <c r="D10" s="38" t="s">
        <v>20</v>
      </c>
      <c r="E10" s="39">
        <v>5007600</v>
      </c>
      <c r="F10" s="39">
        <v>876330</v>
      </c>
      <c r="G10" s="39">
        <v>150228</v>
      </c>
      <c r="H10" s="39">
        <v>50076</v>
      </c>
      <c r="I10" s="39">
        <v>400608</v>
      </c>
      <c r="J10" s="39">
        <v>75114</v>
      </c>
      <c r="K10" s="39">
        <v>50076</v>
      </c>
      <c r="L10" s="39">
        <v>1602432</v>
      </c>
    </row>
    <row r="11" spans="1:12" x14ac:dyDescent="0.3">
      <c r="A11" s="24">
        <v>4</v>
      </c>
      <c r="B11" s="38" t="s">
        <v>24</v>
      </c>
      <c r="C11" s="38" t="s">
        <v>439</v>
      </c>
      <c r="D11" s="38" t="s">
        <v>25</v>
      </c>
      <c r="E11" s="39">
        <v>5007600</v>
      </c>
      <c r="F11" s="39">
        <v>876330</v>
      </c>
      <c r="G11" s="39">
        <v>150228</v>
      </c>
      <c r="H11" s="39">
        <v>50076</v>
      </c>
      <c r="I11" s="39">
        <v>400608</v>
      </c>
      <c r="J11" s="39">
        <v>75114</v>
      </c>
      <c r="K11" s="39">
        <v>50076</v>
      </c>
      <c r="L11" s="39">
        <v>1602432</v>
      </c>
    </row>
    <row r="12" spans="1:12" x14ac:dyDescent="0.3">
      <c r="A12" s="24">
        <v>5</v>
      </c>
      <c r="B12" s="38" t="s">
        <v>29</v>
      </c>
      <c r="C12" s="38" t="s">
        <v>439</v>
      </c>
      <c r="D12" s="38" t="s">
        <v>30</v>
      </c>
      <c r="E12" s="39">
        <v>5007600</v>
      </c>
      <c r="F12" s="39">
        <v>876330</v>
      </c>
      <c r="G12" s="39">
        <v>150228</v>
      </c>
      <c r="H12" s="39">
        <v>50076</v>
      </c>
      <c r="I12" s="39">
        <v>400608</v>
      </c>
      <c r="J12" s="39">
        <v>75114</v>
      </c>
      <c r="K12" s="39">
        <v>50076</v>
      </c>
      <c r="L12" s="39">
        <v>1602432</v>
      </c>
    </row>
    <row r="13" spans="1:12" x14ac:dyDescent="0.3">
      <c r="A13" s="24">
        <v>6</v>
      </c>
      <c r="B13" s="38" t="s">
        <v>32</v>
      </c>
      <c r="C13" s="38" t="s">
        <v>439</v>
      </c>
      <c r="D13" s="38" t="s">
        <v>33</v>
      </c>
      <c r="E13" s="39">
        <v>5007600</v>
      </c>
      <c r="F13" s="39">
        <v>876330</v>
      </c>
      <c r="G13" s="39">
        <v>150228</v>
      </c>
      <c r="H13" s="39">
        <v>50076</v>
      </c>
      <c r="I13" s="39">
        <v>400608</v>
      </c>
      <c r="J13" s="39">
        <v>75114</v>
      </c>
      <c r="K13" s="39">
        <v>50076</v>
      </c>
      <c r="L13" s="39">
        <v>1602432</v>
      </c>
    </row>
    <row r="14" spans="1:12" x14ac:dyDescent="0.3">
      <c r="A14" s="24">
        <v>7</v>
      </c>
      <c r="B14" s="38" t="s">
        <v>35</v>
      </c>
      <c r="C14" s="38" t="s">
        <v>439</v>
      </c>
      <c r="D14" s="38" t="s">
        <v>36</v>
      </c>
      <c r="E14" s="39">
        <v>5007600</v>
      </c>
      <c r="F14" s="39">
        <v>876330</v>
      </c>
      <c r="G14" s="39">
        <v>150228</v>
      </c>
      <c r="H14" s="39">
        <v>50076</v>
      </c>
      <c r="I14" s="39">
        <v>400608</v>
      </c>
      <c r="J14" s="39">
        <v>75114</v>
      </c>
      <c r="K14" s="39">
        <v>50076</v>
      </c>
      <c r="L14" s="39">
        <v>1602432</v>
      </c>
    </row>
    <row r="15" spans="1:12" x14ac:dyDescent="0.3">
      <c r="A15" s="24">
        <v>8</v>
      </c>
      <c r="B15" s="38" t="s">
        <v>38</v>
      </c>
      <c r="C15" s="38" t="s">
        <v>439</v>
      </c>
      <c r="D15" s="38" t="s">
        <v>39</v>
      </c>
      <c r="E15" s="39">
        <v>5007600</v>
      </c>
      <c r="F15" s="39">
        <v>876330</v>
      </c>
      <c r="G15" s="39">
        <v>150228</v>
      </c>
      <c r="H15" s="39">
        <v>50076</v>
      </c>
      <c r="I15" s="39">
        <v>400608</v>
      </c>
      <c r="J15" s="39">
        <v>75114</v>
      </c>
      <c r="K15" s="39">
        <v>50076</v>
      </c>
      <c r="L15" s="39">
        <v>1602432</v>
      </c>
    </row>
    <row r="16" spans="1:12" x14ac:dyDescent="0.3">
      <c r="A16" s="24">
        <v>9</v>
      </c>
      <c r="B16" s="38" t="s">
        <v>41</v>
      </c>
      <c r="C16" s="38" t="s">
        <v>439</v>
      </c>
      <c r="D16" s="38" t="s">
        <v>42</v>
      </c>
      <c r="E16" s="39">
        <v>5007600</v>
      </c>
      <c r="F16" s="39">
        <v>876330</v>
      </c>
      <c r="G16" s="39">
        <v>150228</v>
      </c>
      <c r="H16" s="39">
        <v>50076</v>
      </c>
      <c r="I16" s="39">
        <v>400608</v>
      </c>
      <c r="J16" s="39">
        <v>75114</v>
      </c>
      <c r="K16" s="39">
        <v>50076</v>
      </c>
      <c r="L16" s="39">
        <v>1602432</v>
      </c>
    </row>
    <row r="17" spans="1:12" x14ac:dyDescent="0.3">
      <c r="A17" s="24">
        <v>10</v>
      </c>
      <c r="B17" s="38" t="s">
        <v>44</v>
      </c>
      <c r="C17" s="38" t="s">
        <v>439</v>
      </c>
      <c r="D17" s="38" t="s">
        <v>45</v>
      </c>
      <c r="E17" s="39">
        <v>5007600</v>
      </c>
      <c r="F17" s="39">
        <v>876330</v>
      </c>
      <c r="G17" s="39">
        <v>150228</v>
      </c>
      <c r="H17" s="39">
        <v>50076</v>
      </c>
      <c r="I17" s="39">
        <v>400608</v>
      </c>
      <c r="J17" s="39">
        <v>75114</v>
      </c>
      <c r="K17" s="39">
        <v>50076</v>
      </c>
      <c r="L17" s="39">
        <v>1602432</v>
      </c>
    </row>
    <row r="18" spans="1:12" x14ac:dyDescent="0.3">
      <c r="A18" s="24">
        <v>11</v>
      </c>
      <c r="B18" s="38" t="s">
        <v>47</v>
      </c>
      <c r="C18" s="38" t="s">
        <v>439</v>
      </c>
      <c r="D18" s="38" t="s">
        <v>48</v>
      </c>
      <c r="E18" s="39">
        <v>5050000</v>
      </c>
      <c r="F18" s="39">
        <v>883750</v>
      </c>
      <c r="G18" s="39">
        <v>151500</v>
      </c>
      <c r="H18" s="39">
        <v>50500</v>
      </c>
      <c r="I18" s="39">
        <v>404000</v>
      </c>
      <c r="J18" s="39">
        <v>75750</v>
      </c>
      <c r="K18" s="39">
        <v>50500</v>
      </c>
      <c r="L18" s="39">
        <v>1616000</v>
      </c>
    </row>
    <row r="19" spans="1:12" x14ac:dyDescent="0.3">
      <c r="A19" s="24">
        <v>12</v>
      </c>
      <c r="B19" s="38" t="s">
        <v>49</v>
      </c>
      <c r="C19" s="38" t="s">
        <v>439</v>
      </c>
      <c r="D19" s="38" t="s">
        <v>50</v>
      </c>
      <c r="E19" s="39">
        <v>5050000</v>
      </c>
      <c r="F19" s="39">
        <v>883750</v>
      </c>
      <c r="G19" s="39">
        <v>151500</v>
      </c>
      <c r="H19" s="39">
        <v>50500</v>
      </c>
      <c r="I19" s="39">
        <v>404000</v>
      </c>
      <c r="J19" s="39">
        <v>75750</v>
      </c>
      <c r="K19" s="39">
        <v>50500</v>
      </c>
      <c r="L19" s="39">
        <v>1616000</v>
      </c>
    </row>
    <row r="20" spans="1:12" x14ac:dyDescent="0.3">
      <c r="A20" s="24">
        <v>13</v>
      </c>
      <c r="B20" s="38" t="s">
        <v>51</v>
      </c>
      <c r="C20" s="38" t="s">
        <v>439</v>
      </c>
      <c r="D20" s="38" t="s">
        <v>52</v>
      </c>
      <c r="E20" s="39">
        <v>5050000</v>
      </c>
      <c r="F20" s="39">
        <v>883750</v>
      </c>
      <c r="G20" s="39">
        <v>151500</v>
      </c>
      <c r="H20" s="39">
        <v>50500</v>
      </c>
      <c r="I20" s="39">
        <v>404000</v>
      </c>
      <c r="J20" s="39">
        <v>75750</v>
      </c>
      <c r="K20" s="39">
        <v>50500</v>
      </c>
      <c r="L20" s="39">
        <v>1616000</v>
      </c>
    </row>
    <row r="21" spans="1:12" x14ac:dyDescent="0.3">
      <c r="A21" s="24">
        <v>14</v>
      </c>
      <c r="B21" s="38" t="s">
        <v>53</v>
      </c>
      <c r="C21" s="38" t="s">
        <v>439</v>
      </c>
      <c r="D21" s="38" t="s">
        <v>54</v>
      </c>
      <c r="E21" s="39">
        <v>5050000</v>
      </c>
      <c r="F21" s="39">
        <v>883750</v>
      </c>
      <c r="G21" s="39">
        <v>151500</v>
      </c>
      <c r="H21" s="39">
        <v>50500</v>
      </c>
      <c r="I21" s="39">
        <v>404000</v>
      </c>
      <c r="J21" s="39">
        <v>75750</v>
      </c>
      <c r="K21" s="39">
        <v>50500</v>
      </c>
      <c r="L21" s="39">
        <v>1616000</v>
      </c>
    </row>
    <row r="22" spans="1:12" x14ac:dyDescent="0.3">
      <c r="A22" s="24">
        <v>15</v>
      </c>
      <c r="B22" s="38" t="s">
        <v>55</v>
      </c>
      <c r="C22" s="38" t="s">
        <v>439</v>
      </c>
      <c r="D22" s="38" t="s">
        <v>56</v>
      </c>
      <c r="E22" s="39">
        <v>5050000</v>
      </c>
      <c r="F22" s="39">
        <v>883750</v>
      </c>
      <c r="G22" s="39">
        <v>151500</v>
      </c>
      <c r="H22" s="39">
        <v>50500</v>
      </c>
      <c r="I22" s="39">
        <v>404000</v>
      </c>
      <c r="J22" s="39">
        <v>75750</v>
      </c>
      <c r="K22" s="39">
        <v>50500</v>
      </c>
      <c r="L22" s="39">
        <v>1616000</v>
      </c>
    </row>
    <row r="23" spans="1:12" x14ac:dyDescent="0.3">
      <c r="A23" s="24"/>
      <c r="B23" s="38"/>
      <c r="C23" s="38"/>
      <c r="D23" s="265" t="s">
        <v>114</v>
      </c>
      <c r="E23" s="266">
        <v>75326000</v>
      </c>
      <c r="F23" s="266">
        <v>13182050</v>
      </c>
      <c r="G23" s="266">
        <v>2259780</v>
      </c>
      <c r="H23" s="266">
        <v>753260</v>
      </c>
      <c r="I23" s="266">
        <v>6026080</v>
      </c>
      <c r="J23" s="266">
        <v>1129890</v>
      </c>
      <c r="K23" s="266">
        <v>753260</v>
      </c>
      <c r="L23" s="266">
        <v>24104320</v>
      </c>
    </row>
    <row r="25" spans="1:12" x14ac:dyDescent="0.3">
      <c r="H25" s="260" t="s">
        <v>128</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B7A4-A2EA-4F58-8A02-C35F6FA79AE0}">
  <sheetPr codeName="Sheet97">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4</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5007600</v>
      </c>
      <c r="F8" s="39">
        <v>876330</v>
      </c>
      <c r="G8" s="39">
        <v>150228</v>
      </c>
      <c r="H8" s="39">
        <v>50076</v>
      </c>
      <c r="I8" s="39">
        <v>400608</v>
      </c>
      <c r="J8" s="39">
        <v>75114</v>
      </c>
      <c r="K8" s="39">
        <v>50076</v>
      </c>
      <c r="L8" s="39">
        <v>1602432</v>
      </c>
    </row>
    <row r="9" spans="1:12" x14ac:dyDescent="0.3">
      <c r="A9" s="24">
        <v>2</v>
      </c>
      <c r="B9" s="38" t="s">
        <v>14</v>
      </c>
      <c r="C9" s="38" t="s">
        <v>438</v>
      </c>
      <c r="D9" s="38" t="s">
        <v>15</v>
      </c>
      <c r="E9" s="39">
        <v>5007600</v>
      </c>
      <c r="F9" s="39">
        <v>876330</v>
      </c>
      <c r="G9" s="39">
        <v>150228</v>
      </c>
      <c r="H9" s="39">
        <v>50076</v>
      </c>
      <c r="I9" s="39">
        <v>400608</v>
      </c>
      <c r="J9" s="39">
        <v>75114</v>
      </c>
      <c r="K9" s="39">
        <v>50076</v>
      </c>
      <c r="L9" s="39">
        <v>1602432</v>
      </c>
    </row>
    <row r="10" spans="1:12" x14ac:dyDescent="0.3">
      <c r="A10" s="24">
        <v>3</v>
      </c>
      <c r="B10" s="38" t="s">
        <v>19</v>
      </c>
      <c r="C10" s="38" t="s">
        <v>438</v>
      </c>
      <c r="D10" s="38" t="s">
        <v>20</v>
      </c>
      <c r="E10" s="39">
        <v>5007600</v>
      </c>
      <c r="F10" s="39">
        <v>876330</v>
      </c>
      <c r="G10" s="39">
        <v>150228</v>
      </c>
      <c r="H10" s="39">
        <v>50076</v>
      </c>
      <c r="I10" s="39">
        <v>400608</v>
      </c>
      <c r="J10" s="39">
        <v>75114</v>
      </c>
      <c r="K10" s="39">
        <v>50076</v>
      </c>
      <c r="L10" s="39">
        <v>1602432</v>
      </c>
    </row>
    <row r="11" spans="1:12" x14ac:dyDescent="0.3">
      <c r="A11" s="24">
        <v>4</v>
      </c>
      <c r="B11" s="38" t="s">
        <v>24</v>
      </c>
      <c r="C11" s="38" t="s">
        <v>439</v>
      </c>
      <c r="D11" s="38" t="s">
        <v>25</v>
      </c>
      <c r="E11" s="39">
        <v>5007600</v>
      </c>
      <c r="F11" s="39">
        <v>876330</v>
      </c>
      <c r="G11" s="39">
        <v>150228</v>
      </c>
      <c r="H11" s="39">
        <v>50076</v>
      </c>
      <c r="I11" s="39">
        <v>400608</v>
      </c>
      <c r="J11" s="39">
        <v>75114</v>
      </c>
      <c r="K11" s="39">
        <v>50076</v>
      </c>
      <c r="L11" s="39">
        <v>1602432</v>
      </c>
    </row>
    <row r="12" spans="1:12" x14ac:dyDescent="0.3">
      <c r="A12" s="24">
        <v>5</v>
      </c>
      <c r="B12" s="38" t="s">
        <v>29</v>
      </c>
      <c r="C12" s="38" t="s">
        <v>439</v>
      </c>
      <c r="D12" s="38" t="s">
        <v>30</v>
      </c>
      <c r="E12" s="39">
        <v>5007600</v>
      </c>
      <c r="F12" s="39">
        <v>876330</v>
      </c>
      <c r="G12" s="39">
        <v>150228</v>
      </c>
      <c r="H12" s="39">
        <v>50076</v>
      </c>
      <c r="I12" s="39">
        <v>400608</v>
      </c>
      <c r="J12" s="39">
        <v>75114</v>
      </c>
      <c r="K12" s="39">
        <v>50076</v>
      </c>
      <c r="L12" s="39">
        <v>1602432</v>
      </c>
    </row>
    <row r="13" spans="1:12" x14ac:dyDescent="0.3">
      <c r="A13" s="24">
        <v>6</v>
      </c>
      <c r="B13" s="38" t="s">
        <v>32</v>
      </c>
      <c r="C13" s="38" t="s">
        <v>439</v>
      </c>
      <c r="D13" s="38" t="s">
        <v>33</v>
      </c>
      <c r="E13" s="39">
        <v>5007600</v>
      </c>
      <c r="F13" s="39">
        <v>876330</v>
      </c>
      <c r="G13" s="39">
        <v>150228</v>
      </c>
      <c r="H13" s="39">
        <v>50076</v>
      </c>
      <c r="I13" s="39">
        <v>400608</v>
      </c>
      <c r="J13" s="39">
        <v>75114</v>
      </c>
      <c r="K13" s="39">
        <v>50076</v>
      </c>
      <c r="L13" s="39">
        <v>1602432</v>
      </c>
    </row>
    <row r="14" spans="1:12" x14ac:dyDescent="0.3">
      <c r="A14" s="24">
        <v>7</v>
      </c>
      <c r="B14" s="38" t="s">
        <v>35</v>
      </c>
      <c r="C14" s="38" t="s">
        <v>439</v>
      </c>
      <c r="D14" s="38" t="s">
        <v>36</v>
      </c>
      <c r="E14" s="39">
        <v>5007600</v>
      </c>
      <c r="F14" s="39">
        <v>876330</v>
      </c>
      <c r="G14" s="39">
        <v>150228</v>
      </c>
      <c r="H14" s="39">
        <v>50076</v>
      </c>
      <c r="I14" s="39">
        <v>400608</v>
      </c>
      <c r="J14" s="39">
        <v>75114</v>
      </c>
      <c r="K14" s="39">
        <v>50076</v>
      </c>
      <c r="L14" s="39">
        <v>1602432</v>
      </c>
    </row>
    <row r="15" spans="1:12" x14ac:dyDescent="0.3">
      <c r="A15" s="24">
        <v>8</v>
      </c>
      <c r="B15" s="38" t="s">
        <v>38</v>
      </c>
      <c r="C15" s="38" t="s">
        <v>439</v>
      </c>
      <c r="D15" s="38" t="s">
        <v>39</v>
      </c>
      <c r="E15" s="39">
        <v>5007600</v>
      </c>
      <c r="F15" s="39">
        <v>876330</v>
      </c>
      <c r="G15" s="39">
        <v>150228</v>
      </c>
      <c r="H15" s="39">
        <v>50076</v>
      </c>
      <c r="I15" s="39">
        <v>400608</v>
      </c>
      <c r="J15" s="39">
        <v>75114</v>
      </c>
      <c r="K15" s="39">
        <v>50076</v>
      </c>
      <c r="L15" s="39">
        <v>1602432</v>
      </c>
    </row>
    <row r="16" spans="1:12" x14ac:dyDescent="0.3">
      <c r="A16" s="24">
        <v>9</v>
      </c>
      <c r="B16" s="38" t="s">
        <v>41</v>
      </c>
      <c r="C16" s="38" t="s">
        <v>439</v>
      </c>
      <c r="D16" s="38" t="s">
        <v>42</v>
      </c>
      <c r="E16" s="39">
        <v>5007600</v>
      </c>
      <c r="F16" s="39">
        <v>876330</v>
      </c>
      <c r="G16" s="39">
        <v>150228</v>
      </c>
      <c r="H16" s="39">
        <v>50076</v>
      </c>
      <c r="I16" s="39">
        <v>400608</v>
      </c>
      <c r="J16" s="39">
        <v>75114</v>
      </c>
      <c r="K16" s="39">
        <v>50076</v>
      </c>
      <c r="L16" s="39">
        <v>1602432</v>
      </c>
    </row>
    <row r="17" spans="1:12" x14ac:dyDescent="0.3">
      <c r="A17" s="24">
        <v>10</v>
      </c>
      <c r="B17" s="38" t="s">
        <v>44</v>
      </c>
      <c r="C17" s="38" t="s">
        <v>439</v>
      </c>
      <c r="D17" s="38" t="s">
        <v>45</v>
      </c>
      <c r="E17" s="39">
        <v>5007600</v>
      </c>
      <c r="F17" s="39">
        <v>876330</v>
      </c>
      <c r="G17" s="39">
        <v>150228</v>
      </c>
      <c r="H17" s="39">
        <v>50076</v>
      </c>
      <c r="I17" s="39">
        <v>400608</v>
      </c>
      <c r="J17" s="39">
        <v>75114</v>
      </c>
      <c r="K17" s="39">
        <v>50076</v>
      </c>
      <c r="L17" s="39">
        <v>1602432</v>
      </c>
    </row>
    <row r="18" spans="1:12" x14ac:dyDescent="0.3">
      <c r="A18" s="24">
        <v>11</v>
      </c>
      <c r="B18" s="38" t="s">
        <v>47</v>
      </c>
      <c r="C18" s="38" t="s">
        <v>439</v>
      </c>
      <c r="D18" s="38" t="s">
        <v>48</v>
      </c>
      <c r="E18" s="39">
        <v>5050000</v>
      </c>
      <c r="F18" s="39">
        <v>883750</v>
      </c>
      <c r="G18" s="39">
        <v>151500</v>
      </c>
      <c r="H18" s="39">
        <v>50500</v>
      </c>
      <c r="I18" s="39">
        <v>404000</v>
      </c>
      <c r="J18" s="39">
        <v>75750</v>
      </c>
      <c r="K18" s="39">
        <v>50500</v>
      </c>
      <c r="L18" s="39">
        <v>1616000</v>
      </c>
    </row>
    <row r="19" spans="1:12" x14ac:dyDescent="0.3">
      <c r="A19" s="24">
        <v>12</v>
      </c>
      <c r="B19" s="38" t="s">
        <v>49</v>
      </c>
      <c r="C19" s="38" t="s">
        <v>439</v>
      </c>
      <c r="D19" s="38" t="s">
        <v>50</v>
      </c>
      <c r="E19" s="39">
        <v>5050000</v>
      </c>
      <c r="F19" s="39">
        <v>883750</v>
      </c>
      <c r="G19" s="39">
        <v>151500</v>
      </c>
      <c r="H19" s="39">
        <v>50500</v>
      </c>
      <c r="I19" s="39">
        <v>404000</v>
      </c>
      <c r="J19" s="39">
        <v>75750</v>
      </c>
      <c r="K19" s="39">
        <v>50500</v>
      </c>
      <c r="L19" s="39">
        <v>1616000</v>
      </c>
    </row>
    <row r="20" spans="1:12" x14ac:dyDescent="0.3">
      <c r="A20" s="24">
        <v>13</v>
      </c>
      <c r="B20" s="38" t="s">
        <v>51</v>
      </c>
      <c r="C20" s="38" t="s">
        <v>439</v>
      </c>
      <c r="D20" s="38" t="s">
        <v>52</v>
      </c>
      <c r="E20" s="39">
        <v>5050000</v>
      </c>
      <c r="F20" s="39">
        <v>883750</v>
      </c>
      <c r="G20" s="39">
        <v>151500</v>
      </c>
      <c r="H20" s="39">
        <v>50500</v>
      </c>
      <c r="I20" s="39">
        <v>404000</v>
      </c>
      <c r="J20" s="39">
        <v>75750</v>
      </c>
      <c r="K20" s="39">
        <v>50500</v>
      </c>
      <c r="L20" s="39">
        <v>1616000</v>
      </c>
    </row>
    <row r="21" spans="1:12" x14ac:dyDescent="0.3">
      <c r="A21" s="24">
        <v>14</v>
      </c>
      <c r="B21" s="38" t="s">
        <v>53</v>
      </c>
      <c r="C21" s="38" t="s">
        <v>439</v>
      </c>
      <c r="D21" s="38" t="s">
        <v>54</v>
      </c>
      <c r="E21" s="39">
        <v>5050000</v>
      </c>
      <c r="F21" s="39">
        <v>883750</v>
      </c>
      <c r="G21" s="39">
        <v>151500</v>
      </c>
      <c r="H21" s="39">
        <v>50500</v>
      </c>
      <c r="I21" s="39">
        <v>404000</v>
      </c>
      <c r="J21" s="39">
        <v>75750</v>
      </c>
      <c r="K21" s="39">
        <v>50500</v>
      </c>
      <c r="L21" s="39">
        <v>1616000</v>
      </c>
    </row>
    <row r="22" spans="1:12" x14ac:dyDescent="0.3">
      <c r="A22" s="24">
        <v>15</v>
      </c>
      <c r="B22" s="38" t="s">
        <v>55</v>
      </c>
      <c r="C22" s="38" t="s">
        <v>439</v>
      </c>
      <c r="D22" s="38" t="s">
        <v>56</v>
      </c>
      <c r="E22" s="39">
        <v>5050000</v>
      </c>
      <c r="F22" s="39">
        <v>883750</v>
      </c>
      <c r="G22" s="39">
        <v>151500</v>
      </c>
      <c r="H22" s="39">
        <v>50500</v>
      </c>
      <c r="I22" s="39">
        <v>404000</v>
      </c>
      <c r="J22" s="39">
        <v>75750</v>
      </c>
      <c r="K22" s="39">
        <v>50500</v>
      </c>
      <c r="L22" s="39">
        <v>1616000</v>
      </c>
    </row>
    <row r="23" spans="1:12" x14ac:dyDescent="0.3">
      <c r="A23" s="24"/>
      <c r="B23" s="38"/>
      <c r="C23" s="38"/>
      <c r="D23" s="265" t="s">
        <v>114</v>
      </c>
      <c r="E23" s="266">
        <v>75326000</v>
      </c>
      <c r="F23" s="266">
        <v>13182050</v>
      </c>
      <c r="G23" s="266">
        <v>2259780</v>
      </c>
      <c r="H23" s="266">
        <v>753260</v>
      </c>
      <c r="I23" s="266">
        <v>6026080</v>
      </c>
      <c r="J23" s="266">
        <v>1129890</v>
      </c>
      <c r="K23" s="266">
        <v>753260</v>
      </c>
      <c r="L23" s="266">
        <v>24104320</v>
      </c>
    </row>
    <row r="25" spans="1:12" x14ac:dyDescent="0.3">
      <c r="H25" s="260" t="s">
        <v>129</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C168A-8C77-4658-BD9C-6F5BD425BE67}">
  <sheetPr codeName="Sheet98">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5</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5007600</v>
      </c>
      <c r="F8" s="39">
        <v>876330</v>
      </c>
      <c r="G8" s="39">
        <v>150228</v>
      </c>
      <c r="H8" s="39">
        <v>50076</v>
      </c>
      <c r="I8" s="39">
        <v>400608</v>
      </c>
      <c r="J8" s="39">
        <v>75114</v>
      </c>
      <c r="K8" s="39">
        <v>50076</v>
      </c>
      <c r="L8" s="39">
        <v>1602432</v>
      </c>
    </row>
    <row r="9" spans="1:12" x14ac:dyDescent="0.3">
      <c r="A9" s="24">
        <v>2</v>
      </c>
      <c r="B9" s="38" t="s">
        <v>14</v>
      </c>
      <c r="C9" s="38" t="s">
        <v>438</v>
      </c>
      <c r="D9" s="38" t="s">
        <v>15</v>
      </c>
      <c r="E9" s="39">
        <v>5007600</v>
      </c>
      <c r="F9" s="39">
        <v>876330</v>
      </c>
      <c r="G9" s="39">
        <v>150228</v>
      </c>
      <c r="H9" s="39">
        <v>50076</v>
      </c>
      <c r="I9" s="39">
        <v>400608</v>
      </c>
      <c r="J9" s="39">
        <v>75114</v>
      </c>
      <c r="K9" s="39">
        <v>50076</v>
      </c>
      <c r="L9" s="39">
        <v>1602432</v>
      </c>
    </row>
    <row r="10" spans="1:12" x14ac:dyDescent="0.3">
      <c r="A10" s="24">
        <v>3</v>
      </c>
      <c r="B10" s="38" t="s">
        <v>19</v>
      </c>
      <c r="C10" s="38" t="s">
        <v>438</v>
      </c>
      <c r="D10" s="38" t="s">
        <v>20</v>
      </c>
      <c r="E10" s="39">
        <v>5007600</v>
      </c>
      <c r="F10" s="39">
        <v>876330</v>
      </c>
      <c r="G10" s="39">
        <v>150228</v>
      </c>
      <c r="H10" s="39">
        <v>50076</v>
      </c>
      <c r="I10" s="39">
        <v>400608</v>
      </c>
      <c r="J10" s="39">
        <v>75114</v>
      </c>
      <c r="K10" s="39">
        <v>50076</v>
      </c>
      <c r="L10" s="39">
        <v>1602432</v>
      </c>
    </row>
    <row r="11" spans="1:12" x14ac:dyDescent="0.3">
      <c r="A11" s="24">
        <v>4</v>
      </c>
      <c r="B11" s="38" t="s">
        <v>24</v>
      </c>
      <c r="C11" s="38" t="s">
        <v>439</v>
      </c>
      <c r="D11" s="38" t="s">
        <v>25</v>
      </c>
      <c r="E11" s="39">
        <v>5007600</v>
      </c>
      <c r="F11" s="39">
        <v>876330</v>
      </c>
      <c r="G11" s="39">
        <v>150228</v>
      </c>
      <c r="H11" s="39">
        <v>50076</v>
      </c>
      <c r="I11" s="39">
        <v>400608</v>
      </c>
      <c r="J11" s="39">
        <v>75114</v>
      </c>
      <c r="K11" s="39">
        <v>50076</v>
      </c>
      <c r="L11" s="39">
        <v>1602432</v>
      </c>
    </row>
    <row r="12" spans="1:12" x14ac:dyDescent="0.3">
      <c r="A12" s="24">
        <v>5</v>
      </c>
      <c r="B12" s="38" t="s">
        <v>29</v>
      </c>
      <c r="C12" s="38" t="s">
        <v>439</v>
      </c>
      <c r="D12" s="38" t="s">
        <v>30</v>
      </c>
      <c r="E12" s="39">
        <v>5007600</v>
      </c>
      <c r="F12" s="39">
        <v>876330</v>
      </c>
      <c r="G12" s="39">
        <v>150228</v>
      </c>
      <c r="H12" s="39">
        <v>50076</v>
      </c>
      <c r="I12" s="39">
        <v>400608</v>
      </c>
      <c r="J12" s="39">
        <v>75114</v>
      </c>
      <c r="K12" s="39">
        <v>50076</v>
      </c>
      <c r="L12" s="39">
        <v>1602432</v>
      </c>
    </row>
    <row r="13" spans="1:12" x14ac:dyDescent="0.3">
      <c r="A13" s="24">
        <v>6</v>
      </c>
      <c r="B13" s="38" t="s">
        <v>32</v>
      </c>
      <c r="C13" s="38" t="s">
        <v>439</v>
      </c>
      <c r="D13" s="38" t="s">
        <v>33</v>
      </c>
      <c r="E13" s="39">
        <v>5007600</v>
      </c>
      <c r="F13" s="39">
        <v>876330</v>
      </c>
      <c r="G13" s="39">
        <v>150228</v>
      </c>
      <c r="H13" s="39">
        <v>50076</v>
      </c>
      <c r="I13" s="39">
        <v>400608</v>
      </c>
      <c r="J13" s="39">
        <v>75114</v>
      </c>
      <c r="K13" s="39">
        <v>50076</v>
      </c>
      <c r="L13" s="39">
        <v>1602432</v>
      </c>
    </row>
    <row r="14" spans="1:12" x14ac:dyDescent="0.3">
      <c r="A14" s="24">
        <v>7</v>
      </c>
      <c r="B14" s="38" t="s">
        <v>35</v>
      </c>
      <c r="C14" s="38" t="s">
        <v>439</v>
      </c>
      <c r="D14" s="38" t="s">
        <v>36</v>
      </c>
      <c r="E14" s="39">
        <v>5007600</v>
      </c>
      <c r="F14" s="39">
        <v>876330</v>
      </c>
      <c r="G14" s="39">
        <v>150228</v>
      </c>
      <c r="H14" s="39">
        <v>50076</v>
      </c>
      <c r="I14" s="39">
        <v>400608</v>
      </c>
      <c r="J14" s="39">
        <v>75114</v>
      </c>
      <c r="K14" s="39">
        <v>50076</v>
      </c>
      <c r="L14" s="39">
        <v>1602432</v>
      </c>
    </row>
    <row r="15" spans="1:12" x14ac:dyDescent="0.3">
      <c r="A15" s="24">
        <v>8</v>
      </c>
      <c r="B15" s="38" t="s">
        <v>38</v>
      </c>
      <c r="C15" s="38" t="s">
        <v>439</v>
      </c>
      <c r="D15" s="38" t="s">
        <v>39</v>
      </c>
      <c r="E15" s="39">
        <v>5007600</v>
      </c>
      <c r="F15" s="39">
        <v>876330</v>
      </c>
      <c r="G15" s="39">
        <v>150228</v>
      </c>
      <c r="H15" s="39">
        <v>50076</v>
      </c>
      <c r="I15" s="39">
        <v>400608</v>
      </c>
      <c r="J15" s="39">
        <v>75114</v>
      </c>
      <c r="K15" s="39">
        <v>50076</v>
      </c>
      <c r="L15" s="39">
        <v>1602432</v>
      </c>
    </row>
    <row r="16" spans="1:12" x14ac:dyDescent="0.3">
      <c r="A16" s="24">
        <v>9</v>
      </c>
      <c r="B16" s="38" t="s">
        <v>41</v>
      </c>
      <c r="C16" s="38" t="s">
        <v>439</v>
      </c>
      <c r="D16" s="38" t="s">
        <v>42</v>
      </c>
      <c r="E16" s="39">
        <v>5007600</v>
      </c>
      <c r="F16" s="39">
        <v>876330</v>
      </c>
      <c r="G16" s="39">
        <v>150228</v>
      </c>
      <c r="H16" s="39">
        <v>50076</v>
      </c>
      <c r="I16" s="39">
        <v>400608</v>
      </c>
      <c r="J16" s="39">
        <v>75114</v>
      </c>
      <c r="K16" s="39">
        <v>50076</v>
      </c>
      <c r="L16" s="39">
        <v>1602432</v>
      </c>
    </row>
    <row r="17" spans="1:12" x14ac:dyDescent="0.3">
      <c r="A17" s="24">
        <v>10</v>
      </c>
      <c r="B17" s="38" t="s">
        <v>44</v>
      </c>
      <c r="C17" s="38" t="s">
        <v>439</v>
      </c>
      <c r="D17" s="38" t="s">
        <v>45</v>
      </c>
      <c r="E17" s="39">
        <v>5007600</v>
      </c>
      <c r="F17" s="39">
        <v>876330</v>
      </c>
      <c r="G17" s="39">
        <v>150228</v>
      </c>
      <c r="H17" s="39">
        <v>50076</v>
      </c>
      <c r="I17" s="39">
        <v>400608</v>
      </c>
      <c r="J17" s="39">
        <v>75114</v>
      </c>
      <c r="K17" s="39">
        <v>50076</v>
      </c>
      <c r="L17" s="39">
        <v>1602432</v>
      </c>
    </row>
    <row r="18" spans="1:12" x14ac:dyDescent="0.3">
      <c r="A18" s="24">
        <v>11</v>
      </c>
      <c r="B18" s="38" t="s">
        <v>47</v>
      </c>
      <c r="C18" s="38" t="s">
        <v>439</v>
      </c>
      <c r="D18" s="38" t="s">
        <v>48</v>
      </c>
      <c r="E18" s="39">
        <v>5050000</v>
      </c>
      <c r="F18" s="39">
        <v>883750</v>
      </c>
      <c r="G18" s="39">
        <v>151500</v>
      </c>
      <c r="H18" s="39">
        <v>50500</v>
      </c>
      <c r="I18" s="39">
        <v>404000</v>
      </c>
      <c r="J18" s="39">
        <v>75750</v>
      </c>
      <c r="K18" s="39">
        <v>50500</v>
      </c>
      <c r="L18" s="39">
        <v>1616000</v>
      </c>
    </row>
    <row r="19" spans="1:12" x14ac:dyDescent="0.3">
      <c r="A19" s="24">
        <v>12</v>
      </c>
      <c r="B19" s="38" t="s">
        <v>49</v>
      </c>
      <c r="C19" s="38" t="s">
        <v>439</v>
      </c>
      <c r="D19" s="38" t="s">
        <v>50</v>
      </c>
      <c r="E19" s="39">
        <v>5050000</v>
      </c>
      <c r="F19" s="39">
        <v>883750</v>
      </c>
      <c r="G19" s="39">
        <v>151500</v>
      </c>
      <c r="H19" s="39">
        <v>50500</v>
      </c>
      <c r="I19" s="39">
        <v>404000</v>
      </c>
      <c r="J19" s="39">
        <v>75750</v>
      </c>
      <c r="K19" s="39">
        <v>50500</v>
      </c>
      <c r="L19" s="39">
        <v>1616000</v>
      </c>
    </row>
    <row r="20" spans="1:12" x14ac:dyDescent="0.3">
      <c r="A20" s="24">
        <v>13</v>
      </c>
      <c r="B20" s="38" t="s">
        <v>51</v>
      </c>
      <c r="C20" s="38" t="s">
        <v>439</v>
      </c>
      <c r="D20" s="38" t="s">
        <v>52</v>
      </c>
      <c r="E20" s="39">
        <v>5050000</v>
      </c>
      <c r="F20" s="39">
        <v>883750</v>
      </c>
      <c r="G20" s="39">
        <v>151500</v>
      </c>
      <c r="H20" s="39">
        <v>50500</v>
      </c>
      <c r="I20" s="39">
        <v>404000</v>
      </c>
      <c r="J20" s="39">
        <v>75750</v>
      </c>
      <c r="K20" s="39">
        <v>50500</v>
      </c>
      <c r="L20" s="39">
        <v>1616000</v>
      </c>
    </row>
    <row r="21" spans="1:12" x14ac:dyDescent="0.3">
      <c r="A21" s="24">
        <v>14</v>
      </c>
      <c r="B21" s="38" t="s">
        <v>53</v>
      </c>
      <c r="C21" s="38" t="s">
        <v>439</v>
      </c>
      <c r="D21" s="38" t="s">
        <v>54</v>
      </c>
      <c r="E21" s="39">
        <v>5050000</v>
      </c>
      <c r="F21" s="39">
        <v>883750</v>
      </c>
      <c r="G21" s="39">
        <v>151500</v>
      </c>
      <c r="H21" s="39">
        <v>50500</v>
      </c>
      <c r="I21" s="39">
        <v>404000</v>
      </c>
      <c r="J21" s="39">
        <v>75750</v>
      </c>
      <c r="K21" s="39">
        <v>50500</v>
      </c>
      <c r="L21" s="39">
        <v>1616000</v>
      </c>
    </row>
    <row r="22" spans="1:12" x14ac:dyDescent="0.3">
      <c r="A22" s="24">
        <v>15</v>
      </c>
      <c r="B22" s="38" t="s">
        <v>55</v>
      </c>
      <c r="C22" s="38" t="s">
        <v>439</v>
      </c>
      <c r="D22" s="38" t="s">
        <v>56</v>
      </c>
      <c r="E22" s="39">
        <v>5050000</v>
      </c>
      <c r="F22" s="39">
        <v>883750</v>
      </c>
      <c r="G22" s="39">
        <v>151500</v>
      </c>
      <c r="H22" s="39">
        <v>50500</v>
      </c>
      <c r="I22" s="39">
        <v>404000</v>
      </c>
      <c r="J22" s="39">
        <v>75750</v>
      </c>
      <c r="K22" s="39">
        <v>50500</v>
      </c>
      <c r="L22" s="39">
        <v>1616000</v>
      </c>
    </row>
    <row r="23" spans="1:12" x14ac:dyDescent="0.3">
      <c r="A23" s="24"/>
      <c r="B23" s="38"/>
      <c r="C23" s="38"/>
      <c r="D23" s="265" t="s">
        <v>114</v>
      </c>
      <c r="E23" s="266">
        <v>75326000</v>
      </c>
      <c r="F23" s="266">
        <v>13182050</v>
      </c>
      <c r="G23" s="266">
        <v>2259780</v>
      </c>
      <c r="H23" s="266">
        <v>753260</v>
      </c>
      <c r="I23" s="266">
        <v>6026080</v>
      </c>
      <c r="J23" s="266">
        <v>1129890</v>
      </c>
      <c r="K23" s="266">
        <v>753260</v>
      </c>
      <c r="L23" s="266">
        <v>24104320</v>
      </c>
    </row>
    <row r="25" spans="1:12" x14ac:dyDescent="0.3">
      <c r="H25" s="260" t="s">
        <v>130</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4C8F7-B8EA-437F-B98E-A2D466EEA21B}">
  <sheetPr codeName="Sheet99">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6</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6000000</v>
      </c>
      <c r="F8" s="39">
        <v>1050000</v>
      </c>
      <c r="G8" s="39">
        <v>180000</v>
      </c>
      <c r="H8" s="39">
        <v>60000</v>
      </c>
      <c r="I8" s="39">
        <v>480000</v>
      </c>
      <c r="J8" s="39">
        <v>90000</v>
      </c>
      <c r="K8" s="39">
        <v>60000</v>
      </c>
      <c r="L8" s="39">
        <v>1920000</v>
      </c>
    </row>
    <row r="9" spans="1:12" x14ac:dyDescent="0.3">
      <c r="A9" s="24">
        <v>2</v>
      </c>
      <c r="B9" s="38" t="s">
        <v>14</v>
      </c>
      <c r="C9" s="38" t="s">
        <v>438</v>
      </c>
      <c r="D9" s="38" t="s">
        <v>15</v>
      </c>
      <c r="E9" s="39">
        <v>6000000</v>
      </c>
      <c r="F9" s="39">
        <v>1050000</v>
      </c>
      <c r="G9" s="39">
        <v>180000</v>
      </c>
      <c r="H9" s="39">
        <v>60000</v>
      </c>
      <c r="I9" s="39">
        <v>480000</v>
      </c>
      <c r="J9" s="39">
        <v>90000</v>
      </c>
      <c r="K9" s="39">
        <v>60000</v>
      </c>
      <c r="L9" s="39">
        <v>1920000</v>
      </c>
    </row>
    <row r="10" spans="1:12" x14ac:dyDescent="0.3">
      <c r="A10" s="24">
        <v>3</v>
      </c>
      <c r="B10" s="38" t="s">
        <v>19</v>
      </c>
      <c r="C10" s="38" t="s">
        <v>438</v>
      </c>
      <c r="D10" s="38" t="s">
        <v>20</v>
      </c>
      <c r="E10" s="39">
        <v>6000000</v>
      </c>
      <c r="F10" s="39">
        <v>1050000</v>
      </c>
      <c r="G10" s="39">
        <v>180000</v>
      </c>
      <c r="H10" s="39">
        <v>60000</v>
      </c>
      <c r="I10" s="39">
        <v>480000</v>
      </c>
      <c r="J10" s="39">
        <v>90000</v>
      </c>
      <c r="K10" s="39">
        <v>60000</v>
      </c>
      <c r="L10" s="39">
        <v>1920000</v>
      </c>
    </row>
    <row r="11" spans="1:12" x14ac:dyDescent="0.3">
      <c r="A11" s="24">
        <v>4</v>
      </c>
      <c r="B11" s="38" t="s">
        <v>24</v>
      </c>
      <c r="C11" s="38" t="s">
        <v>439</v>
      </c>
      <c r="D11" s="38" t="s">
        <v>25</v>
      </c>
      <c r="E11" s="39">
        <v>6000000</v>
      </c>
      <c r="F11" s="39">
        <v>1050000</v>
      </c>
      <c r="G11" s="39">
        <v>180000</v>
      </c>
      <c r="H11" s="39">
        <v>60000</v>
      </c>
      <c r="I11" s="39">
        <v>480000</v>
      </c>
      <c r="J11" s="39">
        <v>90000</v>
      </c>
      <c r="K11" s="39">
        <v>60000</v>
      </c>
      <c r="L11" s="39">
        <v>1920000</v>
      </c>
    </row>
    <row r="12" spans="1:12" x14ac:dyDescent="0.3">
      <c r="A12" s="24">
        <v>5</v>
      </c>
      <c r="B12" s="38" t="s">
        <v>29</v>
      </c>
      <c r="C12" s="38" t="s">
        <v>439</v>
      </c>
      <c r="D12" s="38" t="s">
        <v>30</v>
      </c>
      <c r="E12" s="39">
        <v>6000000</v>
      </c>
      <c r="F12" s="39">
        <v>1050000</v>
      </c>
      <c r="G12" s="39">
        <v>180000</v>
      </c>
      <c r="H12" s="39">
        <v>60000</v>
      </c>
      <c r="I12" s="39">
        <v>480000</v>
      </c>
      <c r="J12" s="39">
        <v>90000</v>
      </c>
      <c r="K12" s="39">
        <v>60000</v>
      </c>
      <c r="L12" s="39">
        <v>1920000</v>
      </c>
    </row>
    <row r="13" spans="1:12" x14ac:dyDescent="0.3">
      <c r="A13" s="24">
        <v>6</v>
      </c>
      <c r="B13" s="38" t="s">
        <v>32</v>
      </c>
      <c r="C13" s="38" t="s">
        <v>439</v>
      </c>
      <c r="D13" s="38" t="s">
        <v>33</v>
      </c>
      <c r="E13" s="39">
        <v>6000000</v>
      </c>
      <c r="F13" s="39">
        <v>1050000</v>
      </c>
      <c r="G13" s="39">
        <v>180000</v>
      </c>
      <c r="H13" s="39">
        <v>60000</v>
      </c>
      <c r="I13" s="39">
        <v>480000</v>
      </c>
      <c r="J13" s="39">
        <v>90000</v>
      </c>
      <c r="K13" s="39">
        <v>60000</v>
      </c>
      <c r="L13" s="39">
        <v>1920000</v>
      </c>
    </row>
    <row r="14" spans="1:12" x14ac:dyDescent="0.3">
      <c r="A14" s="24">
        <v>7</v>
      </c>
      <c r="B14" s="38" t="s">
        <v>35</v>
      </c>
      <c r="C14" s="38" t="s">
        <v>439</v>
      </c>
      <c r="D14" s="38" t="s">
        <v>36</v>
      </c>
      <c r="E14" s="39">
        <v>6000000</v>
      </c>
      <c r="F14" s="39">
        <v>1050000</v>
      </c>
      <c r="G14" s="39">
        <v>180000</v>
      </c>
      <c r="H14" s="39">
        <v>60000</v>
      </c>
      <c r="I14" s="39">
        <v>480000</v>
      </c>
      <c r="J14" s="39">
        <v>90000</v>
      </c>
      <c r="K14" s="39">
        <v>60000</v>
      </c>
      <c r="L14" s="39">
        <v>1920000</v>
      </c>
    </row>
    <row r="15" spans="1:12" x14ac:dyDescent="0.3">
      <c r="A15" s="24">
        <v>8</v>
      </c>
      <c r="B15" s="38" t="s">
        <v>38</v>
      </c>
      <c r="C15" s="38" t="s">
        <v>439</v>
      </c>
      <c r="D15" s="38" t="s">
        <v>39</v>
      </c>
      <c r="E15" s="39">
        <v>6000000</v>
      </c>
      <c r="F15" s="39">
        <v>1050000</v>
      </c>
      <c r="G15" s="39">
        <v>180000</v>
      </c>
      <c r="H15" s="39">
        <v>60000</v>
      </c>
      <c r="I15" s="39">
        <v>480000</v>
      </c>
      <c r="J15" s="39">
        <v>90000</v>
      </c>
      <c r="K15" s="39">
        <v>60000</v>
      </c>
      <c r="L15" s="39">
        <v>1920000</v>
      </c>
    </row>
    <row r="16" spans="1:12" x14ac:dyDescent="0.3">
      <c r="A16" s="24">
        <v>9</v>
      </c>
      <c r="B16" s="38" t="s">
        <v>41</v>
      </c>
      <c r="C16" s="38" t="s">
        <v>439</v>
      </c>
      <c r="D16" s="38" t="s">
        <v>42</v>
      </c>
      <c r="E16" s="39">
        <v>6000000</v>
      </c>
      <c r="F16" s="39">
        <v>1050000</v>
      </c>
      <c r="G16" s="39">
        <v>180000</v>
      </c>
      <c r="H16" s="39">
        <v>60000</v>
      </c>
      <c r="I16" s="39">
        <v>480000</v>
      </c>
      <c r="J16" s="39">
        <v>90000</v>
      </c>
      <c r="K16" s="39">
        <v>60000</v>
      </c>
      <c r="L16" s="39">
        <v>1920000</v>
      </c>
    </row>
    <row r="17" spans="1:12" x14ac:dyDescent="0.3">
      <c r="A17" s="24">
        <v>10</v>
      </c>
      <c r="B17" s="38" t="s">
        <v>44</v>
      </c>
      <c r="C17" s="38" t="s">
        <v>439</v>
      </c>
      <c r="D17" s="38" t="s">
        <v>45</v>
      </c>
      <c r="E17" s="39">
        <v>6000000</v>
      </c>
      <c r="F17" s="39">
        <v>1050000</v>
      </c>
      <c r="G17" s="39">
        <v>180000</v>
      </c>
      <c r="H17" s="39">
        <v>60000</v>
      </c>
      <c r="I17" s="39">
        <v>480000</v>
      </c>
      <c r="J17" s="39">
        <v>90000</v>
      </c>
      <c r="K17" s="39">
        <v>60000</v>
      </c>
      <c r="L17" s="39">
        <v>1920000</v>
      </c>
    </row>
    <row r="18" spans="1:12" x14ac:dyDescent="0.3">
      <c r="A18" s="24">
        <v>11</v>
      </c>
      <c r="B18" s="38" t="s">
        <v>47</v>
      </c>
      <c r="C18" s="38" t="s">
        <v>439</v>
      </c>
      <c r="D18" s="38" t="s">
        <v>48</v>
      </c>
      <c r="E18" s="39">
        <v>6000000</v>
      </c>
      <c r="F18" s="39">
        <v>1050000</v>
      </c>
      <c r="G18" s="39">
        <v>180000</v>
      </c>
      <c r="H18" s="39">
        <v>60000</v>
      </c>
      <c r="I18" s="39">
        <v>480000</v>
      </c>
      <c r="J18" s="39">
        <v>90000</v>
      </c>
      <c r="K18" s="39">
        <v>60000</v>
      </c>
      <c r="L18" s="39">
        <v>1920000</v>
      </c>
    </row>
    <row r="19" spans="1:12" x14ac:dyDescent="0.3">
      <c r="A19" s="24">
        <v>12</v>
      </c>
      <c r="B19" s="38" t="s">
        <v>49</v>
      </c>
      <c r="C19" s="38" t="s">
        <v>439</v>
      </c>
      <c r="D19" s="38" t="s">
        <v>50</v>
      </c>
      <c r="E19" s="39">
        <v>6000000</v>
      </c>
      <c r="F19" s="39">
        <v>1050000</v>
      </c>
      <c r="G19" s="39">
        <v>180000</v>
      </c>
      <c r="H19" s="39">
        <v>60000</v>
      </c>
      <c r="I19" s="39">
        <v>480000</v>
      </c>
      <c r="J19" s="39">
        <v>90000</v>
      </c>
      <c r="K19" s="39">
        <v>60000</v>
      </c>
      <c r="L19" s="39">
        <v>1920000</v>
      </c>
    </row>
    <row r="20" spans="1:12" x14ac:dyDescent="0.3">
      <c r="A20" s="24">
        <v>13</v>
      </c>
      <c r="B20" s="38" t="s">
        <v>51</v>
      </c>
      <c r="C20" s="38" t="s">
        <v>439</v>
      </c>
      <c r="D20" s="38" t="s">
        <v>52</v>
      </c>
      <c r="E20" s="39">
        <v>6000000</v>
      </c>
      <c r="F20" s="39">
        <v>1050000</v>
      </c>
      <c r="G20" s="39">
        <v>180000</v>
      </c>
      <c r="H20" s="39">
        <v>60000</v>
      </c>
      <c r="I20" s="39">
        <v>480000</v>
      </c>
      <c r="J20" s="39">
        <v>90000</v>
      </c>
      <c r="K20" s="39">
        <v>60000</v>
      </c>
      <c r="L20" s="39">
        <v>1920000</v>
      </c>
    </row>
    <row r="21" spans="1:12" x14ac:dyDescent="0.3">
      <c r="A21" s="24">
        <v>14</v>
      </c>
      <c r="B21" s="38" t="s">
        <v>53</v>
      </c>
      <c r="C21" s="38" t="s">
        <v>439</v>
      </c>
      <c r="D21" s="38" t="s">
        <v>54</v>
      </c>
      <c r="E21" s="39">
        <v>5800000</v>
      </c>
      <c r="F21" s="39">
        <v>1014999.9999999999</v>
      </c>
      <c r="G21" s="39">
        <v>174000</v>
      </c>
      <c r="H21" s="39">
        <v>58000</v>
      </c>
      <c r="I21" s="39">
        <v>464000</v>
      </c>
      <c r="J21" s="39">
        <v>87000</v>
      </c>
      <c r="K21" s="39">
        <v>58000</v>
      </c>
      <c r="L21" s="39">
        <v>1856000</v>
      </c>
    </row>
    <row r="22" spans="1:12" x14ac:dyDescent="0.3">
      <c r="A22" s="24">
        <v>15</v>
      </c>
      <c r="B22" s="38" t="s">
        <v>55</v>
      </c>
      <c r="C22" s="38" t="s">
        <v>439</v>
      </c>
      <c r="D22" s="38" t="s">
        <v>56</v>
      </c>
      <c r="E22" s="39">
        <v>5800000</v>
      </c>
      <c r="F22" s="39">
        <v>1014999.9999999999</v>
      </c>
      <c r="G22" s="39">
        <v>174000</v>
      </c>
      <c r="H22" s="39">
        <v>58000</v>
      </c>
      <c r="I22" s="39">
        <v>464000</v>
      </c>
      <c r="J22" s="39">
        <v>87000</v>
      </c>
      <c r="K22" s="39">
        <v>58000</v>
      </c>
      <c r="L22" s="39">
        <v>1856000</v>
      </c>
    </row>
    <row r="23" spans="1:12" x14ac:dyDescent="0.3">
      <c r="A23" s="24"/>
      <c r="B23" s="38"/>
      <c r="C23" s="38"/>
      <c r="D23" s="265" t="s">
        <v>114</v>
      </c>
      <c r="E23" s="266">
        <v>89600000</v>
      </c>
      <c r="F23" s="266">
        <v>15680000</v>
      </c>
      <c r="G23" s="266">
        <v>2688000</v>
      </c>
      <c r="H23" s="266">
        <v>896000</v>
      </c>
      <c r="I23" s="266">
        <v>7168000</v>
      </c>
      <c r="J23" s="266">
        <v>1344000</v>
      </c>
      <c r="K23" s="266">
        <v>896000</v>
      </c>
      <c r="L23" s="266">
        <v>28672000</v>
      </c>
    </row>
    <row r="25" spans="1:12" x14ac:dyDescent="0.3">
      <c r="H25" s="260" t="s">
        <v>131</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C68D-BAB4-47D7-B4A1-8FA3FD38CFC1}">
  <sheetPr codeName="Sheet100">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7</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6000000</v>
      </c>
      <c r="F8" s="39">
        <v>1050000</v>
      </c>
      <c r="G8" s="39">
        <v>180000</v>
      </c>
      <c r="H8" s="39">
        <v>60000</v>
      </c>
      <c r="I8" s="39">
        <v>480000</v>
      </c>
      <c r="J8" s="39">
        <v>90000</v>
      </c>
      <c r="K8" s="39">
        <v>60000</v>
      </c>
      <c r="L8" s="39">
        <v>1920000</v>
      </c>
    </row>
    <row r="9" spans="1:12" x14ac:dyDescent="0.3">
      <c r="A9" s="24">
        <v>2</v>
      </c>
      <c r="B9" s="38" t="s">
        <v>14</v>
      </c>
      <c r="C9" s="38" t="s">
        <v>438</v>
      </c>
      <c r="D9" s="38" t="s">
        <v>15</v>
      </c>
      <c r="E9" s="39">
        <v>6000000</v>
      </c>
      <c r="F9" s="39">
        <v>1050000</v>
      </c>
      <c r="G9" s="39">
        <v>180000</v>
      </c>
      <c r="H9" s="39">
        <v>60000</v>
      </c>
      <c r="I9" s="39">
        <v>480000</v>
      </c>
      <c r="J9" s="39">
        <v>90000</v>
      </c>
      <c r="K9" s="39">
        <v>60000</v>
      </c>
      <c r="L9" s="39">
        <v>1920000</v>
      </c>
    </row>
    <row r="10" spans="1:12" x14ac:dyDescent="0.3">
      <c r="A10" s="24">
        <v>3</v>
      </c>
      <c r="B10" s="38" t="s">
        <v>19</v>
      </c>
      <c r="C10" s="38" t="s">
        <v>438</v>
      </c>
      <c r="D10" s="38" t="s">
        <v>20</v>
      </c>
      <c r="E10" s="39">
        <v>6000000</v>
      </c>
      <c r="F10" s="39">
        <v>1050000</v>
      </c>
      <c r="G10" s="39">
        <v>180000</v>
      </c>
      <c r="H10" s="39">
        <v>60000</v>
      </c>
      <c r="I10" s="39">
        <v>480000</v>
      </c>
      <c r="J10" s="39">
        <v>90000</v>
      </c>
      <c r="K10" s="39">
        <v>60000</v>
      </c>
      <c r="L10" s="39">
        <v>1920000</v>
      </c>
    </row>
    <row r="11" spans="1:12" x14ac:dyDescent="0.3">
      <c r="A11" s="24">
        <v>4</v>
      </c>
      <c r="B11" s="38" t="s">
        <v>24</v>
      </c>
      <c r="C11" s="38" t="s">
        <v>439</v>
      </c>
      <c r="D11" s="38" t="s">
        <v>25</v>
      </c>
      <c r="E11" s="39">
        <v>6000000</v>
      </c>
      <c r="F11" s="39">
        <v>1050000</v>
      </c>
      <c r="G11" s="39">
        <v>180000</v>
      </c>
      <c r="H11" s="39">
        <v>60000</v>
      </c>
      <c r="I11" s="39">
        <v>480000</v>
      </c>
      <c r="J11" s="39">
        <v>90000</v>
      </c>
      <c r="K11" s="39">
        <v>60000</v>
      </c>
      <c r="L11" s="39">
        <v>1920000</v>
      </c>
    </row>
    <row r="12" spans="1:12" x14ac:dyDescent="0.3">
      <c r="A12" s="24">
        <v>5</v>
      </c>
      <c r="B12" s="38" t="s">
        <v>29</v>
      </c>
      <c r="C12" s="38" t="s">
        <v>439</v>
      </c>
      <c r="D12" s="38" t="s">
        <v>30</v>
      </c>
      <c r="E12" s="39">
        <v>6000000</v>
      </c>
      <c r="F12" s="39">
        <v>1050000</v>
      </c>
      <c r="G12" s="39">
        <v>180000</v>
      </c>
      <c r="H12" s="39">
        <v>60000</v>
      </c>
      <c r="I12" s="39">
        <v>480000</v>
      </c>
      <c r="J12" s="39">
        <v>90000</v>
      </c>
      <c r="K12" s="39">
        <v>60000</v>
      </c>
      <c r="L12" s="39">
        <v>1920000</v>
      </c>
    </row>
    <row r="13" spans="1:12" x14ac:dyDescent="0.3">
      <c r="A13" s="24">
        <v>6</v>
      </c>
      <c r="B13" s="38" t="s">
        <v>32</v>
      </c>
      <c r="C13" s="38" t="s">
        <v>439</v>
      </c>
      <c r="D13" s="38" t="s">
        <v>33</v>
      </c>
      <c r="E13" s="39">
        <v>6000000</v>
      </c>
      <c r="F13" s="39">
        <v>1050000</v>
      </c>
      <c r="G13" s="39">
        <v>180000</v>
      </c>
      <c r="H13" s="39">
        <v>60000</v>
      </c>
      <c r="I13" s="39">
        <v>480000</v>
      </c>
      <c r="J13" s="39">
        <v>90000</v>
      </c>
      <c r="K13" s="39">
        <v>60000</v>
      </c>
      <c r="L13" s="39">
        <v>1920000</v>
      </c>
    </row>
    <row r="14" spans="1:12" x14ac:dyDescent="0.3">
      <c r="A14" s="24">
        <v>7</v>
      </c>
      <c r="B14" s="38" t="s">
        <v>35</v>
      </c>
      <c r="C14" s="38" t="s">
        <v>439</v>
      </c>
      <c r="D14" s="38" t="s">
        <v>36</v>
      </c>
      <c r="E14" s="39">
        <v>6000000</v>
      </c>
      <c r="F14" s="39">
        <v>1050000</v>
      </c>
      <c r="G14" s="39">
        <v>180000</v>
      </c>
      <c r="H14" s="39">
        <v>60000</v>
      </c>
      <c r="I14" s="39">
        <v>480000</v>
      </c>
      <c r="J14" s="39">
        <v>90000</v>
      </c>
      <c r="K14" s="39">
        <v>60000</v>
      </c>
      <c r="L14" s="39">
        <v>1920000</v>
      </c>
    </row>
    <row r="15" spans="1:12" x14ac:dyDescent="0.3">
      <c r="A15" s="24">
        <v>8</v>
      </c>
      <c r="B15" s="38" t="s">
        <v>38</v>
      </c>
      <c r="C15" s="38" t="s">
        <v>439</v>
      </c>
      <c r="D15" s="38" t="s">
        <v>39</v>
      </c>
      <c r="E15" s="39">
        <v>6000000</v>
      </c>
      <c r="F15" s="39">
        <v>1050000</v>
      </c>
      <c r="G15" s="39">
        <v>180000</v>
      </c>
      <c r="H15" s="39">
        <v>60000</v>
      </c>
      <c r="I15" s="39">
        <v>480000</v>
      </c>
      <c r="J15" s="39">
        <v>90000</v>
      </c>
      <c r="K15" s="39">
        <v>60000</v>
      </c>
      <c r="L15" s="39">
        <v>1920000</v>
      </c>
    </row>
    <row r="16" spans="1:12" x14ac:dyDescent="0.3">
      <c r="A16" s="24">
        <v>9</v>
      </c>
      <c r="B16" s="38" t="s">
        <v>41</v>
      </c>
      <c r="C16" s="38" t="s">
        <v>439</v>
      </c>
      <c r="D16" s="38" t="s">
        <v>42</v>
      </c>
      <c r="E16" s="39">
        <v>6000000</v>
      </c>
      <c r="F16" s="39">
        <v>1050000</v>
      </c>
      <c r="G16" s="39">
        <v>180000</v>
      </c>
      <c r="H16" s="39">
        <v>60000</v>
      </c>
      <c r="I16" s="39">
        <v>480000</v>
      </c>
      <c r="J16" s="39">
        <v>90000</v>
      </c>
      <c r="K16" s="39">
        <v>60000</v>
      </c>
      <c r="L16" s="39">
        <v>1920000</v>
      </c>
    </row>
    <row r="17" spans="1:12" x14ac:dyDescent="0.3">
      <c r="A17" s="24">
        <v>10</v>
      </c>
      <c r="B17" s="38" t="s">
        <v>44</v>
      </c>
      <c r="C17" s="38" t="s">
        <v>439</v>
      </c>
      <c r="D17" s="38" t="s">
        <v>45</v>
      </c>
      <c r="E17" s="39">
        <v>6000000</v>
      </c>
      <c r="F17" s="39">
        <v>1050000</v>
      </c>
      <c r="G17" s="39">
        <v>180000</v>
      </c>
      <c r="H17" s="39">
        <v>60000</v>
      </c>
      <c r="I17" s="39">
        <v>480000</v>
      </c>
      <c r="J17" s="39">
        <v>90000</v>
      </c>
      <c r="K17" s="39">
        <v>60000</v>
      </c>
      <c r="L17" s="39">
        <v>1920000</v>
      </c>
    </row>
    <row r="18" spans="1:12" x14ac:dyDescent="0.3">
      <c r="A18" s="24">
        <v>11</v>
      </c>
      <c r="B18" s="38" t="s">
        <v>47</v>
      </c>
      <c r="C18" s="38" t="s">
        <v>439</v>
      </c>
      <c r="D18" s="38" t="s">
        <v>48</v>
      </c>
      <c r="E18" s="39">
        <v>6000000</v>
      </c>
      <c r="F18" s="39">
        <v>1050000</v>
      </c>
      <c r="G18" s="39">
        <v>180000</v>
      </c>
      <c r="H18" s="39">
        <v>60000</v>
      </c>
      <c r="I18" s="39">
        <v>480000</v>
      </c>
      <c r="J18" s="39">
        <v>90000</v>
      </c>
      <c r="K18" s="39">
        <v>60000</v>
      </c>
      <c r="L18" s="39">
        <v>1920000</v>
      </c>
    </row>
    <row r="19" spans="1:12" x14ac:dyDescent="0.3">
      <c r="A19" s="24">
        <v>12</v>
      </c>
      <c r="B19" s="38" t="s">
        <v>49</v>
      </c>
      <c r="C19" s="38" t="s">
        <v>439</v>
      </c>
      <c r="D19" s="38" t="s">
        <v>50</v>
      </c>
      <c r="E19" s="39">
        <v>6000000</v>
      </c>
      <c r="F19" s="39">
        <v>1050000</v>
      </c>
      <c r="G19" s="39">
        <v>180000</v>
      </c>
      <c r="H19" s="39">
        <v>60000</v>
      </c>
      <c r="I19" s="39">
        <v>480000</v>
      </c>
      <c r="J19" s="39">
        <v>90000</v>
      </c>
      <c r="K19" s="39">
        <v>60000</v>
      </c>
      <c r="L19" s="39">
        <v>1920000</v>
      </c>
    </row>
    <row r="20" spans="1:12" x14ac:dyDescent="0.3">
      <c r="A20" s="24">
        <v>13</v>
      </c>
      <c r="B20" s="38" t="s">
        <v>51</v>
      </c>
      <c r="C20" s="38" t="s">
        <v>439</v>
      </c>
      <c r="D20" s="38" t="s">
        <v>52</v>
      </c>
      <c r="E20" s="39">
        <v>6000000</v>
      </c>
      <c r="F20" s="39">
        <v>1050000</v>
      </c>
      <c r="G20" s="39">
        <v>180000</v>
      </c>
      <c r="H20" s="39">
        <v>60000</v>
      </c>
      <c r="I20" s="39">
        <v>480000</v>
      </c>
      <c r="J20" s="39">
        <v>90000</v>
      </c>
      <c r="K20" s="39">
        <v>60000</v>
      </c>
      <c r="L20" s="39">
        <v>1920000</v>
      </c>
    </row>
    <row r="21" spans="1:12" x14ac:dyDescent="0.3">
      <c r="A21" s="24">
        <v>14</v>
      </c>
      <c r="B21" s="38" t="s">
        <v>53</v>
      </c>
      <c r="C21" s="38" t="s">
        <v>439</v>
      </c>
      <c r="D21" s="38" t="s">
        <v>54</v>
      </c>
      <c r="E21" s="39">
        <v>5800000</v>
      </c>
      <c r="F21" s="39">
        <v>1014999.9999999999</v>
      </c>
      <c r="G21" s="39">
        <v>174000</v>
      </c>
      <c r="H21" s="39">
        <v>58000</v>
      </c>
      <c r="I21" s="39">
        <v>464000</v>
      </c>
      <c r="J21" s="39">
        <v>87000</v>
      </c>
      <c r="K21" s="39">
        <v>58000</v>
      </c>
      <c r="L21" s="39">
        <v>1856000</v>
      </c>
    </row>
    <row r="22" spans="1:12" x14ac:dyDescent="0.3">
      <c r="A22" s="24">
        <v>15</v>
      </c>
      <c r="B22" s="38" t="s">
        <v>55</v>
      </c>
      <c r="C22" s="38" t="s">
        <v>439</v>
      </c>
      <c r="D22" s="38" t="s">
        <v>56</v>
      </c>
      <c r="E22" s="39">
        <v>5800000</v>
      </c>
      <c r="F22" s="39">
        <v>1014999.9999999999</v>
      </c>
      <c r="G22" s="39">
        <v>174000</v>
      </c>
      <c r="H22" s="39">
        <v>58000</v>
      </c>
      <c r="I22" s="39">
        <v>464000</v>
      </c>
      <c r="J22" s="39">
        <v>87000</v>
      </c>
      <c r="K22" s="39">
        <v>58000</v>
      </c>
      <c r="L22" s="39">
        <v>1856000</v>
      </c>
    </row>
    <row r="23" spans="1:12" x14ac:dyDescent="0.3">
      <c r="A23" s="24"/>
      <c r="B23" s="38"/>
      <c r="C23" s="38"/>
      <c r="D23" s="265" t="s">
        <v>114</v>
      </c>
      <c r="E23" s="266">
        <v>89600000</v>
      </c>
      <c r="F23" s="266">
        <v>15680000</v>
      </c>
      <c r="G23" s="266">
        <v>2688000</v>
      </c>
      <c r="H23" s="266">
        <v>896000</v>
      </c>
      <c r="I23" s="266">
        <v>7168000</v>
      </c>
      <c r="J23" s="266">
        <v>1344000</v>
      </c>
      <c r="K23" s="266">
        <v>896000</v>
      </c>
      <c r="L23" s="266">
        <v>28672000</v>
      </c>
    </row>
    <row r="25" spans="1:12" x14ac:dyDescent="0.3">
      <c r="H25" s="260" t="s">
        <v>132</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A7531-5403-45D5-AC7C-19888FF12AE1}">
  <sheetPr codeName="Sheet101">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8</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6000000</v>
      </c>
      <c r="F8" s="39">
        <v>1050000</v>
      </c>
      <c r="G8" s="39">
        <v>180000</v>
      </c>
      <c r="H8" s="39">
        <v>60000</v>
      </c>
      <c r="I8" s="39">
        <v>480000</v>
      </c>
      <c r="J8" s="39">
        <v>90000</v>
      </c>
      <c r="K8" s="39">
        <v>60000</v>
      </c>
      <c r="L8" s="39">
        <v>1920000</v>
      </c>
    </row>
    <row r="9" spans="1:12" x14ac:dyDescent="0.3">
      <c r="A9" s="24">
        <v>2</v>
      </c>
      <c r="B9" s="38" t="s">
        <v>14</v>
      </c>
      <c r="C9" s="38" t="s">
        <v>438</v>
      </c>
      <c r="D9" s="38" t="s">
        <v>15</v>
      </c>
      <c r="E9" s="39">
        <v>6000000</v>
      </c>
      <c r="F9" s="39">
        <v>1050000</v>
      </c>
      <c r="G9" s="39">
        <v>180000</v>
      </c>
      <c r="H9" s="39">
        <v>60000</v>
      </c>
      <c r="I9" s="39">
        <v>480000</v>
      </c>
      <c r="J9" s="39">
        <v>90000</v>
      </c>
      <c r="K9" s="39">
        <v>60000</v>
      </c>
      <c r="L9" s="39">
        <v>1920000</v>
      </c>
    </row>
    <row r="10" spans="1:12" x14ac:dyDescent="0.3">
      <c r="A10" s="24">
        <v>3</v>
      </c>
      <c r="B10" s="38" t="s">
        <v>19</v>
      </c>
      <c r="C10" s="38" t="s">
        <v>438</v>
      </c>
      <c r="D10" s="38" t="s">
        <v>20</v>
      </c>
      <c r="E10" s="39">
        <v>6000000</v>
      </c>
      <c r="F10" s="39">
        <v>1050000</v>
      </c>
      <c r="G10" s="39">
        <v>180000</v>
      </c>
      <c r="H10" s="39">
        <v>60000</v>
      </c>
      <c r="I10" s="39">
        <v>480000</v>
      </c>
      <c r="J10" s="39">
        <v>90000</v>
      </c>
      <c r="K10" s="39">
        <v>60000</v>
      </c>
      <c r="L10" s="39">
        <v>1920000</v>
      </c>
    </row>
    <row r="11" spans="1:12" x14ac:dyDescent="0.3">
      <c r="A11" s="24">
        <v>4</v>
      </c>
      <c r="B11" s="38" t="s">
        <v>24</v>
      </c>
      <c r="C11" s="38" t="s">
        <v>439</v>
      </c>
      <c r="D11" s="38" t="s">
        <v>25</v>
      </c>
      <c r="E11" s="39">
        <v>6000000</v>
      </c>
      <c r="F11" s="39">
        <v>1050000</v>
      </c>
      <c r="G11" s="39">
        <v>180000</v>
      </c>
      <c r="H11" s="39">
        <v>60000</v>
      </c>
      <c r="I11" s="39">
        <v>480000</v>
      </c>
      <c r="J11" s="39">
        <v>90000</v>
      </c>
      <c r="K11" s="39">
        <v>60000</v>
      </c>
      <c r="L11" s="39">
        <v>1920000</v>
      </c>
    </row>
    <row r="12" spans="1:12" x14ac:dyDescent="0.3">
      <c r="A12" s="24">
        <v>5</v>
      </c>
      <c r="B12" s="38" t="s">
        <v>29</v>
      </c>
      <c r="C12" s="38" t="s">
        <v>439</v>
      </c>
      <c r="D12" s="38" t="s">
        <v>30</v>
      </c>
      <c r="E12" s="39">
        <v>6000000</v>
      </c>
      <c r="F12" s="39">
        <v>1050000</v>
      </c>
      <c r="G12" s="39">
        <v>180000</v>
      </c>
      <c r="H12" s="39">
        <v>60000</v>
      </c>
      <c r="I12" s="39">
        <v>480000</v>
      </c>
      <c r="J12" s="39">
        <v>90000</v>
      </c>
      <c r="K12" s="39">
        <v>60000</v>
      </c>
      <c r="L12" s="39">
        <v>1920000</v>
      </c>
    </row>
    <row r="13" spans="1:12" x14ac:dyDescent="0.3">
      <c r="A13" s="24">
        <v>6</v>
      </c>
      <c r="B13" s="38" t="s">
        <v>32</v>
      </c>
      <c r="C13" s="38" t="s">
        <v>439</v>
      </c>
      <c r="D13" s="38" t="s">
        <v>33</v>
      </c>
      <c r="E13" s="39">
        <v>6000000</v>
      </c>
      <c r="F13" s="39">
        <v>1050000</v>
      </c>
      <c r="G13" s="39">
        <v>180000</v>
      </c>
      <c r="H13" s="39">
        <v>60000</v>
      </c>
      <c r="I13" s="39">
        <v>480000</v>
      </c>
      <c r="J13" s="39">
        <v>90000</v>
      </c>
      <c r="K13" s="39">
        <v>60000</v>
      </c>
      <c r="L13" s="39">
        <v>1920000</v>
      </c>
    </row>
    <row r="14" spans="1:12" x14ac:dyDescent="0.3">
      <c r="A14" s="24">
        <v>7</v>
      </c>
      <c r="B14" s="38" t="s">
        <v>35</v>
      </c>
      <c r="C14" s="38" t="s">
        <v>439</v>
      </c>
      <c r="D14" s="38" t="s">
        <v>36</v>
      </c>
      <c r="E14" s="39">
        <v>6000000</v>
      </c>
      <c r="F14" s="39">
        <v>1050000</v>
      </c>
      <c r="G14" s="39">
        <v>180000</v>
      </c>
      <c r="H14" s="39">
        <v>60000</v>
      </c>
      <c r="I14" s="39">
        <v>480000</v>
      </c>
      <c r="J14" s="39">
        <v>90000</v>
      </c>
      <c r="K14" s="39">
        <v>60000</v>
      </c>
      <c r="L14" s="39">
        <v>1920000</v>
      </c>
    </row>
    <row r="15" spans="1:12" x14ac:dyDescent="0.3">
      <c r="A15" s="24">
        <v>8</v>
      </c>
      <c r="B15" s="38" t="s">
        <v>38</v>
      </c>
      <c r="C15" s="38" t="s">
        <v>439</v>
      </c>
      <c r="D15" s="38" t="s">
        <v>39</v>
      </c>
      <c r="E15" s="39">
        <v>6000000</v>
      </c>
      <c r="F15" s="39">
        <v>1050000</v>
      </c>
      <c r="G15" s="39">
        <v>180000</v>
      </c>
      <c r="H15" s="39">
        <v>60000</v>
      </c>
      <c r="I15" s="39">
        <v>480000</v>
      </c>
      <c r="J15" s="39">
        <v>90000</v>
      </c>
      <c r="K15" s="39">
        <v>60000</v>
      </c>
      <c r="L15" s="39">
        <v>1920000</v>
      </c>
    </row>
    <row r="16" spans="1:12" x14ac:dyDescent="0.3">
      <c r="A16" s="24">
        <v>9</v>
      </c>
      <c r="B16" s="38" t="s">
        <v>41</v>
      </c>
      <c r="C16" s="38" t="s">
        <v>439</v>
      </c>
      <c r="D16" s="38" t="s">
        <v>42</v>
      </c>
      <c r="E16" s="39">
        <v>6000000</v>
      </c>
      <c r="F16" s="39">
        <v>1050000</v>
      </c>
      <c r="G16" s="39">
        <v>180000</v>
      </c>
      <c r="H16" s="39">
        <v>60000</v>
      </c>
      <c r="I16" s="39">
        <v>480000</v>
      </c>
      <c r="J16" s="39">
        <v>90000</v>
      </c>
      <c r="K16" s="39">
        <v>60000</v>
      </c>
      <c r="L16" s="39">
        <v>1920000</v>
      </c>
    </row>
    <row r="17" spans="1:12" x14ac:dyDescent="0.3">
      <c r="A17" s="24">
        <v>10</v>
      </c>
      <c r="B17" s="38" t="s">
        <v>44</v>
      </c>
      <c r="C17" s="38" t="s">
        <v>439</v>
      </c>
      <c r="D17" s="38" t="s">
        <v>45</v>
      </c>
      <c r="E17" s="39">
        <v>6000000</v>
      </c>
      <c r="F17" s="39">
        <v>1050000</v>
      </c>
      <c r="G17" s="39">
        <v>180000</v>
      </c>
      <c r="H17" s="39">
        <v>60000</v>
      </c>
      <c r="I17" s="39">
        <v>480000</v>
      </c>
      <c r="J17" s="39">
        <v>90000</v>
      </c>
      <c r="K17" s="39">
        <v>60000</v>
      </c>
      <c r="L17" s="39">
        <v>1920000</v>
      </c>
    </row>
    <row r="18" spans="1:12" x14ac:dyDescent="0.3">
      <c r="A18" s="24">
        <v>11</v>
      </c>
      <c r="B18" s="38" t="s">
        <v>47</v>
      </c>
      <c r="C18" s="38" t="s">
        <v>439</v>
      </c>
      <c r="D18" s="38" t="s">
        <v>48</v>
      </c>
      <c r="E18" s="39">
        <v>6000000</v>
      </c>
      <c r="F18" s="39">
        <v>1050000</v>
      </c>
      <c r="G18" s="39">
        <v>180000</v>
      </c>
      <c r="H18" s="39">
        <v>60000</v>
      </c>
      <c r="I18" s="39">
        <v>480000</v>
      </c>
      <c r="J18" s="39">
        <v>90000</v>
      </c>
      <c r="K18" s="39">
        <v>60000</v>
      </c>
      <c r="L18" s="39">
        <v>1920000</v>
      </c>
    </row>
    <row r="19" spans="1:12" x14ac:dyDescent="0.3">
      <c r="A19" s="24">
        <v>12</v>
      </c>
      <c r="B19" s="38" t="s">
        <v>49</v>
      </c>
      <c r="C19" s="38" t="s">
        <v>439</v>
      </c>
      <c r="D19" s="38" t="s">
        <v>50</v>
      </c>
      <c r="E19" s="39">
        <v>6000000</v>
      </c>
      <c r="F19" s="39">
        <v>1050000</v>
      </c>
      <c r="G19" s="39">
        <v>180000</v>
      </c>
      <c r="H19" s="39">
        <v>60000</v>
      </c>
      <c r="I19" s="39">
        <v>480000</v>
      </c>
      <c r="J19" s="39">
        <v>90000</v>
      </c>
      <c r="K19" s="39">
        <v>60000</v>
      </c>
      <c r="L19" s="39">
        <v>1920000</v>
      </c>
    </row>
    <row r="20" spans="1:12" x14ac:dyDescent="0.3">
      <c r="A20" s="24">
        <v>13</v>
      </c>
      <c r="B20" s="38" t="s">
        <v>51</v>
      </c>
      <c r="C20" s="38" t="s">
        <v>439</v>
      </c>
      <c r="D20" s="38" t="s">
        <v>52</v>
      </c>
      <c r="E20" s="39">
        <v>6000000</v>
      </c>
      <c r="F20" s="39">
        <v>1050000</v>
      </c>
      <c r="G20" s="39">
        <v>180000</v>
      </c>
      <c r="H20" s="39">
        <v>60000</v>
      </c>
      <c r="I20" s="39">
        <v>480000</v>
      </c>
      <c r="J20" s="39">
        <v>90000</v>
      </c>
      <c r="K20" s="39">
        <v>60000</v>
      </c>
      <c r="L20" s="39">
        <v>1920000</v>
      </c>
    </row>
    <row r="21" spans="1:12" x14ac:dyDescent="0.3">
      <c r="A21" s="24">
        <v>14</v>
      </c>
      <c r="B21" s="38" t="s">
        <v>53</v>
      </c>
      <c r="C21" s="38" t="s">
        <v>439</v>
      </c>
      <c r="D21" s="38" t="s">
        <v>54</v>
      </c>
      <c r="E21" s="39">
        <v>5800000</v>
      </c>
      <c r="F21" s="39">
        <v>1014999.9999999999</v>
      </c>
      <c r="G21" s="39">
        <v>174000</v>
      </c>
      <c r="H21" s="39">
        <v>58000</v>
      </c>
      <c r="I21" s="39">
        <v>464000</v>
      </c>
      <c r="J21" s="39">
        <v>87000</v>
      </c>
      <c r="K21" s="39">
        <v>58000</v>
      </c>
      <c r="L21" s="39">
        <v>1856000</v>
      </c>
    </row>
    <row r="22" spans="1:12" x14ac:dyDescent="0.3">
      <c r="A22" s="24">
        <v>15</v>
      </c>
      <c r="B22" s="38" t="s">
        <v>55</v>
      </c>
      <c r="C22" s="38" t="s">
        <v>439</v>
      </c>
      <c r="D22" s="38" t="s">
        <v>56</v>
      </c>
      <c r="E22" s="39">
        <v>5800000</v>
      </c>
      <c r="F22" s="39">
        <v>1014999.9999999999</v>
      </c>
      <c r="G22" s="39">
        <v>174000</v>
      </c>
      <c r="H22" s="39">
        <v>58000</v>
      </c>
      <c r="I22" s="39">
        <v>464000</v>
      </c>
      <c r="J22" s="39">
        <v>87000</v>
      </c>
      <c r="K22" s="39">
        <v>58000</v>
      </c>
      <c r="L22" s="39">
        <v>1856000</v>
      </c>
    </row>
    <row r="23" spans="1:12" x14ac:dyDescent="0.3">
      <c r="A23" s="24"/>
      <c r="B23" s="38"/>
      <c r="C23" s="38"/>
      <c r="D23" s="265" t="s">
        <v>114</v>
      </c>
      <c r="E23" s="266">
        <v>89600000</v>
      </c>
      <c r="F23" s="266">
        <v>15680000</v>
      </c>
      <c r="G23" s="266">
        <v>2688000</v>
      </c>
      <c r="H23" s="266">
        <v>896000</v>
      </c>
      <c r="I23" s="266">
        <v>7168000</v>
      </c>
      <c r="J23" s="266">
        <v>1344000</v>
      </c>
      <c r="K23" s="266">
        <v>896000</v>
      </c>
      <c r="L23" s="266">
        <v>28672000</v>
      </c>
    </row>
    <row r="25" spans="1:12" x14ac:dyDescent="0.3">
      <c r="H25" s="260" t="s">
        <v>133</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52530-09B6-41E2-A398-B818957FF277}">
  <sheetPr codeName="Sheet102">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9</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6000000</v>
      </c>
      <c r="F8" s="39">
        <v>1050000</v>
      </c>
      <c r="G8" s="39">
        <v>180000</v>
      </c>
      <c r="H8" s="39">
        <v>60000</v>
      </c>
      <c r="I8" s="39">
        <v>480000</v>
      </c>
      <c r="J8" s="39">
        <v>90000</v>
      </c>
      <c r="K8" s="39">
        <v>60000</v>
      </c>
      <c r="L8" s="39">
        <v>1920000</v>
      </c>
    </row>
    <row r="9" spans="1:12" x14ac:dyDescent="0.3">
      <c r="A9" s="24">
        <v>2</v>
      </c>
      <c r="B9" s="38" t="s">
        <v>14</v>
      </c>
      <c r="C9" s="38" t="s">
        <v>438</v>
      </c>
      <c r="D9" s="38" t="s">
        <v>15</v>
      </c>
      <c r="E9" s="39">
        <v>6000000</v>
      </c>
      <c r="F9" s="39">
        <v>1050000</v>
      </c>
      <c r="G9" s="39">
        <v>180000</v>
      </c>
      <c r="H9" s="39">
        <v>60000</v>
      </c>
      <c r="I9" s="39">
        <v>480000</v>
      </c>
      <c r="J9" s="39">
        <v>90000</v>
      </c>
      <c r="K9" s="39">
        <v>60000</v>
      </c>
      <c r="L9" s="39">
        <v>1920000</v>
      </c>
    </row>
    <row r="10" spans="1:12" x14ac:dyDescent="0.3">
      <c r="A10" s="24">
        <v>3</v>
      </c>
      <c r="B10" s="38" t="s">
        <v>19</v>
      </c>
      <c r="C10" s="38" t="s">
        <v>438</v>
      </c>
      <c r="D10" s="38" t="s">
        <v>20</v>
      </c>
      <c r="E10" s="39">
        <v>6000000</v>
      </c>
      <c r="F10" s="39">
        <v>1050000</v>
      </c>
      <c r="G10" s="39">
        <v>180000</v>
      </c>
      <c r="H10" s="39">
        <v>60000</v>
      </c>
      <c r="I10" s="39">
        <v>480000</v>
      </c>
      <c r="J10" s="39">
        <v>90000</v>
      </c>
      <c r="K10" s="39">
        <v>60000</v>
      </c>
      <c r="L10" s="39">
        <v>1920000</v>
      </c>
    </row>
    <row r="11" spans="1:12" x14ac:dyDescent="0.3">
      <c r="A11" s="24">
        <v>4</v>
      </c>
      <c r="B11" s="38" t="s">
        <v>24</v>
      </c>
      <c r="C11" s="38" t="s">
        <v>439</v>
      </c>
      <c r="D11" s="38" t="s">
        <v>25</v>
      </c>
      <c r="E11" s="39">
        <v>6000000</v>
      </c>
      <c r="F11" s="39">
        <v>1050000</v>
      </c>
      <c r="G11" s="39">
        <v>180000</v>
      </c>
      <c r="H11" s="39">
        <v>60000</v>
      </c>
      <c r="I11" s="39">
        <v>480000</v>
      </c>
      <c r="J11" s="39">
        <v>90000</v>
      </c>
      <c r="K11" s="39">
        <v>60000</v>
      </c>
      <c r="L11" s="39">
        <v>1920000</v>
      </c>
    </row>
    <row r="12" spans="1:12" x14ac:dyDescent="0.3">
      <c r="A12" s="24">
        <v>5</v>
      </c>
      <c r="B12" s="38" t="s">
        <v>29</v>
      </c>
      <c r="C12" s="38" t="s">
        <v>439</v>
      </c>
      <c r="D12" s="38" t="s">
        <v>30</v>
      </c>
      <c r="E12" s="39">
        <v>6000000</v>
      </c>
      <c r="F12" s="39">
        <v>1050000</v>
      </c>
      <c r="G12" s="39">
        <v>180000</v>
      </c>
      <c r="H12" s="39">
        <v>60000</v>
      </c>
      <c r="I12" s="39">
        <v>480000</v>
      </c>
      <c r="J12" s="39">
        <v>90000</v>
      </c>
      <c r="K12" s="39">
        <v>60000</v>
      </c>
      <c r="L12" s="39">
        <v>1920000</v>
      </c>
    </row>
    <row r="13" spans="1:12" x14ac:dyDescent="0.3">
      <c r="A13" s="24">
        <v>6</v>
      </c>
      <c r="B13" s="38" t="s">
        <v>32</v>
      </c>
      <c r="C13" s="38" t="s">
        <v>439</v>
      </c>
      <c r="D13" s="38" t="s">
        <v>33</v>
      </c>
      <c r="E13" s="39">
        <v>6000000</v>
      </c>
      <c r="F13" s="39">
        <v>1050000</v>
      </c>
      <c r="G13" s="39">
        <v>180000</v>
      </c>
      <c r="H13" s="39">
        <v>60000</v>
      </c>
      <c r="I13" s="39">
        <v>480000</v>
      </c>
      <c r="J13" s="39">
        <v>90000</v>
      </c>
      <c r="K13" s="39">
        <v>60000</v>
      </c>
      <c r="L13" s="39">
        <v>1920000</v>
      </c>
    </row>
    <row r="14" spans="1:12" x14ac:dyDescent="0.3">
      <c r="A14" s="24">
        <v>7</v>
      </c>
      <c r="B14" s="38" t="s">
        <v>35</v>
      </c>
      <c r="C14" s="38" t="s">
        <v>439</v>
      </c>
      <c r="D14" s="38" t="s">
        <v>36</v>
      </c>
      <c r="E14" s="39">
        <v>6000000</v>
      </c>
      <c r="F14" s="39">
        <v>1050000</v>
      </c>
      <c r="G14" s="39">
        <v>180000</v>
      </c>
      <c r="H14" s="39">
        <v>60000</v>
      </c>
      <c r="I14" s="39">
        <v>480000</v>
      </c>
      <c r="J14" s="39">
        <v>90000</v>
      </c>
      <c r="K14" s="39">
        <v>60000</v>
      </c>
      <c r="L14" s="39">
        <v>1920000</v>
      </c>
    </row>
    <row r="15" spans="1:12" x14ac:dyDescent="0.3">
      <c r="A15" s="24">
        <v>8</v>
      </c>
      <c r="B15" s="38" t="s">
        <v>38</v>
      </c>
      <c r="C15" s="38" t="s">
        <v>439</v>
      </c>
      <c r="D15" s="38" t="s">
        <v>39</v>
      </c>
      <c r="E15" s="39">
        <v>6000000</v>
      </c>
      <c r="F15" s="39">
        <v>1050000</v>
      </c>
      <c r="G15" s="39">
        <v>180000</v>
      </c>
      <c r="H15" s="39">
        <v>60000</v>
      </c>
      <c r="I15" s="39">
        <v>480000</v>
      </c>
      <c r="J15" s="39">
        <v>90000</v>
      </c>
      <c r="K15" s="39">
        <v>60000</v>
      </c>
      <c r="L15" s="39">
        <v>1920000</v>
      </c>
    </row>
    <row r="16" spans="1:12" x14ac:dyDescent="0.3">
      <c r="A16" s="24">
        <v>9</v>
      </c>
      <c r="B16" s="38" t="s">
        <v>41</v>
      </c>
      <c r="C16" s="38" t="s">
        <v>439</v>
      </c>
      <c r="D16" s="38" t="s">
        <v>42</v>
      </c>
      <c r="E16" s="39">
        <v>6000000</v>
      </c>
      <c r="F16" s="39">
        <v>1050000</v>
      </c>
      <c r="G16" s="39">
        <v>180000</v>
      </c>
      <c r="H16" s="39">
        <v>60000</v>
      </c>
      <c r="I16" s="39">
        <v>480000</v>
      </c>
      <c r="J16" s="39">
        <v>90000</v>
      </c>
      <c r="K16" s="39">
        <v>60000</v>
      </c>
      <c r="L16" s="39">
        <v>1920000</v>
      </c>
    </row>
    <row r="17" spans="1:12" x14ac:dyDescent="0.3">
      <c r="A17" s="24">
        <v>10</v>
      </c>
      <c r="B17" s="38" t="s">
        <v>44</v>
      </c>
      <c r="C17" s="38" t="s">
        <v>439</v>
      </c>
      <c r="D17" s="38" t="s">
        <v>45</v>
      </c>
      <c r="E17" s="39">
        <v>6000000</v>
      </c>
      <c r="F17" s="39">
        <v>1050000</v>
      </c>
      <c r="G17" s="39">
        <v>180000</v>
      </c>
      <c r="H17" s="39">
        <v>60000</v>
      </c>
      <c r="I17" s="39">
        <v>480000</v>
      </c>
      <c r="J17" s="39">
        <v>90000</v>
      </c>
      <c r="K17" s="39">
        <v>60000</v>
      </c>
      <c r="L17" s="39">
        <v>1920000</v>
      </c>
    </row>
    <row r="18" spans="1:12" x14ac:dyDescent="0.3">
      <c r="A18" s="24">
        <v>11</v>
      </c>
      <c r="B18" s="38" t="s">
        <v>47</v>
      </c>
      <c r="C18" s="38" t="s">
        <v>439</v>
      </c>
      <c r="D18" s="38" t="s">
        <v>48</v>
      </c>
      <c r="E18" s="39">
        <v>6000000</v>
      </c>
      <c r="F18" s="39">
        <v>1050000</v>
      </c>
      <c r="G18" s="39">
        <v>180000</v>
      </c>
      <c r="H18" s="39">
        <v>60000</v>
      </c>
      <c r="I18" s="39">
        <v>480000</v>
      </c>
      <c r="J18" s="39">
        <v>90000</v>
      </c>
      <c r="K18" s="39">
        <v>60000</v>
      </c>
      <c r="L18" s="39">
        <v>1920000</v>
      </c>
    </row>
    <row r="19" spans="1:12" x14ac:dyDescent="0.3">
      <c r="A19" s="24">
        <v>12</v>
      </c>
      <c r="B19" s="38" t="s">
        <v>49</v>
      </c>
      <c r="C19" s="38" t="s">
        <v>439</v>
      </c>
      <c r="D19" s="38" t="s">
        <v>50</v>
      </c>
      <c r="E19" s="39">
        <v>6000000</v>
      </c>
      <c r="F19" s="39">
        <v>1050000</v>
      </c>
      <c r="G19" s="39">
        <v>180000</v>
      </c>
      <c r="H19" s="39">
        <v>60000</v>
      </c>
      <c r="I19" s="39">
        <v>480000</v>
      </c>
      <c r="J19" s="39">
        <v>90000</v>
      </c>
      <c r="K19" s="39">
        <v>60000</v>
      </c>
      <c r="L19" s="39">
        <v>1920000</v>
      </c>
    </row>
    <row r="20" spans="1:12" x14ac:dyDescent="0.3">
      <c r="A20" s="24">
        <v>13</v>
      </c>
      <c r="B20" s="38" t="s">
        <v>51</v>
      </c>
      <c r="C20" s="38" t="s">
        <v>439</v>
      </c>
      <c r="D20" s="38" t="s">
        <v>52</v>
      </c>
      <c r="E20" s="39">
        <v>6000000</v>
      </c>
      <c r="F20" s="39">
        <v>1050000</v>
      </c>
      <c r="G20" s="39">
        <v>180000</v>
      </c>
      <c r="H20" s="39">
        <v>60000</v>
      </c>
      <c r="I20" s="39">
        <v>480000</v>
      </c>
      <c r="J20" s="39">
        <v>90000</v>
      </c>
      <c r="K20" s="39">
        <v>60000</v>
      </c>
      <c r="L20" s="39">
        <v>1920000</v>
      </c>
    </row>
    <row r="21" spans="1:12" x14ac:dyDescent="0.3">
      <c r="A21" s="24">
        <v>14</v>
      </c>
      <c r="B21" s="38" t="s">
        <v>53</v>
      </c>
      <c r="C21" s="38" t="s">
        <v>439</v>
      </c>
      <c r="D21" s="38" t="s">
        <v>54</v>
      </c>
      <c r="E21" s="39">
        <v>5800000</v>
      </c>
      <c r="F21" s="39">
        <v>1014999.9999999999</v>
      </c>
      <c r="G21" s="39">
        <v>174000</v>
      </c>
      <c r="H21" s="39">
        <v>58000</v>
      </c>
      <c r="I21" s="39">
        <v>464000</v>
      </c>
      <c r="J21" s="39">
        <v>87000</v>
      </c>
      <c r="K21" s="39">
        <v>58000</v>
      </c>
      <c r="L21" s="39">
        <v>1856000</v>
      </c>
    </row>
    <row r="22" spans="1:12" x14ac:dyDescent="0.3">
      <c r="A22" s="24">
        <v>15</v>
      </c>
      <c r="B22" s="38" t="s">
        <v>55</v>
      </c>
      <c r="C22" s="38" t="s">
        <v>439</v>
      </c>
      <c r="D22" s="38" t="s">
        <v>56</v>
      </c>
      <c r="E22" s="39">
        <v>5800000</v>
      </c>
      <c r="F22" s="39">
        <v>1014999.9999999999</v>
      </c>
      <c r="G22" s="39">
        <v>174000</v>
      </c>
      <c r="H22" s="39">
        <v>58000</v>
      </c>
      <c r="I22" s="39">
        <v>464000</v>
      </c>
      <c r="J22" s="39">
        <v>87000</v>
      </c>
      <c r="K22" s="39">
        <v>58000</v>
      </c>
      <c r="L22" s="39">
        <v>1856000</v>
      </c>
    </row>
    <row r="23" spans="1:12" x14ac:dyDescent="0.3">
      <c r="A23" s="24"/>
      <c r="B23" s="38"/>
      <c r="C23" s="38"/>
      <c r="D23" s="265" t="s">
        <v>114</v>
      </c>
      <c r="E23" s="266">
        <v>89600000</v>
      </c>
      <c r="F23" s="266">
        <v>15680000</v>
      </c>
      <c r="G23" s="266">
        <v>2688000</v>
      </c>
      <c r="H23" s="266">
        <v>896000</v>
      </c>
      <c r="I23" s="266">
        <v>7168000</v>
      </c>
      <c r="J23" s="266">
        <v>1344000</v>
      </c>
      <c r="K23" s="266">
        <v>896000</v>
      </c>
      <c r="L23" s="266">
        <v>28672000</v>
      </c>
    </row>
    <row r="25" spans="1:12" x14ac:dyDescent="0.3">
      <c r="H25" s="260" t="s">
        <v>134</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EF24-6498-436D-8CA8-79A3A3E7993C}">
  <sheetPr codeName="Sheet103">
    <pageSetUpPr fitToPage="1"/>
  </sheetPr>
  <dimension ref="A1:L27"/>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10</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6000000</v>
      </c>
      <c r="F8" s="39">
        <v>1050000</v>
      </c>
      <c r="G8" s="39">
        <v>180000</v>
      </c>
      <c r="H8" s="39">
        <v>60000</v>
      </c>
      <c r="I8" s="39">
        <v>480000</v>
      </c>
      <c r="J8" s="39">
        <v>90000</v>
      </c>
      <c r="K8" s="39">
        <v>60000</v>
      </c>
      <c r="L8" s="39">
        <v>1920000</v>
      </c>
    </row>
    <row r="9" spans="1:12" x14ac:dyDescent="0.3">
      <c r="A9" s="24">
        <v>2</v>
      </c>
      <c r="B9" s="38" t="s">
        <v>14</v>
      </c>
      <c r="C9" s="38" t="s">
        <v>438</v>
      </c>
      <c r="D9" s="38" t="s">
        <v>15</v>
      </c>
      <c r="E9" s="39">
        <v>6000000</v>
      </c>
      <c r="F9" s="39">
        <v>1050000</v>
      </c>
      <c r="G9" s="39">
        <v>180000</v>
      </c>
      <c r="H9" s="39">
        <v>60000</v>
      </c>
      <c r="I9" s="39">
        <v>480000</v>
      </c>
      <c r="J9" s="39">
        <v>90000</v>
      </c>
      <c r="K9" s="39">
        <v>60000</v>
      </c>
      <c r="L9" s="39">
        <v>1920000</v>
      </c>
    </row>
    <row r="10" spans="1:12" x14ac:dyDescent="0.3">
      <c r="A10" s="24">
        <v>3</v>
      </c>
      <c r="B10" s="38" t="s">
        <v>19</v>
      </c>
      <c r="C10" s="38" t="s">
        <v>438</v>
      </c>
      <c r="D10" s="38" t="s">
        <v>20</v>
      </c>
      <c r="E10" s="39">
        <v>6000000</v>
      </c>
      <c r="F10" s="39">
        <v>1050000</v>
      </c>
      <c r="G10" s="39">
        <v>180000</v>
      </c>
      <c r="H10" s="39">
        <v>60000</v>
      </c>
      <c r="I10" s="39">
        <v>480000</v>
      </c>
      <c r="J10" s="39">
        <v>90000</v>
      </c>
      <c r="K10" s="39">
        <v>60000</v>
      </c>
      <c r="L10" s="39">
        <v>1920000</v>
      </c>
    </row>
    <row r="11" spans="1:12" x14ac:dyDescent="0.3">
      <c r="A11" s="24">
        <v>4</v>
      </c>
      <c r="B11" s="38" t="s">
        <v>24</v>
      </c>
      <c r="C11" s="38" t="s">
        <v>439</v>
      </c>
      <c r="D11" s="38" t="s">
        <v>25</v>
      </c>
      <c r="E11" s="39">
        <v>6000000</v>
      </c>
      <c r="F11" s="39">
        <v>1050000</v>
      </c>
      <c r="G11" s="39">
        <v>180000</v>
      </c>
      <c r="H11" s="39">
        <v>60000</v>
      </c>
      <c r="I11" s="39">
        <v>480000</v>
      </c>
      <c r="J11" s="39">
        <v>90000</v>
      </c>
      <c r="K11" s="39">
        <v>60000</v>
      </c>
      <c r="L11" s="39">
        <v>1920000</v>
      </c>
    </row>
    <row r="12" spans="1:12" x14ac:dyDescent="0.3">
      <c r="A12" s="24">
        <v>5</v>
      </c>
      <c r="B12" s="38" t="s">
        <v>29</v>
      </c>
      <c r="C12" s="38" t="s">
        <v>439</v>
      </c>
      <c r="D12" s="38" t="s">
        <v>30</v>
      </c>
      <c r="E12" s="39">
        <v>6000000</v>
      </c>
      <c r="F12" s="39">
        <v>1050000</v>
      </c>
      <c r="G12" s="39">
        <v>180000</v>
      </c>
      <c r="H12" s="39">
        <v>60000</v>
      </c>
      <c r="I12" s="39">
        <v>480000</v>
      </c>
      <c r="J12" s="39">
        <v>90000</v>
      </c>
      <c r="K12" s="39">
        <v>60000</v>
      </c>
      <c r="L12" s="39">
        <v>1920000</v>
      </c>
    </row>
    <row r="13" spans="1:12" x14ac:dyDescent="0.3">
      <c r="A13" s="24">
        <v>6</v>
      </c>
      <c r="B13" s="38" t="s">
        <v>32</v>
      </c>
      <c r="C13" s="38" t="s">
        <v>439</v>
      </c>
      <c r="D13" s="38" t="s">
        <v>33</v>
      </c>
      <c r="E13" s="39">
        <v>6000000</v>
      </c>
      <c r="F13" s="39">
        <v>1050000</v>
      </c>
      <c r="G13" s="39">
        <v>180000</v>
      </c>
      <c r="H13" s="39">
        <v>60000</v>
      </c>
      <c r="I13" s="39">
        <v>480000</v>
      </c>
      <c r="J13" s="39">
        <v>90000</v>
      </c>
      <c r="K13" s="39">
        <v>60000</v>
      </c>
      <c r="L13" s="39">
        <v>1920000</v>
      </c>
    </row>
    <row r="14" spans="1:12" x14ac:dyDescent="0.3">
      <c r="A14" s="24">
        <v>7</v>
      </c>
      <c r="B14" s="38" t="s">
        <v>35</v>
      </c>
      <c r="C14" s="38" t="s">
        <v>439</v>
      </c>
      <c r="D14" s="38" t="s">
        <v>36</v>
      </c>
      <c r="E14" s="39">
        <v>6000000</v>
      </c>
      <c r="F14" s="39">
        <v>1050000</v>
      </c>
      <c r="G14" s="39">
        <v>180000</v>
      </c>
      <c r="H14" s="39">
        <v>60000</v>
      </c>
      <c r="I14" s="39">
        <v>480000</v>
      </c>
      <c r="J14" s="39">
        <v>90000</v>
      </c>
      <c r="K14" s="39">
        <v>60000</v>
      </c>
      <c r="L14" s="39">
        <v>1920000</v>
      </c>
    </row>
    <row r="15" spans="1:12" x14ac:dyDescent="0.3">
      <c r="A15" s="24">
        <v>8</v>
      </c>
      <c r="B15" s="38" t="s">
        <v>38</v>
      </c>
      <c r="C15" s="38" t="s">
        <v>439</v>
      </c>
      <c r="D15" s="38" t="s">
        <v>39</v>
      </c>
      <c r="E15" s="39">
        <v>6000000</v>
      </c>
      <c r="F15" s="39">
        <v>1050000</v>
      </c>
      <c r="G15" s="39">
        <v>180000</v>
      </c>
      <c r="H15" s="39">
        <v>60000</v>
      </c>
      <c r="I15" s="39">
        <v>480000</v>
      </c>
      <c r="J15" s="39">
        <v>90000</v>
      </c>
      <c r="K15" s="39">
        <v>60000</v>
      </c>
      <c r="L15" s="39">
        <v>1920000</v>
      </c>
    </row>
    <row r="16" spans="1:12" x14ac:dyDescent="0.3">
      <c r="A16" s="24">
        <v>9</v>
      </c>
      <c r="B16" s="38" t="s">
        <v>41</v>
      </c>
      <c r="C16" s="38" t="s">
        <v>439</v>
      </c>
      <c r="D16" s="38" t="s">
        <v>42</v>
      </c>
      <c r="E16" s="39">
        <v>6000000</v>
      </c>
      <c r="F16" s="39">
        <v>1050000</v>
      </c>
      <c r="G16" s="39">
        <v>180000</v>
      </c>
      <c r="H16" s="39">
        <v>60000</v>
      </c>
      <c r="I16" s="39">
        <v>480000</v>
      </c>
      <c r="J16" s="39">
        <v>90000</v>
      </c>
      <c r="K16" s="39">
        <v>60000</v>
      </c>
      <c r="L16" s="39">
        <v>1920000</v>
      </c>
    </row>
    <row r="17" spans="1:12" x14ac:dyDescent="0.3">
      <c r="A17" s="24">
        <v>10</v>
      </c>
      <c r="B17" s="38" t="s">
        <v>44</v>
      </c>
      <c r="C17" s="38" t="s">
        <v>439</v>
      </c>
      <c r="D17" s="38" t="s">
        <v>45</v>
      </c>
      <c r="E17" s="39">
        <v>6000000</v>
      </c>
      <c r="F17" s="39">
        <v>1050000</v>
      </c>
      <c r="G17" s="39">
        <v>180000</v>
      </c>
      <c r="H17" s="39">
        <v>60000</v>
      </c>
      <c r="I17" s="39">
        <v>480000</v>
      </c>
      <c r="J17" s="39">
        <v>90000</v>
      </c>
      <c r="K17" s="39">
        <v>60000</v>
      </c>
      <c r="L17" s="39">
        <v>1920000</v>
      </c>
    </row>
    <row r="18" spans="1:12" x14ac:dyDescent="0.3">
      <c r="A18" s="24">
        <v>11</v>
      </c>
      <c r="B18" s="38" t="s">
        <v>47</v>
      </c>
      <c r="C18" s="38" t="s">
        <v>439</v>
      </c>
      <c r="D18" s="38" t="s">
        <v>48</v>
      </c>
      <c r="E18" s="39">
        <v>6000000</v>
      </c>
      <c r="F18" s="39">
        <v>1050000</v>
      </c>
      <c r="G18" s="39">
        <v>180000</v>
      </c>
      <c r="H18" s="39">
        <v>60000</v>
      </c>
      <c r="I18" s="39">
        <v>480000</v>
      </c>
      <c r="J18" s="39">
        <v>90000</v>
      </c>
      <c r="K18" s="39">
        <v>60000</v>
      </c>
      <c r="L18" s="39">
        <v>1920000</v>
      </c>
    </row>
    <row r="19" spans="1:12" x14ac:dyDescent="0.3">
      <c r="A19" s="24">
        <v>12</v>
      </c>
      <c r="B19" s="38" t="s">
        <v>49</v>
      </c>
      <c r="C19" s="38" t="s">
        <v>439</v>
      </c>
      <c r="D19" s="38" t="s">
        <v>50</v>
      </c>
      <c r="E19" s="39">
        <v>6000000</v>
      </c>
      <c r="F19" s="39">
        <v>1050000</v>
      </c>
      <c r="G19" s="39">
        <v>180000</v>
      </c>
      <c r="H19" s="39">
        <v>60000</v>
      </c>
      <c r="I19" s="39">
        <v>480000</v>
      </c>
      <c r="J19" s="39">
        <v>90000</v>
      </c>
      <c r="K19" s="39">
        <v>60000</v>
      </c>
      <c r="L19" s="39">
        <v>1920000</v>
      </c>
    </row>
    <row r="20" spans="1:12" x14ac:dyDescent="0.3">
      <c r="A20" s="24">
        <v>13</v>
      </c>
      <c r="B20" s="38" t="s">
        <v>51</v>
      </c>
      <c r="C20" s="38" t="s">
        <v>439</v>
      </c>
      <c r="D20" s="38" t="s">
        <v>52</v>
      </c>
      <c r="E20" s="39">
        <v>6000000</v>
      </c>
      <c r="F20" s="39">
        <v>1050000</v>
      </c>
      <c r="G20" s="39">
        <v>180000</v>
      </c>
      <c r="H20" s="39">
        <v>60000</v>
      </c>
      <c r="I20" s="39">
        <v>480000</v>
      </c>
      <c r="J20" s="39">
        <v>90000</v>
      </c>
      <c r="K20" s="39">
        <v>60000</v>
      </c>
      <c r="L20" s="39">
        <v>1920000</v>
      </c>
    </row>
    <row r="21" spans="1:12" x14ac:dyDescent="0.3">
      <c r="A21" s="24">
        <v>14</v>
      </c>
      <c r="B21" s="38" t="s">
        <v>53</v>
      </c>
      <c r="C21" s="38" t="s">
        <v>439</v>
      </c>
      <c r="D21" s="38" t="s">
        <v>54</v>
      </c>
      <c r="E21" s="39">
        <v>5800000</v>
      </c>
      <c r="F21" s="39">
        <v>1014999.9999999999</v>
      </c>
      <c r="G21" s="39">
        <v>174000</v>
      </c>
      <c r="H21" s="39">
        <v>58000</v>
      </c>
      <c r="I21" s="39">
        <v>464000</v>
      </c>
      <c r="J21" s="39">
        <v>87000</v>
      </c>
      <c r="K21" s="39">
        <v>58000</v>
      </c>
      <c r="L21" s="39">
        <v>1856000</v>
      </c>
    </row>
    <row r="22" spans="1:12" x14ac:dyDescent="0.3">
      <c r="A22" s="24">
        <v>15</v>
      </c>
      <c r="B22" s="38" t="s">
        <v>55</v>
      </c>
      <c r="C22" s="38" t="s">
        <v>439</v>
      </c>
      <c r="D22" s="38" t="s">
        <v>56</v>
      </c>
      <c r="E22" s="39">
        <v>5800000</v>
      </c>
      <c r="F22" s="39">
        <v>1014999.9999999999</v>
      </c>
      <c r="G22" s="39">
        <v>174000</v>
      </c>
      <c r="H22" s="39">
        <v>58000</v>
      </c>
      <c r="I22" s="39">
        <v>464000</v>
      </c>
      <c r="J22" s="39">
        <v>87000</v>
      </c>
      <c r="K22" s="39">
        <v>58000</v>
      </c>
      <c r="L22" s="39">
        <v>1856000</v>
      </c>
    </row>
    <row r="23" spans="1:12" x14ac:dyDescent="0.3">
      <c r="A23" s="24"/>
      <c r="B23" s="38"/>
      <c r="C23" s="38"/>
      <c r="D23" s="265" t="s">
        <v>114</v>
      </c>
      <c r="E23" s="266">
        <v>89600000</v>
      </c>
      <c r="F23" s="266">
        <v>15680000</v>
      </c>
      <c r="G23" s="266">
        <v>2688000</v>
      </c>
      <c r="H23" s="266">
        <v>896000</v>
      </c>
      <c r="I23" s="266">
        <v>7168000</v>
      </c>
      <c r="J23" s="266">
        <v>1344000</v>
      </c>
      <c r="K23" s="266">
        <v>896000</v>
      </c>
      <c r="L23" s="266">
        <v>28672000</v>
      </c>
    </row>
    <row r="25" spans="1:12" x14ac:dyDescent="0.3">
      <c r="H25" s="260" t="s">
        <v>135</v>
      </c>
      <c r="I25" s="260"/>
      <c r="J25" s="260"/>
      <c r="K25" s="260"/>
      <c r="L25" s="260"/>
    </row>
    <row r="26" spans="1:12" x14ac:dyDescent="0.3">
      <c r="B26" s="258" t="s">
        <v>125</v>
      </c>
      <c r="C26" s="258"/>
      <c r="H26" s="260" t="s">
        <v>11</v>
      </c>
      <c r="I26" s="260"/>
      <c r="J26" s="260"/>
      <c r="K26" s="260"/>
      <c r="L26" s="260"/>
    </row>
    <row r="27" spans="1:12" x14ac:dyDescent="0.3">
      <c r="B27" s="259" t="s">
        <v>95</v>
      </c>
      <c r="C27" s="259"/>
      <c r="H27" s="261" t="s">
        <v>97</v>
      </c>
      <c r="I27" s="261"/>
      <c r="J27" s="261"/>
      <c r="K27" s="261"/>
      <c r="L27" s="261"/>
    </row>
  </sheetData>
  <mergeCells count="6">
    <mergeCell ref="A4:L4"/>
    <mergeCell ref="B26:C26"/>
    <mergeCell ref="B27:C27"/>
    <mergeCell ref="H26:L26"/>
    <mergeCell ref="H27:L27"/>
    <mergeCell ref="H25:L25"/>
  </mergeCells>
  <pageMargins left="0.7" right="0.7" top="0.75" bottom="0.75" header="0.3" footer="0.3"/>
  <pageSetup paperSize="9" scale="75" fitToHeight="0" orientation="landscape" cellComments="atEnd"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EE820-A792-429C-AE5C-1C804A03ACF6}">
  <sheetPr codeName="Sheet104">
    <pageSetUpPr fitToPage="1"/>
  </sheetPr>
  <dimension ref="A1:L25"/>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11</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6000000</v>
      </c>
      <c r="F8" s="39">
        <v>1050000</v>
      </c>
      <c r="G8" s="39">
        <v>180000</v>
      </c>
      <c r="H8" s="39">
        <v>60000</v>
      </c>
      <c r="I8" s="39">
        <v>480000</v>
      </c>
      <c r="J8" s="39">
        <v>90000</v>
      </c>
      <c r="K8" s="39">
        <v>60000</v>
      </c>
      <c r="L8" s="39">
        <v>1920000</v>
      </c>
    </row>
    <row r="9" spans="1:12" x14ac:dyDescent="0.3">
      <c r="A9" s="24">
        <v>2</v>
      </c>
      <c r="B9" s="38" t="s">
        <v>14</v>
      </c>
      <c r="C9" s="38" t="s">
        <v>438</v>
      </c>
      <c r="D9" s="38" t="s">
        <v>15</v>
      </c>
      <c r="E9" s="39">
        <v>6000000</v>
      </c>
      <c r="F9" s="39">
        <v>1050000</v>
      </c>
      <c r="G9" s="39">
        <v>180000</v>
      </c>
      <c r="H9" s="39">
        <v>60000</v>
      </c>
      <c r="I9" s="39">
        <v>480000</v>
      </c>
      <c r="J9" s="39">
        <v>90000</v>
      </c>
      <c r="K9" s="39">
        <v>60000</v>
      </c>
      <c r="L9" s="39">
        <v>1920000</v>
      </c>
    </row>
    <row r="10" spans="1:12" x14ac:dyDescent="0.3">
      <c r="A10" s="24">
        <v>3</v>
      </c>
      <c r="B10" s="38" t="s">
        <v>19</v>
      </c>
      <c r="C10" s="38" t="s">
        <v>438</v>
      </c>
      <c r="D10" s="38" t="s">
        <v>20</v>
      </c>
      <c r="E10" s="39">
        <v>6000000</v>
      </c>
      <c r="F10" s="39">
        <v>1050000</v>
      </c>
      <c r="G10" s="39">
        <v>180000</v>
      </c>
      <c r="H10" s="39">
        <v>60000</v>
      </c>
      <c r="I10" s="39">
        <v>480000</v>
      </c>
      <c r="J10" s="39">
        <v>90000</v>
      </c>
      <c r="K10" s="39">
        <v>60000</v>
      </c>
      <c r="L10" s="39">
        <v>1920000</v>
      </c>
    </row>
    <row r="11" spans="1:12" x14ac:dyDescent="0.3">
      <c r="A11" s="24">
        <v>4</v>
      </c>
      <c r="B11" s="38" t="s">
        <v>24</v>
      </c>
      <c r="C11" s="38" t="s">
        <v>439</v>
      </c>
      <c r="D11" s="38" t="s">
        <v>25</v>
      </c>
      <c r="E11" s="39">
        <v>6000000</v>
      </c>
      <c r="F11" s="39">
        <v>1050000</v>
      </c>
      <c r="G11" s="39">
        <v>180000</v>
      </c>
      <c r="H11" s="39">
        <v>60000</v>
      </c>
      <c r="I11" s="39">
        <v>480000</v>
      </c>
      <c r="J11" s="39">
        <v>90000</v>
      </c>
      <c r="K11" s="39">
        <v>60000</v>
      </c>
      <c r="L11" s="39">
        <v>1920000</v>
      </c>
    </row>
    <row r="12" spans="1:12" x14ac:dyDescent="0.3">
      <c r="A12" s="24">
        <v>5</v>
      </c>
      <c r="B12" s="38" t="s">
        <v>29</v>
      </c>
      <c r="C12" s="38" t="s">
        <v>439</v>
      </c>
      <c r="D12" s="38" t="s">
        <v>30</v>
      </c>
      <c r="E12" s="39">
        <v>6000000</v>
      </c>
      <c r="F12" s="39">
        <v>1050000</v>
      </c>
      <c r="G12" s="39">
        <v>180000</v>
      </c>
      <c r="H12" s="39">
        <v>60000</v>
      </c>
      <c r="I12" s="39">
        <v>480000</v>
      </c>
      <c r="J12" s="39">
        <v>90000</v>
      </c>
      <c r="K12" s="39">
        <v>60000</v>
      </c>
      <c r="L12" s="39">
        <v>1920000</v>
      </c>
    </row>
    <row r="13" spans="1:12" x14ac:dyDescent="0.3">
      <c r="A13" s="24">
        <v>6</v>
      </c>
      <c r="B13" s="38" t="s">
        <v>32</v>
      </c>
      <c r="C13" s="38" t="s">
        <v>439</v>
      </c>
      <c r="D13" s="38" t="s">
        <v>33</v>
      </c>
      <c r="E13" s="39">
        <v>6000000</v>
      </c>
      <c r="F13" s="39">
        <v>1050000</v>
      </c>
      <c r="G13" s="39">
        <v>180000</v>
      </c>
      <c r="H13" s="39">
        <v>60000</v>
      </c>
      <c r="I13" s="39">
        <v>480000</v>
      </c>
      <c r="J13" s="39">
        <v>90000</v>
      </c>
      <c r="K13" s="39">
        <v>60000</v>
      </c>
      <c r="L13" s="39">
        <v>1920000</v>
      </c>
    </row>
    <row r="14" spans="1:12" x14ac:dyDescent="0.3">
      <c r="A14" s="24">
        <v>7</v>
      </c>
      <c r="B14" s="38" t="s">
        <v>35</v>
      </c>
      <c r="C14" s="38" t="s">
        <v>439</v>
      </c>
      <c r="D14" s="38" t="s">
        <v>36</v>
      </c>
      <c r="E14" s="39">
        <v>6000000</v>
      </c>
      <c r="F14" s="39">
        <v>1050000</v>
      </c>
      <c r="G14" s="39">
        <v>180000</v>
      </c>
      <c r="H14" s="39">
        <v>60000</v>
      </c>
      <c r="I14" s="39">
        <v>480000</v>
      </c>
      <c r="J14" s="39">
        <v>90000</v>
      </c>
      <c r="K14" s="39">
        <v>60000</v>
      </c>
      <c r="L14" s="39">
        <v>1920000</v>
      </c>
    </row>
    <row r="15" spans="1:12" x14ac:dyDescent="0.3">
      <c r="A15" s="24">
        <v>8</v>
      </c>
      <c r="B15" s="38" t="s">
        <v>38</v>
      </c>
      <c r="C15" s="38" t="s">
        <v>439</v>
      </c>
      <c r="D15" s="38" t="s">
        <v>39</v>
      </c>
      <c r="E15" s="39">
        <v>6000000</v>
      </c>
      <c r="F15" s="39">
        <v>1050000</v>
      </c>
      <c r="G15" s="39">
        <v>180000</v>
      </c>
      <c r="H15" s="39">
        <v>60000</v>
      </c>
      <c r="I15" s="39">
        <v>480000</v>
      </c>
      <c r="J15" s="39">
        <v>90000</v>
      </c>
      <c r="K15" s="39">
        <v>60000</v>
      </c>
      <c r="L15" s="39">
        <v>1920000</v>
      </c>
    </row>
    <row r="16" spans="1:12" x14ac:dyDescent="0.3">
      <c r="A16" s="24">
        <v>9</v>
      </c>
      <c r="B16" s="38" t="s">
        <v>41</v>
      </c>
      <c r="C16" s="38" t="s">
        <v>439</v>
      </c>
      <c r="D16" s="38" t="s">
        <v>42</v>
      </c>
      <c r="E16" s="39">
        <v>6000000</v>
      </c>
      <c r="F16" s="39">
        <v>1050000</v>
      </c>
      <c r="G16" s="39">
        <v>180000</v>
      </c>
      <c r="H16" s="39">
        <v>60000</v>
      </c>
      <c r="I16" s="39">
        <v>480000</v>
      </c>
      <c r="J16" s="39">
        <v>90000</v>
      </c>
      <c r="K16" s="39">
        <v>60000</v>
      </c>
      <c r="L16" s="39">
        <v>1920000</v>
      </c>
    </row>
    <row r="17" spans="1:12" x14ac:dyDescent="0.3">
      <c r="A17" s="24">
        <v>10</v>
      </c>
      <c r="B17" s="38" t="s">
        <v>44</v>
      </c>
      <c r="C17" s="38" t="s">
        <v>439</v>
      </c>
      <c r="D17" s="38" t="s">
        <v>45</v>
      </c>
      <c r="E17" s="39">
        <v>6000000</v>
      </c>
      <c r="F17" s="39">
        <v>1050000</v>
      </c>
      <c r="G17" s="39">
        <v>180000</v>
      </c>
      <c r="H17" s="39">
        <v>60000</v>
      </c>
      <c r="I17" s="39">
        <v>480000</v>
      </c>
      <c r="J17" s="39">
        <v>90000</v>
      </c>
      <c r="K17" s="39">
        <v>60000</v>
      </c>
      <c r="L17" s="39">
        <v>1920000</v>
      </c>
    </row>
    <row r="18" spans="1:12" x14ac:dyDescent="0.3">
      <c r="A18" s="24">
        <v>11</v>
      </c>
      <c r="B18" s="38" t="s">
        <v>47</v>
      </c>
      <c r="C18" s="38" t="s">
        <v>439</v>
      </c>
      <c r="D18" s="38" t="s">
        <v>48</v>
      </c>
      <c r="E18" s="39">
        <v>6000000</v>
      </c>
      <c r="F18" s="39">
        <v>1050000</v>
      </c>
      <c r="G18" s="39">
        <v>180000</v>
      </c>
      <c r="H18" s="39">
        <v>60000</v>
      </c>
      <c r="I18" s="39">
        <v>480000</v>
      </c>
      <c r="J18" s="39">
        <v>90000</v>
      </c>
      <c r="K18" s="39">
        <v>60000</v>
      </c>
      <c r="L18" s="39">
        <v>1920000</v>
      </c>
    </row>
    <row r="19" spans="1:12" x14ac:dyDescent="0.3">
      <c r="A19" s="24">
        <v>12</v>
      </c>
      <c r="B19" s="38" t="s">
        <v>49</v>
      </c>
      <c r="C19" s="38" t="s">
        <v>439</v>
      </c>
      <c r="D19" s="38" t="s">
        <v>50</v>
      </c>
      <c r="E19" s="39">
        <v>6000000</v>
      </c>
      <c r="F19" s="39">
        <v>1050000</v>
      </c>
      <c r="G19" s="39">
        <v>180000</v>
      </c>
      <c r="H19" s="39">
        <v>60000</v>
      </c>
      <c r="I19" s="39">
        <v>480000</v>
      </c>
      <c r="J19" s="39">
        <v>90000</v>
      </c>
      <c r="K19" s="39">
        <v>60000</v>
      </c>
      <c r="L19" s="39">
        <v>1920000</v>
      </c>
    </row>
    <row r="20" spans="1:12" x14ac:dyDescent="0.3">
      <c r="A20" s="24">
        <v>13</v>
      </c>
      <c r="B20" s="38" t="s">
        <v>51</v>
      </c>
      <c r="C20" s="38" t="s">
        <v>439</v>
      </c>
      <c r="D20" s="38" t="s">
        <v>52</v>
      </c>
      <c r="E20" s="39">
        <v>6000000</v>
      </c>
      <c r="F20" s="39">
        <v>1050000</v>
      </c>
      <c r="G20" s="39">
        <v>180000</v>
      </c>
      <c r="H20" s="39">
        <v>60000</v>
      </c>
      <c r="I20" s="39">
        <v>480000</v>
      </c>
      <c r="J20" s="39">
        <v>90000</v>
      </c>
      <c r="K20" s="39">
        <v>60000</v>
      </c>
      <c r="L20" s="39">
        <v>1920000</v>
      </c>
    </row>
    <row r="21" spans="1:12" x14ac:dyDescent="0.3">
      <c r="A21" s="24"/>
      <c r="B21" s="38"/>
      <c r="C21" s="38"/>
      <c r="D21" s="265" t="s">
        <v>114</v>
      </c>
      <c r="E21" s="266">
        <v>78000000</v>
      </c>
      <c r="F21" s="266">
        <v>13650000</v>
      </c>
      <c r="G21" s="266">
        <v>2340000</v>
      </c>
      <c r="H21" s="266">
        <v>780000</v>
      </c>
      <c r="I21" s="266">
        <v>6240000</v>
      </c>
      <c r="J21" s="266">
        <v>1170000</v>
      </c>
      <c r="K21" s="266">
        <v>780000</v>
      </c>
      <c r="L21" s="266">
        <v>24960000</v>
      </c>
    </row>
    <row r="23" spans="1:12" x14ac:dyDescent="0.3">
      <c r="H23" s="260" t="s">
        <v>136</v>
      </c>
      <c r="I23" s="260"/>
      <c r="J23" s="260"/>
      <c r="K23" s="260"/>
      <c r="L23" s="260"/>
    </row>
    <row r="24" spans="1:12" x14ac:dyDescent="0.3">
      <c r="B24" s="258" t="s">
        <v>125</v>
      </c>
      <c r="C24" s="258"/>
      <c r="H24" s="260" t="s">
        <v>11</v>
      </c>
      <c r="I24" s="260"/>
      <c r="J24" s="260"/>
      <c r="K24" s="260"/>
      <c r="L24" s="260"/>
    </row>
    <row r="25" spans="1:12" x14ac:dyDescent="0.3">
      <c r="B25" s="259" t="s">
        <v>95</v>
      </c>
      <c r="C25" s="259"/>
      <c r="H25" s="261" t="s">
        <v>97</v>
      </c>
      <c r="I25" s="261"/>
      <c r="J25" s="261"/>
      <c r="K25" s="261"/>
      <c r="L25" s="261"/>
    </row>
  </sheetData>
  <mergeCells count="6">
    <mergeCell ref="A4:L4"/>
    <mergeCell ref="B24:C24"/>
    <mergeCell ref="B25:C25"/>
    <mergeCell ref="H24:L24"/>
    <mergeCell ref="H25:L25"/>
    <mergeCell ref="H23:L23"/>
  </mergeCells>
  <pageMargins left="0.7" right="0.7" top="0.75" bottom="0.75" header="0.3" footer="0.3"/>
  <pageSetup paperSize="9" scale="75" fitToHeight="0" orientation="landscape" cellComments="atEnd"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9679C-AE84-44ED-A06E-E24A164AB961}">
  <sheetPr codeName="Sheet105">
    <pageSetUpPr fitToPage="1"/>
  </sheetPr>
  <dimension ref="A1:L25"/>
  <sheetViews>
    <sheetView workbookViewId="0">
      <selection sqref="A1:XFD1048576"/>
    </sheetView>
  </sheetViews>
  <sheetFormatPr defaultRowHeight="14.4" x14ac:dyDescent="0.3"/>
  <cols>
    <col min="1" max="1" width="8.88671875" style="12"/>
    <col min="2" max="2" width="8.88671875" style="27"/>
    <col min="3" max="3" width="11" style="27" customWidth="1"/>
    <col min="4" max="4" width="20.88671875" style="27" customWidth="1"/>
    <col min="5" max="11" width="15.5546875" style="26" customWidth="1"/>
    <col min="12" max="12" width="15.5546875" customWidth="1"/>
  </cols>
  <sheetData>
    <row r="1" spans="1:12" ht="15.6" x14ac:dyDescent="0.3">
      <c r="A1" s="29" t="str">
        <f>Company_Name</f>
        <v>CÔNG TY TNHH CƠ KHÍ SỬA CHỮA HOÀNG KIÊN</v>
      </c>
      <c r="B1"/>
      <c r="C1"/>
      <c r="D1"/>
      <c r="E1"/>
      <c r="F1"/>
      <c r="G1"/>
      <c r="H1"/>
      <c r="I1"/>
      <c r="J1"/>
      <c r="K1"/>
    </row>
    <row r="2" spans="1:12" ht="15.6" x14ac:dyDescent="0.3">
      <c r="A2" s="29" t="str">
        <f>Company_Address</f>
        <v>SN 16N3, ngõ 90 đường Nguyễn Tuân, P. Thanh Xuân, Q. Thanh Xuân, Hà Nội</v>
      </c>
      <c r="B2"/>
      <c r="C2"/>
      <c r="D2"/>
      <c r="E2"/>
      <c r="F2"/>
      <c r="G2"/>
      <c r="H2"/>
      <c r="I2"/>
      <c r="J2"/>
      <c r="K2"/>
    </row>
    <row r="3" spans="1:12" x14ac:dyDescent="0.3">
      <c r="A3"/>
      <c r="B3"/>
      <c r="C3"/>
      <c r="D3"/>
      <c r="E3"/>
      <c r="F3"/>
      <c r="G3"/>
      <c r="H3"/>
      <c r="I3"/>
      <c r="J3"/>
      <c r="K3"/>
    </row>
    <row r="4" spans="1:12" ht="21" x14ac:dyDescent="0.4">
      <c r="A4" s="254" t="s">
        <v>110</v>
      </c>
      <c r="B4" s="254"/>
      <c r="C4" s="254"/>
      <c r="D4" s="254"/>
      <c r="E4" s="254"/>
      <c r="F4" s="254"/>
      <c r="G4" s="254"/>
      <c r="H4" s="254"/>
      <c r="I4" s="254"/>
      <c r="J4" s="254"/>
      <c r="K4" s="254"/>
      <c r="L4" s="254"/>
    </row>
    <row r="5" spans="1:12" x14ac:dyDescent="0.3">
      <c r="A5"/>
      <c r="B5"/>
      <c r="C5"/>
      <c r="D5"/>
      <c r="E5" s="34" t="s">
        <v>92</v>
      </c>
      <c r="F5" s="18">
        <v>12</v>
      </c>
      <c r="G5" s="34" t="s">
        <v>93</v>
      </c>
      <c r="H5" s="18">
        <v>2023</v>
      </c>
      <c r="I5"/>
      <c r="J5"/>
      <c r="K5"/>
    </row>
    <row r="6" spans="1:12" x14ac:dyDescent="0.3">
      <c r="A6"/>
      <c r="B6"/>
      <c r="C6"/>
      <c r="D6"/>
      <c r="E6"/>
      <c r="F6"/>
      <c r="G6"/>
      <c r="H6"/>
      <c r="I6"/>
      <c r="J6"/>
      <c r="K6"/>
    </row>
    <row r="7" spans="1:12" x14ac:dyDescent="0.3">
      <c r="A7" s="19" t="s">
        <v>5</v>
      </c>
      <c r="B7" s="19" t="s">
        <v>91</v>
      </c>
      <c r="C7" s="19" t="s">
        <v>111</v>
      </c>
      <c r="D7" s="19" t="s">
        <v>112</v>
      </c>
      <c r="E7" s="19" t="s">
        <v>113</v>
      </c>
      <c r="F7" s="32">
        <v>0.17499999999999999</v>
      </c>
      <c r="G7" s="32">
        <v>0.03</v>
      </c>
      <c r="H7" s="32">
        <v>0.01</v>
      </c>
      <c r="I7" s="32">
        <v>0.08</v>
      </c>
      <c r="J7" s="32">
        <v>1.4999999999999999E-2</v>
      </c>
      <c r="K7" s="32">
        <v>0.01</v>
      </c>
      <c r="L7" s="19" t="s">
        <v>114</v>
      </c>
    </row>
    <row r="8" spans="1:12" x14ac:dyDescent="0.3">
      <c r="A8" s="24">
        <v>1</v>
      </c>
      <c r="B8" s="38" t="s">
        <v>9</v>
      </c>
      <c r="C8" s="38" t="s">
        <v>438</v>
      </c>
      <c r="D8" s="38" t="s">
        <v>10</v>
      </c>
      <c r="E8" s="39">
        <v>6000000</v>
      </c>
      <c r="F8" s="39">
        <v>1050000</v>
      </c>
      <c r="G8" s="39">
        <v>180000</v>
      </c>
      <c r="H8" s="39">
        <v>60000</v>
      </c>
      <c r="I8" s="39">
        <v>480000</v>
      </c>
      <c r="J8" s="39">
        <v>90000</v>
      </c>
      <c r="K8" s="39">
        <v>60000</v>
      </c>
      <c r="L8" s="39">
        <v>1920000</v>
      </c>
    </row>
    <row r="9" spans="1:12" x14ac:dyDescent="0.3">
      <c r="A9" s="24">
        <v>2</v>
      </c>
      <c r="B9" s="38" t="s">
        <v>14</v>
      </c>
      <c r="C9" s="38" t="s">
        <v>438</v>
      </c>
      <c r="D9" s="38" t="s">
        <v>15</v>
      </c>
      <c r="E9" s="39">
        <v>6000000</v>
      </c>
      <c r="F9" s="39">
        <v>1050000</v>
      </c>
      <c r="G9" s="39">
        <v>180000</v>
      </c>
      <c r="H9" s="39">
        <v>60000</v>
      </c>
      <c r="I9" s="39">
        <v>480000</v>
      </c>
      <c r="J9" s="39">
        <v>90000</v>
      </c>
      <c r="K9" s="39">
        <v>60000</v>
      </c>
      <c r="L9" s="39">
        <v>1920000</v>
      </c>
    </row>
    <row r="10" spans="1:12" x14ac:dyDescent="0.3">
      <c r="A10" s="24">
        <v>3</v>
      </c>
      <c r="B10" s="38" t="s">
        <v>19</v>
      </c>
      <c r="C10" s="38" t="s">
        <v>438</v>
      </c>
      <c r="D10" s="38" t="s">
        <v>20</v>
      </c>
      <c r="E10" s="39">
        <v>6000000</v>
      </c>
      <c r="F10" s="39">
        <v>1050000</v>
      </c>
      <c r="G10" s="39">
        <v>180000</v>
      </c>
      <c r="H10" s="39">
        <v>60000</v>
      </c>
      <c r="I10" s="39">
        <v>480000</v>
      </c>
      <c r="J10" s="39">
        <v>90000</v>
      </c>
      <c r="K10" s="39">
        <v>60000</v>
      </c>
      <c r="L10" s="39">
        <v>1920000</v>
      </c>
    </row>
    <row r="11" spans="1:12" x14ac:dyDescent="0.3">
      <c r="A11" s="24">
        <v>4</v>
      </c>
      <c r="B11" s="38" t="s">
        <v>24</v>
      </c>
      <c r="C11" s="38" t="s">
        <v>439</v>
      </c>
      <c r="D11" s="38" t="s">
        <v>25</v>
      </c>
      <c r="E11" s="39">
        <v>6000000</v>
      </c>
      <c r="F11" s="39">
        <v>1050000</v>
      </c>
      <c r="G11" s="39">
        <v>180000</v>
      </c>
      <c r="H11" s="39">
        <v>60000</v>
      </c>
      <c r="I11" s="39">
        <v>480000</v>
      </c>
      <c r="J11" s="39">
        <v>90000</v>
      </c>
      <c r="K11" s="39">
        <v>60000</v>
      </c>
      <c r="L11" s="39">
        <v>1920000</v>
      </c>
    </row>
    <row r="12" spans="1:12" x14ac:dyDescent="0.3">
      <c r="A12" s="24">
        <v>5</v>
      </c>
      <c r="B12" s="38" t="s">
        <v>29</v>
      </c>
      <c r="C12" s="38" t="s">
        <v>439</v>
      </c>
      <c r="D12" s="38" t="s">
        <v>30</v>
      </c>
      <c r="E12" s="39">
        <v>6000000</v>
      </c>
      <c r="F12" s="39">
        <v>1050000</v>
      </c>
      <c r="G12" s="39">
        <v>180000</v>
      </c>
      <c r="H12" s="39">
        <v>60000</v>
      </c>
      <c r="I12" s="39">
        <v>480000</v>
      </c>
      <c r="J12" s="39">
        <v>90000</v>
      </c>
      <c r="K12" s="39">
        <v>60000</v>
      </c>
      <c r="L12" s="39">
        <v>1920000</v>
      </c>
    </row>
    <row r="13" spans="1:12" x14ac:dyDescent="0.3">
      <c r="A13" s="24">
        <v>6</v>
      </c>
      <c r="B13" s="38" t="s">
        <v>32</v>
      </c>
      <c r="C13" s="38" t="s">
        <v>439</v>
      </c>
      <c r="D13" s="38" t="s">
        <v>33</v>
      </c>
      <c r="E13" s="39">
        <v>6000000</v>
      </c>
      <c r="F13" s="39">
        <v>1050000</v>
      </c>
      <c r="G13" s="39">
        <v>180000</v>
      </c>
      <c r="H13" s="39">
        <v>60000</v>
      </c>
      <c r="I13" s="39">
        <v>480000</v>
      </c>
      <c r="J13" s="39">
        <v>90000</v>
      </c>
      <c r="K13" s="39">
        <v>60000</v>
      </c>
      <c r="L13" s="39">
        <v>1920000</v>
      </c>
    </row>
    <row r="14" spans="1:12" x14ac:dyDescent="0.3">
      <c r="A14" s="24">
        <v>7</v>
      </c>
      <c r="B14" s="38" t="s">
        <v>35</v>
      </c>
      <c r="C14" s="38" t="s">
        <v>439</v>
      </c>
      <c r="D14" s="38" t="s">
        <v>36</v>
      </c>
      <c r="E14" s="39">
        <v>6000000</v>
      </c>
      <c r="F14" s="39">
        <v>1050000</v>
      </c>
      <c r="G14" s="39">
        <v>180000</v>
      </c>
      <c r="H14" s="39">
        <v>60000</v>
      </c>
      <c r="I14" s="39">
        <v>480000</v>
      </c>
      <c r="J14" s="39">
        <v>90000</v>
      </c>
      <c r="K14" s="39">
        <v>60000</v>
      </c>
      <c r="L14" s="39">
        <v>1920000</v>
      </c>
    </row>
    <row r="15" spans="1:12" x14ac:dyDescent="0.3">
      <c r="A15" s="24">
        <v>8</v>
      </c>
      <c r="B15" s="38" t="s">
        <v>38</v>
      </c>
      <c r="C15" s="38" t="s">
        <v>439</v>
      </c>
      <c r="D15" s="38" t="s">
        <v>39</v>
      </c>
      <c r="E15" s="39">
        <v>6000000</v>
      </c>
      <c r="F15" s="39">
        <v>1050000</v>
      </c>
      <c r="G15" s="39">
        <v>180000</v>
      </c>
      <c r="H15" s="39">
        <v>60000</v>
      </c>
      <c r="I15" s="39">
        <v>480000</v>
      </c>
      <c r="J15" s="39">
        <v>90000</v>
      </c>
      <c r="K15" s="39">
        <v>60000</v>
      </c>
      <c r="L15" s="39">
        <v>1920000</v>
      </c>
    </row>
    <row r="16" spans="1:12" x14ac:dyDescent="0.3">
      <c r="A16" s="24">
        <v>9</v>
      </c>
      <c r="B16" s="38" t="s">
        <v>41</v>
      </c>
      <c r="C16" s="38" t="s">
        <v>439</v>
      </c>
      <c r="D16" s="38" t="s">
        <v>42</v>
      </c>
      <c r="E16" s="39">
        <v>6000000</v>
      </c>
      <c r="F16" s="39">
        <v>1050000</v>
      </c>
      <c r="G16" s="39">
        <v>180000</v>
      </c>
      <c r="H16" s="39">
        <v>60000</v>
      </c>
      <c r="I16" s="39">
        <v>480000</v>
      </c>
      <c r="J16" s="39">
        <v>90000</v>
      </c>
      <c r="K16" s="39">
        <v>60000</v>
      </c>
      <c r="L16" s="39">
        <v>1920000</v>
      </c>
    </row>
    <row r="17" spans="1:12" x14ac:dyDescent="0.3">
      <c r="A17" s="24">
        <v>10</v>
      </c>
      <c r="B17" s="38" t="s">
        <v>44</v>
      </c>
      <c r="C17" s="38" t="s">
        <v>439</v>
      </c>
      <c r="D17" s="38" t="s">
        <v>45</v>
      </c>
      <c r="E17" s="39">
        <v>6000000</v>
      </c>
      <c r="F17" s="39">
        <v>1050000</v>
      </c>
      <c r="G17" s="39">
        <v>180000</v>
      </c>
      <c r="H17" s="39">
        <v>60000</v>
      </c>
      <c r="I17" s="39">
        <v>480000</v>
      </c>
      <c r="J17" s="39">
        <v>90000</v>
      </c>
      <c r="K17" s="39">
        <v>60000</v>
      </c>
      <c r="L17" s="39">
        <v>1920000</v>
      </c>
    </row>
    <row r="18" spans="1:12" x14ac:dyDescent="0.3">
      <c r="A18" s="24">
        <v>11</v>
      </c>
      <c r="B18" s="38" t="s">
        <v>47</v>
      </c>
      <c r="C18" s="38" t="s">
        <v>439</v>
      </c>
      <c r="D18" s="38" t="s">
        <v>48</v>
      </c>
      <c r="E18" s="39">
        <v>6000000</v>
      </c>
      <c r="F18" s="39">
        <v>1050000</v>
      </c>
      <c r="G18" s="39">
        <v>180000</v>
      </c>
      <c r="H18" s="39">
        <v>60000</v>
      </c>
      <c r="I18" s="39">
        <v>480000</v>
      </c>
      <c r="J18" s="39">
        <v>90000</v>
      </c>
      <c r="K18" s="39">
        <v>60000</v>
      </c>
      <c r="L18" s="39">
        <v>1920000</v>
      </c>
    </row>
    <row r="19" spans="1:12" x14ac:dyDescent="0.3">
      <c r="A19" s="24">
        <v>12</v>
      </c>
      <c r="B19" s="38" t="s">
        <v>49</v>
      </c>
      <c r="C19" s="38" t="s">
        <v>439</v>
      </c>
      <c r="D19" s="38" t="s">
        <v>50</v>
      </c>
      <c r="E19" s="39">
        <v>6000000</v>
      </c>
      <c r="F19" s="39">
        <v>1050000</v>
      </c>
      <c r="G19" s="39">
        <v>180000</v>
      </c>
      <c r="H19" s="39">
        <v>60000</v>
      </c>
      <c r="I19" s="39">
        <v>480000</v>
      </c>
      <c r="J19" s="39">
        <v>90000</v>
      </c>
      <c r="K19" s="39">
        <v>60000</v>
      </c>
      <c r="L19" s="39">
        <v>1920000</v>
      </c>
    </row>
    <row r="20" spans="1:12" x14ac:dyDescent="0.3">
      <c r="A20" s="24">
        <v>13</v>
      </c>
      <c r="B20" s="38" t="s">
        <v>51</v>
      </c>
      <c r="C20" s="38" t="s">
        <v>439</v>
      </c>
      <c r="D20" s="38" t="s">
        <v>52</v>
      </c>
      <c r="E20" s="39">
        <v>6000000</v>
      </c>
      <c r="F20" s="39">
        <v>1050000</v>
      </c>
      <c r="G20" s="39">
        <v>180000</v>
      </c>
      <c r="H20" s="39">
        <v>60000</v>
      </c>
      <c r="I20" s="39">
        <v>480000</v>
      </c>
      <c r="J20" s="39">
        <v>90000</v>
      </c>
      <c r="K20" s="39">
        <v>60000</v>
      </c>
      <c r="L20" s="39">
        <v>1920000</v>
      </c>
    </row>
    <row r="21" spans="1:12" x14ac:dyDescent="0.3">
      <c r="A21" s="24"/>
      <c r="B21" s="38"/>
      <c r="C21" s="38"/>
      <c r="D21" s="265" t="s">
        <v>114</v>
      </c>
      <c r="E21" s="266">
        <v>78000000</v>
      </c>
      <c r="F21" s="266">
        <v>13650000</v>
      </c>
      <c r="G21" s="266">
        <v>2340000</v>
      </c>
      <c r="H21" s="266">
        <v>780000</v>
      </c>
      <c r="I21" s="266">
        <v>6240000</v>
      </c>
      <c r="J21" s="266">
        <v>1170000</v>
      </c>
      <c r="K21" s="266">
        <v>780000</v>
      </c>
      <c r="L21" s="266">
        <v>24960000</v>
      </c>
    </row>
    <row r="23" spans="1:12" x14ac:dyDescent="0.3">
      <c r="H23" s="260" t="s">
        <v>137</v>
      </c>
      <c r="I23" s="260"/>
      <c r="J23" s="260"/>
      <c r="K23" s="260"/>
      <c r="L23" s="260"/>
    </row>
    <row r="24" spans="1:12" x14ac:dyDescent="0.3">
      <c r="B24" s="258" t="s">
        <v>125</v>
      </c>
      <c r="C24" s="258"/>
      <c r="H24" s="260" t="s">
        <v>11</v>
      </c>
      <c r="I24" s="260"/>
      <c r="J24" s="260"/>
      <c r="K24" s="260"/>
      <c r="L24" s="260"/>
    </row>
    <row r="25" spans="1:12" x14ac:dyDescent="0.3">
      <c r="B25" s="259" t="s">
        <v>95</v>
      </c>
      <c r="C25" s="259"/>
      <c r="H25" s="261" t="s">
        <v>97</v>
      </c>
      <c r="I25" s="261"/>
      <c r="J25" s="261"/>
      <c r="K25" s="261"/>
      <c r="L25" s="261"/>
    </row>
  </sheetData>
  <mergeCells count="6">
    <mergeCell ref="A4:L4"/>
    <mergeCell ref="B24:C24"/>
    <mergeCell ref="B25:C25"/>
    <mergeCell ref="H24:L24"/>
    <mergeCell ref="H25:L25"/>
    <mergeCell ref="H23:L23"/>
  </mergeCells>
  <pageMargins left="0.7" right="0.7" top="0.75" bottom="0.75" header="0.3" footer="0.3"/>
  <pageSetup paperSize="9" scale="75" fitToHeight="0" orientation="landscape" cellComments="atEnd" r:id="rId1"/>
</worksheet>
</file>

<file path=customUI/customUI14.xml><?xml version="1.0" encoding="utf-8"?>
<customUI xmlns="http://schemas.microsoft.com/office/2009/07/customui">
  <ribbon startFromScratch="false">
    <tabs>
      <tab id="customTab" label="Đông Dương TAX">
        <group id="SetupGroup" label="Setup">
          <button id="customButton1" label="Thiết lập công ty" imageMso="MasterNotesPageOrientation" size="large" onAction="Company_Setup_Callback"/>
          <button id="customButton2" label="Thiết lập ngày nghỉ" imageMso="ShowAppointmentPage" size="large" onAction="Date_Setup_Callback"/>
          <button id="customButton3" label="Mức trích BHXH" imageMso="DefinedPrintStyle" size="large" onAction="Muc_Trich_BHXH_Setup_Callback"/>
          <button id="customButton4" label="Dữ liệu người lao động" imageMso="ContactSendMenu" size="large" onAction="Employee_Data_Callback"/>
        </group>
        <group id="EmployeeDataSelected" label="Chọn vùng nhập liệu">
          <splitButton id="Splitbutton2" size="large">
            <button id="button2" imageMso="ObjectsSelect" label="Chọn vùng nhập liệu"/>
            <menu id="menu_chon_data_nhap_lieu">
              <button id="customButton5" label="Chọn tất cả" onAction="All_Selected_Callback"/>
              <button id="customButton6" label="Lương chính" onAction="Luong_Chinh_Selected_Callback"/>
              <button id="customButton7" label="Giảm trừ bản thân" onAction="Giam_Tru_Ban_Than_Selected_Callback"/>
              <button id="customButton8" label="Giảm trừ người phụ thuộc" onAction="Giam_Tru_NPT_Selected_Callback"/>
              <button id="customButton9" label="Lương BHXH" onAction="Luong_BHXH_Selected_Callback"/>
              <button id="customButton10" label="Phụ cấp ăn ca" onAction="Phu_Cap_An_Ca_Selected_Callback"/>
              <button id="customButton11" label="Phụ cấp xăng xe" onAction="Phu_Cap_Xang_Xe_Selected_Callback"/>
              <button id="customButton12" label="Phụ cấp nhà ở" onAction="Phu_Cap_Nha_O_Selected_Callback"/>
              <button id="customButton13" label="Phụ cấp điện thoại" onAction="Phu_Cap_Dien_Thoai_Selected_Callback"/>
              <button id="customButton14" label="Phụ cấp nhà ở" onAction="Phu_Cap_Nha_O_Selected_Callback"/>
            </menu>
          </splitButton>
        </group>
        <group id="Bang_Cham_Cong_Group" label="Bảng chấm công">
          <button id="customButton15" label="Tạo bảng chấm công" imageMso="CreateStoredProcedure" size="large" onAction="Tao_Bang_Cham_Cong_Callback"/>
          <button id="customButton16" label="In bảng chấm công" imageMso="FilePrint" size="large" onAction="In_Bang_Cham_Cong_Callback"/>
          <button id="customButton17" label="Tổng hợp dữ liệu chấm công" imageMso="CreateQueryFromWizard" size="large" onAction="Tong_Hop_Du_Lieu_Cham_Cong_Callback"/>
          <splitButton id="Splitbutton3" size="large">
            <button id="button3" imageMso="ObjectsSelect" label="Chọn bảng chấm công"/>
            <menu id="menu_chon_thang_cham_cong">
              <button id="customButton18" label="Tháng 01" onAction="BCC_Thang_01_Selected_Callback"/>
              <button id="customButton19" label="Tháng 02" onAction="BCC_Thang_02_Selected_Callback"/>
              <button id="customButton20" label="Tháng 03" onAction="BCC_Thang_03_Selected_Callback"/>
              <button id="customButton21" label="Tháng 04" onAction="BCC_Thang_04_Selected_Callback"/>
              <button id="customButton22" label="Tháng 05" onAction="BCC_Thang_05_Selected_Callback"/>
              <button id="customButton23" label="Tháng 06" onAction="BCC_Thang_06_Selected_Callback"/>
              <button id="customButton24" label="Tháng 07" onAction="BCC_Thang_07_Selected_Callback"/>
              <button id="customButton25" label="Tháng 08" onAction="BCC_Thang_08_Selected_Callback"/>
              <button id="customButton26" label="Tháng 09" onAction="BCC_Thang_09_Selected_Callback"/>
              <button id="customButton27" label="Tháng 10" onAction="BCC_Thang_10_Selected_Callback"/>
              <button id="customButton28" label="Tháng 11" onAction="BCC_Thang_11_Selected_Callback"/>
              <button id="customButton29" label="Tháng 12" onAction="BCC_Thang_12_Selected_Callback"/>
            </menu>
          </splitButton>
        </group>
        <group id="Bang_Tinh_BHXH_Group" label="Bảng tính BHXH">
          <button id="customButton30" label="Tạo bảng tính BHXH" imageMso="CreateStoredProcedure" size="large" onAction="Tao_Bang_Tinh_BHXH_Callback"/>
          <button id="customButton31" label="In bảng tính BHXH" imageMso="FilePrint" size="large" onAction="In_Bang_Tinh_BHXH_Callback"/>
          <button id="customButton32" label="Tổng hợp dữ liệu BHXH" imageMso="CreateQueryFromWizard" size="large" onAction="Tong_Hop_Du_Lieu_Tinh_BHXH_Callback"/>
          <splitButton id="Splitbutton4" size="large">
            <button id="button4" imageMso="ObjectsSelect" label="Chọn bảng tính BHXH"/>
            <menu id="menu_chon_thang_tinh_bhxh">
              <button id="customButton33" label="Tháng 01" onAction="BHXH_Thang_01_Selected_Callback"/>
              <button id="customButton34" label="Tháng 02" onAction="BHXH_Thang_02_Selected_Callback"/>
              <button id="customButton35" label="Tháng 03" onAction="BHXH_Thang_03_Selected_Callback"/>
              <button id="customButton36" label="Tháng 04" onAction="BHXH_Thang_04_Selected_Callback"/>
              <button id="customButton37" label="Tháng 05" onAction="BHXH_Thang_05_Selected_Callback"/>
              <button id="customButton38" label="Tháng 06" onAction="BHXH_Thang_06_Selected_Callback"/>
              <button id="customButton39" label="Tháng 07" onAction="BHXH_Thang_07_Selected_Callback"/>
              <button id="customButton40" label="Tháng 08" onAction="BHXH_Thang_08_Selected_Callback"/>
              <button id="customButton41" label="Tháng 09" onAction="BHXH_Thang_09_Selected_Callback"/>
              <button id="customButton42" label="Tháng 10" onAction="BHXH_Thang_10_Selected_Callback"/>
              <button id="customButton43" label="Tháng 11" onAction="BHXH_Thang_11_Selected_Callback"/>
              <button id="customButton44" label="Tháng 12" onAction="BHXH_Thang_12_Selected_Callback"/>
            </menu>
          </splitButton>
          <button id="customButton63" label="Đi tới Sheet Thống Kê BHXH" imageMso="GoTo" size="large" onAction="Di_Toi_Sheet_Thong_Ke_BHXH_Callback"/>
          <button id="customButton64" label="Thống kê BHXH theo bộ phận" imageMso="AutoSummarize" size="large" onAction="Thong_Ke_BHXH_Theo_Bo_Phan_Callback"/>
        </group>
        <group id="Bang_Luong_Group" label="Bảng lương">
          <button id="customButton45" label="Tạo bảng tính lương" imageMso="CreateStoredProcedure" size="large" onAction="Tao_Bang_Tinh_Luong_Callback"/>
          <button id="customButton46" label="In bảng tính lương" imageMso="FilePrint" size="large" onAction="In_Bang_Tinh_Luong_Callback"/>
          <button id="customButton47" label="Tổng hợp dữ liệu lương" imageMso="CreateQueryFromWizard" size="large" onAction="Tong_Hop_Du_Lieu_Tinh_Luong_Callback"/>
          <splitButton id="Splitbutton5" size="large">
            <button id="button5" imageMso="ObjectsSelect" label="Chọn bảng tính lương"/>
            <menu id="menu_chon_bang_luong">
              <button id="customButton48" label="Tháng 01" onAction="Bang_Luong_Thang_01_Selected_Callback"/>
              <button id="customButton49" label="Tháng 02" onAction="Bang_Luong_Thang_02_Selected_Callback"/>
              <button id="customButton50" label="Tháng 03" onAction="Bang_Luong_Thang_03_Selected_Callback"/>
              <button id="customButton51" label="Tháng 04" onAction="Bang_Luong_Thang_04_Selected_Callback"/>
              <button id="customButton52" label="Tháng 05" onAction="Bang_Luong_Thang_05_Selected_Callback"/>
              <button id="customButton53" label="Tháng 06" onAction="Bang_Luong_Thang_06_Selected_Callback"/>
              <button id="customButton54" label="Tháng 07" onAction="Bang_Luong_Thang_07_Selected_Callback"/>
              <button id="customButton55" label="Tháng 08" onAction="Bang_Luong_Thang_08_Selected_Callback"/>
              <button id="customButton56" label="Tháng 09" onAction="Bang_Luong_Thang_09_Selected_Callback"/>
              <button id="customButton57" label="Tháng 10" onAction="Bang_Luong_Thang_10_Selected_Callback"/>
              <button id="customButton58" label="Tháng 11" onAction="Bang_Luong_Thang_11_Selected_Callback"/>
              <button id="customButton59" label="Tháng 12" onAction="Bang_Luong_Thang_12_Selected_Callback"/>
            </menu>
          </splitButton>
          <button id="customButton61" label="Đi tới Sheet Thống Kê Lương" imageMso="GoTo" size="large" onAction="Di_Toi_Sheet_Thong_Ke_Luong_Callback"/>
          <button id="customButton62" label="Thống kê lương theo bộ phận" imageMso="AutoSummarize" size="large" onAction="Thong_Ke_Luong_Theo_Bo_Phan_Callback"/>
        </group>
        <group id="QT_TNCN_Group" label="Quyết toán TNCN">
          <button id="customButton60" label="Tổng hợp quyết toán thuế TNCN" imageMso="PivotTableListFormulas" size="large" onAction="QT_TNCN_Callback"/>
        </group>
        <group id="HDLD_Group" label="Hợp đồng lao động">
          <button id="customButton65" label="Tổng hợp nhập liệu HDLD" imageMso="ReviewCombineRevisions" size="large" onAction="Tong_Hop_Nhap_Lieu_HDLD_Callback"/>
          <button id="customButton66" label="In HDLD" imageMso="GroupPrintPreviewPrint" size="large" onAction="In_HDLD_Callback"/>
          <button id="customButton67" label="In cam kết 08" imageMso="PrintDataOnly" size="large" onAction="In_Cam_Ket_08_Callback"/>
          <button id="customButton68" label="In cam kết 02" imageMso="PrintOptionsMenu" size="large" onAction="In_Cam_Ket_02_Callba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62</vt:i4>
      </vt:variant>
      <vt:variant>
        <vt:lpstr>Named Ranges</vt:lpstr>
      </vt:variant>
      <vt:variant>
        <vt:i4>51</vt:i4>
      </vt:variant>
    </vt:vector>
  </HeadingPairs>
  <TitlesOfParts>
    <vt:vector size="113" baseType="lpstr">
      <vt:lpstr>Hướng dẫn sử dụng</vt:lpstr>
      <vt:lpstr>COMPANY_SETUP</vt:lpstr>
      <vt:lpstr>DATE_SETUP</vt:lpstr>
      <vt:lpstr>MUC_TRICH_BHXH_HANG_THANG</vt:lpstr>
      <vt:lpstr>EMPLOYEE_DATA</vt:lpstr>
      <vt:lpstr>MUC_GIAM_TRU_NPT</vt:lpstr>
      <vt:lpstr>FORM_NHAP_LIEU_HDLD</vt:lpstr>
      <vt:lpstr>08CK-TNCN</vt:lpstr>
      <vt:lpstr>CAM_KET_02</vt:lpstr>
      <vt:lpstr>FORM_HDLD</vt:lpstr>
      <vt:lpstr>QT_TNCN</vt:lpstr>
      <vt:lpstr>05-1-BK-QTT_TNCN</vt:lpstr>
      <vt:lpstr>05-2-BK-QTT-TNCN</vt:lpstr>
      <vt:lpstr>QT_TNCN_BACKUP</vt:lpstr>
      <vt:lpstr>05_3BK_TNCN</vt:lpstr>
      <vt:lpstr>BANG_CHAM_CONG_DATA</vt:lpstr>
      <vt:lpstr>BAO_HIEM_XA_HOI_DATA</vt:lpstr>
      <vt:lpstr>BANG_LUONG_DATA</vt:lpstr>
      <vt:lpstr>DATA_RANGE</vt:lpstr>
      <vt:lpstr>TEST</vt:lpstr>
      <vt:lpstr>NGAY_NGHI_LE</vt:lpstr>
      <vt:lpstr>BANG_CHAM_CONG_TEMPLATE</vt:lpstr>
      <vt:lpstr>BANG_TINH_BHXH_TEMPLATE</vt:lpstr>
      <vt:lpstr>BANG_LUONG_TEMPLATE</vt:lpstr>
      <vt:lpstr>THONG_KE_BHXH</vt:lpstr>
      <vt:lpstr>THONG_KE_LUONG</vt:lpstr>
      <vt:lpstr>BCC_T1</vt:lpstr>
      <vt:lpstr>BCC_T2</vt:lpstr>
      <vt:lpstr>BCC_T3</vt:lpstr>
      <vt:lpstr>BCC_T4</vt:lpstr>
      <vt:lpstr>BCC_T5</vt:lpstr>
      <vt:lpstr>BCC_T6</vt:lpstr>
      <vt:lpstr>BCC_T7</vt:lpstr>
      <vt:lpstr>BCC_T8</vt:lpstr>
      <vt:lpstr>BCC_T9</vt:lpstr>
      <vt:lpstr>BCC_T10</vt:lpstr>
      <vt:lpstr>BCC_T11</vt:lpstr>
      <vt:lpstr>BCC_T12</vt:lpstr>
      <vt:lpstr>BTTL_T1</vt:lpstr>
      <vt:lpstr>BTTL_T2</vt:lpstr>
      <vt:lpstr>BTTL_T3</vt:lpstr>
      <vt:lpstr>BTTL_T4</vt:lpstr>
      <vt:lpstr>BTTL_T5</vt:lpstr>
      <vt:lpstr>BTTL_T6</vt:lpstr>
      <vt:lpstr>BTTL_T7</vt:lpstr>
      <vt:lpstr>BTTL_T8</vt:lpstr>
      <vt:lpstr>BTTL_T9</vt:lpstr>
      <vt:lpstr>BTTL_T10</vt:lpstr>
      <vt:lpstr>BTTL_T11</vt:lpstr>
      <vt:lpstr>BTTL_T12</vt:lpstr>
      <vt:lpstr>BHXH_T1</vt:lpstr>
      <vt:lpstr>BHXH_T2</vt:lpstr>
      <vt:lpstr>BHXH_T3</vt:lpstr>
      <vt:lpstr>BHXH_T4</vt:lpstr>
      <vt:lpstr>BHXH_T5</vt:lpstr>
      <vt:lpstr>BHXH_T6</vt:lpstr>
      <vt:lpstr>BHXH_T7</vt:lpstr>
      <vt:lpstr>BHXH_T8</vt:lpstr>
      <vt:lpstr>BHXH_T9</vt:lpstr>
      <vt:lpstr>BHXH_T10</vt:lpstr>
      <vt:lpstr>BHXH_T11</vt:lpstr>
      <vt:lpstr>BHXH_T12</vt:lpstr>
      <vt:lpstr>CHE_DO_NGHI</vt:lpstr>
      <vt:lpstr>Chuc_Vu_Dai_Dien_Phap_Luat</vt:lpstr>
      <vt:lpstr>Company_Address</vt:lpstr>
      <vt:lpstr>Company_Name</vt:lpstr>
      <vt:lpstr>Dai_Dien_Theo_Phap_Luat</vt:lpstr>
      <vt:lpstr>Dien_Thoai</vt:lpstr>
      <vt:lpstr>Email_Company</vt:lpstr>
      <vt:lpstr>Nam_Bang_Luong</vt:lpstr>
      <vt:lpstr>Phone_Company</vt:lpstr>
      <vt:lpstr>'08CK-TNCN'!Print_Area</vt:lpstr>
      <vt:lpstr>CAM_KET_02!Print_Area</vt:lpstr>
      <vt:lpstr>FORM_HDLD!Print_Area</vt:lpstr>
      <vt:lpstr>BANG_CHAM_CONG_TEMPLATE!Print_Titles</vt:lpstr>
      <vt:lpstr>BANG_LUONG_TEMPLATE!Print_Titles</vt:lpstr>
      <vt:lpstr>BCC_T1!Print_Titles</vt:lpstr>
      <vt:lpstr>BCC_T10!Print_Titles</vt:lpstr>
      <vt:lpstr>BCC_T11!Print_Titles</vt:lpstr>
      <vt:lpstr>BCC_T12!Print_Titles</vt:lpstr>
      <vt:lpstr>BCC_T2!Print_Titles</vt:lpstr>
      <vt:lpstr>BCC_T3!Print_Titles</vt:lpstr>
      <vt:lpstr>BCC_T4!Print_Titles</vt:lpstr>
      <vt:lpstr>BCC_T5!Print_Titles</vt:lpstr>
      <vt:lpstr>BCC_T6!Print_Titles</vt:lpstr>
      <vt:lpstr>BCC_T7!Print_Titles</vt:lpstr>
      <vt:lpstr>BCC_T8!Print_Titles</vt:lpstr>
      <vt:lpstr>BCC_T9!Print_Titles</vt:lpstr>
      <vt:lpstr>BHXH_T1!Print_Titles</vt:lpstr>
      <vt:lpstr>BHXH_T10!Print_Titles</vt:lpstr>
      <vt:lpstr>BHXH_T11!Print_Titles</vt:lpstr>
      <vt:lpstr>BHXH_T12!Print_Titles</vt:lpstr>
      <vt:lpstr>BHXH_T2!Print_Titles</vt:lpstr>
      <vt:lpstr>BHXH_T3!Print_Titles</vt:lpstr>
      <vt:lpstr>BHXH_T4!Print_Titles</vt:lpstr>
      <vt:lpstr>BHXH_T5!Print_Titles</vt:lpstr>
      <vt:lpstr>BHXH_T6!Print_Titles</vt:lpstr>
      <vt:lpstr>BHXH_T7!Print_Titles</vt:lpstr>
      <vt:lpstr>BHXH_T8!Print_Titles</vt:lpstr>
      <vt:lpstr>BHXH_T9!Print_Titles</vt:lpstr>
      <vt:lpstr>BTTL_T1!Print_Titles</vt:lpstr>
      <vt:lpstr>BTTL_T10!Print_Titles</vt:lpstr>
      <vt:lpstr>BTTL_T11!Print_Titles</vt:lpstr>
      <vt:lpstr>BTTL_T12!Print_Titles</vt:lpstr>
      <vt:lpstr>BTTL_T2!Print_Titles</vt:lpstr>
      <vt:lpstr>BTTL_T3!Print_Titles</vt:lpstr>
      <vt:lpstr>BTTL_T4!Print_Titles</vt:lpstr>
      <vt:lpstr>BTTL_T5!Print_Titles</vt:lpstr>
      <vt:lpstr>BTTL_T6!Print_Titles</vt:lpstr>
      <vt:lpstr>BTTL_T7!Print_Titles</vt:lpstr>
      <vt:lpstr>BTTL_T8!Print_Titles</vt:lpstr>
      <vt:lpstr>BTTL_T9!Print_Titles</vt:lpstr>
      <vt:lpstr>NGAY_NGHI_LE!Print_Titles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Trung</dc:creator>
  <cp:lastModifiedBy>Hoang Trung</cp:lastModifiedBy>
  <cp:lastPrinted>2023-09-22T11:15:00Z</cp:lastPrinted>
  <dcterms:created xsi:type="dcterms:W3CDTF">2023-08-02T09:07:52Z</dcterms:created>
  <dcterms:modified xsi:type="dcterms:W3CDTF">2023-09-22T11:17:07Z</dcterms:modified>
</cp:coreProperties>
</file>